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3.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8.xml" ContentType="application/vnd.openxmlformats-officedocument.drawing+xml"/>
  <Override PartName="/xl/tables/table11.xml" ContentType="application/vnd.openxmlformats-officedocument.spreadsheetml.tab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8d96d3059ea94a24/"/>
    </mc:Choice>
  </mc:AlternateContent>
  <xr:revisionPtr revIDLastSave="12" documentId="8_{FBAB0D4D-B3BE-4EAD-8AE2-CE2FE985FD40}" xr6:coauthVersionLast="47" xr6:coauthVersionMax="47" xr10:uidLastSave="{18812500-F33D-42F4-BA1C-0E729AA1FB5F}"/>
  <bookViews>
    <workbookView xWindow="-110" yWindow="-110" windowWidth="19420" windowHeight="10420" firstSheet="4" activeTab="6" xr2:uid="{00000000-000D-0000-FFFF-FFFF00000000}"/>
  </bookViews>
  <sheets>
    <sheet name="Descriptive Analysis" sheetId="6" r:id="rId1"/>
    <sheet name="match and index" sheetId="8" r:id="rId2"/>
    <sheet name="power query" sheetId="5" r:id="rId3"/>
    <sheet name="brand  Name vs Quantity sold" sheetId="14" r:id="rId4"/>
    <sheet name="Country vs price with currency" sheetId="15" r:id="rId5"/>
    <sheet name="parfum_quality_revenue" sheetId="16" r:id="rId6"/>
    <sheet name="Dashboard" sheetId="24" r:id="rId7"/>
    <sheet name="last updated Year_revenue" sheetId="18" r:id="rId8"/>
    <sheet name="Country vs Available stock" sheetId="19" r:id="rId9"/>
    <sheet name="Month vs revenue" sheetId="20" r:id="rId10"/>
    <sheet name="Mens perfume " sheetId="1" r:id="rId11"/>
    <sheet name="vlook up" sheetId="7" r:id="rId12"/>
    <sheet name="Forecasting the sale" sheetId="23" r:id="rId13"/>
    <sheet name="Sheet1" sheetId="22" r:id="rId14"/>
  </sheets>
  <definedNames>
    <definedName name="_xlnm._FilterDatabase" localSheetId="2" hidden="1">'power query'!$C$1:$E$1001</definedName>
    <definedName name="_xlcn.WorksheetConnection_excelproject.xlsxParfum1" hidden="1">Parfum</definedName>
    <definedName name="_xlcn.WorksheetConnection_excelproject.xlsxSales1" hidden="1">Sales</definedName>
    <definedName name="_xlcn.WorksheetConnection_excelproject.xlsxTable21" hidden="1">Table2[]</definedName>
    <definedName name="_xlcn.WorksheetConnection_excelprojectparfum.xlsxTable11" hidden="1">Table1[]</definedName>
    <definedName name="_xlnm.Criteria" localSheetId="2">'power query'!$E$2:$E$1001</definedName>
    <definedName name="ExternalData_2" localSheetId="2" hidden="1">'power query'!$A$1:$M$1001</definedName>
    <definedName name="_xlnm.Extract" localSheetId="2">'power query'!$Q$8:$S$8</definedName>
    <definedName name="Slicer_Brand_Name">#N/A</definedName>
    <definedName name="Slicer_Country">#N/A</definedName>
    <definedName name="Slicer_Last_Updated__Month">#N/A</definedName>
    <definedName name="Slicer_Price_with_Currency">#N/A</definedName>
    <definedName name="Slicer_Revenue1">#N/A</definedName>
    <definedName name="Slicer_Sold">#N/A</definedName>
    <definedName name="Timeline_Last_Updated">#N/A</definedName>
  </definedNames>
  <calcPr calcId="191029"/>
  <pivotCaches>
    <pivotCache cacheId="0" r:id="rId15"/>
    <pivotCache cacheId="1" r:id="rId16"/>
    <pivotCache cacheId="2" r:id="rId17"/>
    <pivotCache cacheId="3" r:id="rId18"/>
    <pivotCache cacheId="4" r:id="rId19"/>
    <pivotCache cacheId="5" r:id="rId20"/>
  </pivotCaches>
  <extLst>
    <ext xmlns:x14="http://schemas.microsoft.com/office/spreadsheetml/2009/9/main" uri="{876F7934-8845-4945-9796-88D515C7AA90}">
      <x14:pivotCaches>
        <pivotCache cacheId="6" r:id="rId21"/>
        <pivotCache cacheId="7" r:id="rId22"/>
      </x14:pivotCaches>
    </ext>
    <ext xmlns:x14="http://schemas.microsoft.com/office/spreadsheetml/2009/9/main" uri="{BBE1A952-AA13-448e-AADC-164F8A28A991}">
      <x14:slicerCaches>
        <x14:slicerCache r:id="rId23"/>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29"/>
      </x15:timelineCachePivotCaches>
    </ext>
    <ext xmlns:x15="http://schemas.microsoft.com/office/spreadsheetml/2010/11/main" uri="{D0CA8CA8-9F24-4464-BF8E-62219DCF47F9}">
      <x15:timelineCacheRefs>
        <x15:timelineCacheRef r:id="rId3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excel project.xlsx!Table2"/>
          <x15:modelTable id="Sales" name="Sales" connection="WorksheetConnection_excel project.xlsx!Sales"/>
          <x15:modelTable id="Parfum" name="Parfum" connection="WorksheetConnection_excel project.xlsx!Parfum"/>
          <x15:modelTable id="Table1" name="Table1" connection="WorksheetConnection_excel project parfum.xlsx!Table1"/>
        </x15:modelTables>
        <x15:modelRelationships>
          <x15:modelRelationship fromTable="Sales" fromColumn="Parfum ID" toTable="Parfum" toColumn="Parfum ID"/>
        </x15:modelRelationships>
        <x15:extLst>
          <ext xmlns:x16="http://schemas.microsoft.com/office/spreadsheetml/2014/11/main" uri="{9835A34E-60A6-4A7C-AAB8-D5F71C897F49}">
            <x16:modelTimeGroupings>
              <x16:modelTimeGrouping tableName="Table2" columnName="Last Updated" columnId="Last Updated">
                <x16:calculatedTimeColumn columnName="Last Updated (Year)" columnId="Last Updated (Year)" contentType="years" isSelected="1"/>
                <x16:calculatedTimeColumn columnName="Last Updated (Quarter)" columnId="Last Updated (Quarter)" contentType="quarters" isSelected="1"/>
                <x16:calculatedTimeColumn columnName="Last Updated (Month Index)" columnId="Last Updated (Month Index)" contentType="monthsindex" isSelected="1"/>
                <x16:calculatedTimeColumn columnName="Last Updated (Month)" columnId="Last Updated (Month)" contentType="months" isSelected="1"/>
              </x16:modelTimeGrouping>
            </x16:modelTimeGroupings>
          </ext>
        </x15:extLst>
      </x15:dataModel>
    </ext>
  </extLst>
</workbook>
</file>

<file path=xl/calcChain.xml><?xml version="1.0" encoding="utf-8"?>
<calcChain xmlns="http://schemas.openxmlformats.org/spreadsheetml/2006/main">
  <c r="A196" i="22" l="1"/>
  <c r="A197" i="22"/>
  <c r="A198" i="22"/>
  <c r="A199" i="22"/>
  <c r="A200" i="22"/>
  <c r="A201" i="22"/>
  <c r="A202" i="22"/>
  <c r="A203" i="22"/>
  <c r="A204" i="22"/>
  <c r="A205" i="22"/>
  <c r="A206" i="22"/>
  <c r="A207" i="22"/>
  <c r="A208" i="22"/>
  <c r="A209" i="22"/>
  <c r="A210" i="22"/>
  <c r="A211" i="22"/>
  <c r="A212" i="22"/>
  <c r="A213" i="22"/>
  <c r="A214" i="22"/>
  <c r="A215" i="22"/>
  <c r="A216" i="22"/>
  <c r="A217" i="22"/>
  <c r="A218" i="22"/>
  <c r="A219" i="22"/>
  <c r="A220" i="22"/>
  <c r="A221" i="22"/>
  <c r="A222" i="22"/>
  <c r="A223" i="22"/>
  <c r="A224" i="22"/>
  <c r="A225" i="22"/>
  <c r="A226" i="22"/>
  <c r="A227" i="22"/>
  <c r="A228" i="22"/>
  <c r="A229" i="22"/>
  <c r="A230" i="22"/>
  <c r="A231" i="22"/>
  <c r="A232" i="22"/>
  <c r="A233" i="22"/>
  <c r="A234" i="22"/>
  <c r="A235" i="22"/>
  <c r="A236" i="22"/>
  <c r="A237" i="22"/>
  <c r="A238" i="22"/>
  <c r="A239" i="22"/>
  <c r="A240" i="22"/>
  <c r="A241" i="22"/>
  <c r="A242" i="22"/>
  <c r="A243" i="22"/>
  <c r="A244" i="22"/>
  <c r="A245" i="22"/>
  <c r="A246" i="22"/>
  <c r="A247" i="22"/>
  <c r="A248" i="22"/>
  <c r="A249" i="22"/>
  <c r="A250" i="22"/>
  <c r="A251" i="22"/>
  <c r="A252" i="22"/>
  <c r="A253" i="22"/>
  <c r="A254" i="22"/>
  <c r="A255" i="22"/>
  <c r="A256" i="22"/>
  <c r="A257" i="22"/>
  <c r="A258" i="22"/>
  <c r="A259" i="22"/>
  <c r="A260" i="22"/>
  <c r="A261" i="22"/>
  <c r="A262" i="22"/>
  <c r="A263" i="22"/>
  <c r="A264" i="22"/>
  <c r="A265" i="22"/>
  <c r="A266" i="22"/>
  <c r="A267" i="22"/>
  <c r="A268" i="22"/>
  <c r="A269" i="22"/>
  <c r="A270" i="22"/>
  <c r="A271" i="22"/>
  <c r="A272" i="22"/>
  <c r="A273" i="22"/>
  <c r="A274" i="22"/>
  <c r="A275" i="22"/>
  <c r="A276" i="22"/>
  <c r="A277" i="22"/>
  <c r="A278" i="22"/>
  <c r="A279" i="22"/>
  <c r="A280" i="22"/>
  <c r="A281" i="22"/>
  <c r="A282" i="22"/>
  <c r="A283" i="22"/>
  <c r="A284" i="22"/>
  <c r="A285" i="22"/>
  <c r="A286" i="22"/>
  <c r="A287" i="22"/>
  <c r="A288" i="22"/>
  <c r="A289" i="22"/>
  <c r="A290" i="22"/>
  <c r="A291" i="22"/>
  <c r="A292" i="22"/>
  <c r="A293" i="22"/>
  <c r="A294" i="22"/>
  <c r="A295" i="22"/>
  <c r="A296" i="22"/>
  <c r="A297" i="22"/>
  <c r="A298" i="22"/>
  <c r="A299" i="22"/>
  <c r="A300" i="22"/>
  <c r="A301" i="22"/>
  <c r="A302" i="22"/>
  <c r="A303" i="22"/>
  <c r="A304" i="22"/>
  <c r="A305" i="22"/>
  <c r="A306" i="22"/>
  <c r="A307" i="22"/>
  <c r="A308" i="22"/>
  <c r="A309" i="22"/>
  <c r="A310" i="22"/>
  <c r="A311" i="22"/>
  <c r="A312" i="22"/>
  <c r="A313" i="22"/>
  <c r="A314" i="22"/>
  <c r="A315" i="22"/>
  <c r="A316" i="22"/>
  <c r="A317" i="22"/>
  <c r="A318" i="22"/>
  <c r="A319" i="22"/>
  <c r="A320" i="22"/>
  <c r="A321" i="22"/>
  <c r="A322" i="22"/>
  <c r="A323" i="22"/>
  <c r="A324" i="22"/>
  <c r="A325" i="22"/>
  <c r="A326" i="22"/>
  <c r="A327" i="22"/>
  <c r="A328" i="22"/>
  <c r="A329" i="22"/>
  <c r="A330" i="22"/>
  <c r="A331" i="22"/>
  <c r="A332" i="22"/>
  <c r="A333" i="22"/>
  <c r="A334" i="22"/>
  <c r="A335" i="22"/>
  <c r="A336" i="22"/>
  <c r="A337" i="22"/>
  <c r="A338" i="22"/>
  <c r="A339" i="22"/>
  <c r="A340" i="22"/>
  <c r="A341" i="22"/>
  <c r="A342" i="22"/>
  <c r="A343" i="22"/>
  <c r="A344" i="22"/>
  <c r="A345" i="22"/>
  <c r="A346" i="22"/>
  <c r="A347" i="22"/>
  <c r="A348" i="22"/>
  <c r="A349" i="22"/>
  <c r="A350" i="22"/>
  <c r="A351" i="22"/>
  <c r="A352" i="22"/>
  <c r="A353" i="22"/>
  <c r="A354" i="22"/>
  <c r="A355" i="22"/>
  <c r="A356" i="22"/>
  <c r="A357" i="22"/>
  <c r="A358" i="22"/>
  <c r="A359" i="22"/>
  <c r="A360" i="22"/>
  <c r="A361" i="22"/>
  <c r="A362" i="22"/>
  <c r="A363" i="22"/>
  <c r="A364" i="22"/>
  <c r="A365" i="22"/>
  <c r="A366" i="22"/>
  <c r="A367" i="22"/>
  <c r="A368" i="22"/>
  <c r="A369" i="22"/>
  <c r="A370" i="22"/>
  <c r="A371" i="22"/>
  <c r="A372" i="22"/>
  <c r="A373" i="22"/>
  <c r="A374" i="22"/>
  <c r="A375" i="22"/>
  <c r="A376" i="22"/>
  <c r="A377" i="22"/>
  <c r="A378" i="22"/>
  <c r="A379" i="22"/>
  <c r="A380" i="22"/>
  <c r="A381" i="22"/>
  <c r="A382" i="22"/>
  <c r="A383" i="22"/>
  <c r="A384" i="22"/>
  <c r="A385" i="22"/>
  <c r="A386" i="22"/>
  <c r="A387" i="22"/>
  <c r="A388" i="22"/>
  <c r="A389" i="22"/>
  <c r="A390" i="22"/>
  <c r="A391" i="22"/>
  <c r="A392" i="22"/>
  <c r="A393" i="22"/>
  <c r="A394" i="22"/>
  <c r="A395" i="22"/>
  <c r="A396" i="22"/>
  <c r="A397" i="22"/>
  <c r="A398" i="22"/>
  <c r="A399" i="22"/>
  <c r="A400" i="22"/>
  <c r="A401" i="22"/>
  <c r="A402" i="22"/>
  <c r="A403" i="22"/>
  <c r="A404" i="22"/>
  <c r="A405" i="22"/>
  <c r="A406" i="22"/>
  <c r="A407" i="22"/>
  <c r="A408" i="22"/>
  <c r="A409" i="22"/>
  <c r="A410" i="22"/>
  <c r="A411" i="22"/>
  <c r="A412" i="22"/>
  <c r="A413" i="22"/>
  <c r="A414" i="22"/>
  <c r="A415" i="22"/>
  <c r="A416" i="22"/>
  <c r="A417" i="22"/>
  <c r="A418" i="22"/>
  <c r="A419" i="22"/>
  <c r="A420" i="22"/>
  <c r="A421" i="22"/>
  <c r="A422" i="22"/>
  <c r="A423" i="22"/>
  <c r="A424" i="22"/>
  <c r="A425" i="22"/>
  <c r="A426" i="22"/>
  <c r="A427" i="22"/>
  <c r="A428" i="22"/>
  <c r="A429" i="22"/>
  <c r="A430" i="22"/>
  <c r="A431" i="22"/>
  <c r="A432" i="22"/>
  <c r="A433" i="22"/>
  <c r="A434" i="22"/>
  <c r="A435" i="22"/>
  <c r="A436" i="22"/>
  <c r="A437" i="22"/>
  <c r="A438" i="22"/>
  <c r="A439" i="22"/>
  <c r="A440" i="22"/>
  <c r="A441" i="22"/>
  <c r="A442" i="22"/>
  <c r="A443" i="22"/>
  <c r="A444" i="22"/>
  <c r="A445" i="22"/>
  <c r="A446" i="22"/>
  <c r="A447" i="22"/>
  <c r="A448" i="22"/>
  <c r="A449" i="22"/>
  <c r="A450" i="22"/>
  <c r="A451" i="22"/>
  <c r="A452" i="22"/>
  <c r="A453" i="22"/>
  <c r="A454" i="22"/>
  <c r="A455" i="22"/>
  <c r="A456" i="22"/>
  <c r="A457" i="22"/>
  <c r="A458" i="22"/>
  <c r="A459" i="22"/>
  <c r="A460" i="22"/>
  <c r="A461" i="22"/>
  <c r="A462" i="22"/>
  <c r="A463" i="22"/>
  <c r="A464" i="22"/>
  <c r="A465" i="22"/>
  <c r="A466" i="22"/>
  <c r="A467" i="22"/>
  <c r="A468" i="22"/>
  <c r="A469" i="22"/>
  <c r="A470" i="22"/>
  <c r="A471" i="22"/>
  <c r="A472" i="22"/>
  <c r="A473" i="22"/>
  <c r="A474" i="22"/>
  <c r="A475" i="22"/>
  <c r="A476" i="22"/>
  <c r="A477" i="22"/>
  <c r="A478" i="22"/>
  <c r="A479" i="22"/>
  <c r="A480" i="22"/>
  <c r="A481" i="22"/>
  <c r="A482" i="22"/>
  <c r="A483" i="22"/>
  <c r="A484" i="22"/>
  <c r="A485" i="22"/>
  <c r="A486" i="22"/>
  <c r="A487" i="22"/>
  <c r="A488" i="22"/>
  <c r="A489" i="22"/>
  <c r="A490" i="22"/>
  <c r="A491" i="22"/>
  <c r="A492" i="22"/>
  <c r="A493" i="22"/>
  <c r="A494" i="22"/>
  <c r="A495" i="22"/>
  <c r="A496" i="22"/>
  <c r="A497" i="22"/>
  <c r="A498" i="22"/>
  <c r="A499" i="22"/>
  <c r="A500" i="22"/>
  <c r="A501" i="22"/>
  <c r="A502" i="22"/>
  <c r="A503" i="22"/>
  <c r="A504" i="22"/>
  <c r="A505" i="22"/>
  <c r="A506" i="22"/>
  <c r="A507" i="22"/>
  <c r="A508" i="22"/>
  <c r="A509" i="22"/>
  <c r="A510" i="22"/>
  <c r="A511" i="22"/>
  <c r="A512" i="22"/>
  <c r="A513" i="22"/>
  <c r="A514" i="22"/>
  <c r="A515" i="22"/>
  <c r="A516" i="22"/>
  <c r="A517" i="22"/>
  <c r="A518" i="22"/>
  <c r="A519" i="22"/>
  <c r="A520" i="22"/>
  <c r="A521" i="22"/>
  <c r="A522" i="22"/>
  <c r="A523" i="22"/>
  <c r="A524" i="22"/>
  <c r="A525" i="22"/>
  <c r="A526" i="22"/>
  <c r="A527" i="22"/>
  <c r="A528" i="22"/>
  <c r="A529" i="22"/>
  <c r="A530" i="22"/>
  <c r="A531" i="22"/>
  <c r="A532" i="22"/>
  <c r="A533" i="22"/>
  <c r="A534" i="22"/>
  <c r="A535" i="22"/>
  <c r="A536" i="22"/>
  <c r="A537" i="22"/>
  <c r="A538" i="22"/>
  <c r="A539" i="22"/>
  <c r="A540" i="22"/>
  <c r="A541" i="22"/>
  <c r="A542" i="22"/>
  <c r="A543" i="22"/>
  <c r="A544" i="22"/>
  <c r="A545" i="22"/>
  <c r="A546" i="22"/>
  <c r="A547" i="22"/>
  <c r="A548" i="22"/>
  <c r="A549" i="22"/>
  <c r="A550" i="22"/>
  <c r="A551" i="22"/>
  <c r="A552" i="22"/>
  <c r="A553" i="22"/>
  <c r="A554" i="22"/>
  <c r="A555" i="22"/>
  <c r="A556" i="22"/>
  <c r="A557" i="22"/>
  <c r="A558" i="22"/>
  <c r="A559" i="22"/>
  <c r="A560" i="22"/>
  <c r="A561" i="22"/>
  <c r="A562" i="22"/>
  <c r="A563" i="22"/>
  <c r="A564" i="22"/>
  <c r="A565" i="22"/>
  <c r="A566" i="22"/>
  <c r="A567" i="22"/>
  <c r="A568" i="22"/>
  <c r="A569" i="22"/>
  <c r="A570" i="22"/>
  <c r="A571" i="22"/>
  <c r="A572" i="22"/>
  <c r="A573" i="22"/>
  <c r="A574" i="22"/>
  <c r="A575" i="22"/>
  <c r="A576" i="22"/>
  <c r="A577" i="22"/>
  <c r="A578" i="22"/>
  <c r="A579" i="22"/>
  <c r="A580" i="22"/>
  <c r="A581" i="22"/>
  <c r="A582" i="22"/>
  <c r="A583" i="22"/>
  <c r="A584" i="22"/>
  <c r="A585" i="22"/>
  <c r="A586" i="22"/>
  <c r="A587" i="22"/>
  <c r="A588" i="22"/>
  <c r="A589" i="22"/>
  <c r="A590" i="22"/>
  <c r="A591" i="22"/>
  <c r="A592" i="22"/>
  <c r="A593" i="22"/>
  <c r="A594" i="22"/>
  <c r="A595" i="22"/>
  <c r="A596" i="22"/>
  <c r="A597" i="22"/>
  <c r="A598" i="22"/>
  <c r="A599" i="22"/>
  <c r="A600" i="22"/>
  <c r="A601" i="22"/>
  <c r="A602" i="22"/>
  <c r="A603" i="22"/>
  <c r="A604" i="22"/>
  <c r="A605" i="22"/>
  <c r="A606" i="22"/>
  <c r="A607" i="22"/>
  <c r="A608" i="22"/>
  <c r="A609" i="22"/>
  <c r="A610" i="22"/>
  <c r="A611" i="22"/>
  <c r="A612" i="22"/>
  <c r="A613" i="22"/>
  <c r="A614" i="22"/>
  <c r="A615" i="22"/>
  <c r="A616" i="22"/>
  <c r="A617" i="22"/>
  <c r="A618" i="22"/>
  <c r="A619" i="22"/>
  <c r="A620" i="22"/>
  <c r="A621" i="22"/>
  <c r="A622" i="22"/>
  <c r="A623" i="22"/>
  <c r="A624" i="22"/>
  <c r="A625" i="22"/>
  <c r="A626" i="22"/>
  <c r="A627" i="22"/>
  <c r="A628" i="22"/>
  <c r="A629" i="22"/>
  <c r="A630" i="22"/>
  <c r="A631" i="22"/>
  <c r="A632" i="22"/>
  <c r="A633" i="22"/>
  <c r="A634" i="22"/>
  <c r="A635" i="22"/>
  <c r="A636" i="22"/>
  <c r="A637" i="22"/>
  <c r="A638" i="22"/>
  <c r="A639" i="22"/>
  <c r="A640" i="22"/>
  <c r="A641" i="22"/>
  <c r="A642" i="22"/>
  <c r="A643" i="22"/>
  <c r="A644" i="22"/>
  <c r="A645" i="22"/>
  <c r="A646" i="22"/>
  <c r="A647" i="22"/>
  <c r="A648" i="22"/>
  <c r="A649" i="22"/>
  <c r="A650" i="22"/>
  <c r="A651" i="22"/>
  <c r="A652" i="22"/>
  <c r="A653" i="22"/>
  <c r="A654" i="22"/>
  <c r="A655" i="22"/>
  <c r="A656" i="22"/>
  <c r="A657" i="22"/>
  <c r="A658" i="22"/>
  <c r="A659" i="22"/>
  <c r="A660" i="22"/>
  <c r="A661" i="22"/>
  <c r="A662" i="22"/>
  <c r="A663" i="22"/>
  <c r="A664" i="22"/>
  <c r="A665" i="22"/>
  <c r="A666" i="22"/>
  <c r="A667" i="22"/>
  <c r="A668" i="22"/>
  <c r="A669" i="22"/>
  <c r="A670" i="22"/>
  <c r="A671" i="22"/>
  <c r="A672" i="22"/>
  <c r="A673" i="22"/>
  <c r="A674" i="22"/>
  <c r="A675" i="22"/>
  <c r="A676" i="22"/>
  <c r="A677" i="22"/>
  <c r="A678" i="22"/>
  <c r="A679" i="22"/>
  <c r="A680" i="22"/>
  <c r="A681" i="22"/>
  <c r="A682" i="22"/>
  <c r="A683" i="22"/>
  <c r="A684" i="22"/>
  <c r="A685" i="22"/>
  <c r="A686" i="22"/>
  <c r="A687" i="22"/>
  <c r="A688" i="22"/>
  <c r="A689" i="22"/>
  <c r="A690" i="22"/>
  <c r="A691" i="22"/>
  <c r="A692" i="22"/>
  <c r="A693" i="22"/>
  <c r="A694" i="22"/>
  <c r="A695" i="22"/>
  <c r="A696" i="22"/>
  <c r="A697" i="22"/>
  <c r="A698" i="22"/>
  <c r="A699" i="22"/>
  <c r="A700" i="22"/>
  <c r="A701" i="22"/>
  <c r="A702" i="22"/>
  <c r="A703" i="22"/>
  <c r="A704" i="22"/>
  <c r="A705" i="22"/>
  <c r="A706" i="22"/>
  <c r="A707" i="22"/>
  <c r="A708" i="22"/>
  <c r="A709" i="22"/>
  <c r="A710" i="22"/>
  <c r="A711" i="22"/>
  <c r="A712" i="22"/>
  <c r="A713" i="22"/>
  <c r="A714" i="22"/>
  <c r="A715" i="22"/>
  <c r="A716" i="22"/>
  <c r="A717" i="22"/>
  <c r="A718" i="22"/>
  <c r="A719" i="22"/>
  <c r="A720" i="22"/>
  <c r="A721" i="22"/>
  <c r="A722" i="22"/>
  <c r="A723" i="22"/>
  <c r="A724" i="22"/>
  <c r="A725" i="22"/>
  <c r="A726" i="22"/>
  <c r="A727" i="22"/>
  <c r="A728" i="22"/>
  <c r="A729" i="22"/>
  <c r="A730" i="22"/>
  <c r="A731" i="22"/>
  <c r="A732" i="22"/>
  <c r="A733" i="22"/>
  <c r="A734" i="22"/>
  <c r="A735" i="22"/>
  <c r="A736" i="22"/>
  <c r="A737" i="22"/>
  <c r="A738" i="22"/>
  <c r="A739" i="22"/>
  <c r="A740" i="22"/>
  <c r="A741" i="22"/>
  <c r="A742" i="22"/>
  <c r="A743" i="22"/>
  <c r="A744" i="22"/>
  <c r="A745" i="22"/>
  <c r="A746" i="22"/>
  <c r="A747" i="22"/>
  <c r="A748" i="22"/>
  <c r="A749" i="22"/>
  <c r="A750" i="22"/>
  <c r="A751" i="22"/>
  <c r="A752" i="22"/>
  <c r="A753" i="22"/>
  <c r="A754" i="22"/>
  <c r="A755" i="22"/>
  <c r="A756" i="22"/>
  <c r="A757" i="22"/>
  <c r="A758" i="22"/>
  <c r="A759" i="22"/>
  <c r="A760" i="22"/>
  <c r="A761" i="22"/>
  <c r="A762" i="22"/>
  <c r="A763" i="22"/>
  <c r="A764" i="22"/>
  <c r="A765" i="22"/>
  <c r="A766" i="22"/>
  <c r="A767" i="22"/>
  <c r="A768" i="22"/>
  <c r="A769" i="22"/>
  <c r="A770" i="22"/>
  <c r="A771" i="22"/>
  <c r="A772" i="22"/>
  <c r="A773" i="22"/>
  <c r="A774" i="22"/>
  <c r="A775" i="22"/>
  <c r="A776" i="22"/>
  <c r="A777" i="22"/>
  <c r="A778" i="22"/>
  <c r="A779" i="22"/>
  <c r="A780" i="22"/>
  <c r="A781" i="22"/>
  <c r="A782" i="22"/>
  <c r="A783" i="22"/>
  <c r="A784" i="22"/>
  <c r="A785" i="22"/>
  <c r="A786" i="22"/>
  <c r="A787" i="22"/>
  <c r="A788" i="22"/>
  <c r="A789" i="22"/>
  <c r="A790" i="22"/>
  <c r="A791" i="22"/>
  <c r="A792" i="22"/>
  <c r="A793" i="22"/>
  <c r="A794" i="22"/>
  <c r="A795" i="22"/>
  <c r="A796" i="22"/>
  <c r="A797" i="22"/>
  <c r="A798" i="22"/>
  <c r="A799" i="22"/>
  <c r="A800" i="22"/>
  <c r="A801" i="22"/>
  <c r="A802" i="22"/>
  <c r="A803" i="22"/>
  <c r="A804" i="22"/>
  <c r="A805" i="22"/>
  <c r="A806" i="22"/>
  <c r="A807" i="22"/>
  <c r="A808" i="22"/>
  <c r="A809" i="22"/>
  <c r="A810" i="22"/>
  <c r="A811" i="22"/>
  <c r="A812" i="22"/>
  <c r="A813" i="22"/>
  <c r="A814" i="22"/>
  <c r="A815" i="22"/>
  <c r="A816" i="22"/>
  <c r="A817" i="22"/>
  <c r="A818" i="22"/>
  <c r="A819" i="22"/>
  <c r="A820" i="22"/>
  <c r="A821" i="22"/>
  <c r="A822" i="22"/>
  <c r="A823" i="22"/>
  <c r="A824" i="22"/>
  <c r="A825" i="22"/>
  <c r="A826" i="22"/>
  <c r="A827" i="22"/>
  <c r="A828" i="22"/>
  <c r="A829" i="22"/>
  <c r="A830" i="22"/>
  <c r="A831" i="22"/>
  <c r="A832" i="22"/>
  <c r="A833" i="22"/>
  <c r="A834" i="22"/>
  <c r="A835" i="22"/>
  <c r="A836" i="22"/>
  <c r="A837" i="22"/>
  <c r="A838" i="22"/>
  <c r="A839" i="22"/>
  <c r="A840" i="22"/>
  <c r="A841" i="22"/>
  <c r="A842" i="22"/>
  <c r="A843" i="22"/>
  <c r="A844" i="22"/>
  <c r="A845" i="22"/>
  <c r="A846" i="22"/>
  <c r="A847" i="22"/>
  <c r="A848" i="22"/>
  <c r="A849" i="22"/>
  <c r="A850" i="22"/>
  <c r="A851" i="22"/>
  <c r="A852" i="22"/>
  <c r="A853" i="22"/>
  <c r="A854" i="22"/>
  <c r="A855" i="22"/>
  <c r="A856" i="22"/>
  <c r="A857" i="22"/>
  <c r="A858" i="22"/>
  <c r="A859" i="22"/>
  <c r="A860" i="22"/>
  <c r="A861" i="22"/>
  <c r="A862" i="22"/>
  <c r="A863" i="22"/>
  <c r="A864" i="22"/>
  <c r="A865" i="22"/>
  <c r="A866" i="22"/>
  <c r="A867" i="22"/>
  <c r="A868" i="22"/>
  <c r="A869" i="22"/>
  <c r="A870" i="22"/>
  <c r="A871" i="22"/>
  <c r="A872" i="22"/>
  <c r="A873" i="22"/>
  <c r="A874" i="22"/>
  <c r="A875" i="22"/>
  <c r="A876" i="22"/>
  <c r="A877" i="22"/>
  <c r="A878" i="22"/>
  <c r="A879" i="22"/>
  <c r="A880" i="22"/>
  <c r="A881" i="22"/>
  <c r="A882" i="22"/>
  <c r="A883" i="22"/>
  <c r="A884" i="22"/>
  <c r="A885" i="22"/>
  <c r="A886" i="22"/>
  <c r="A887" i="22"/>
  <c r="A888" i="22"/>
  <c r="A889" i="22"/>
  <c r="A890" i="22"/>
  <c r="A891" i="22"/>
  <c r="A892" i="22"/>
  <c r="A893" i="22"/>
  <c r="A894" i="22"/>
  <c r="A895" i="22"/>
  <c r="A896" i="22"/>
  <c r="A897" i="22"/>
  <c r="A898" i="22"/>
  <c r="A899" i="22"/>
  <c r="A900" i="22"/>
  <c r="A901" i="22"/>
  <c r="A902" i="22"/>
  <c r="A903" i="22"/>
  <c r="A904" i="22"/>
  <c r="A905" i="22"/>
  <c r="A906" i="22"/>
  <c r="A907" i="22"/>
  <c r="A908" i="22"/>
  <c r="A909" i="22"/>
  <c r="A910" i="22"/>
  <c r="A911" i="22"/>
  <c r="A912" i="22"/>
  <c r="A913" i="22"/>
  <c r="A914" i="22"/>
  <c r="A915" i="22"/>
  <c r="A916" i="22"/>
  <c r="A917" i="22"/>
  <c r="A918" i="22"/>
  <c r="A919" i="22"/>
  <c r="A920" i="22"/>
  <c r="A921" i="22"/>
  <c r="A922" i="22"/>
  <c r="A923" i="22"/>
  <c r="A924" i="22"/>
  <c r="A925" i="22"/>
  <c r="A926" i="22"/>
  <c r="A927" i="22"/>
  <c r="A928" i="22"/>
  <c r="A929" i="22"/>
  <c r="A930" i="22"/>
  <c r="A931" i="22"/>
  <c r="A932" i="22"/>
  <c r="A933" i="22"/>
  <c r="A934" i="22"/>
  <c r="A935" i="22"/>
  <c r="A936" i="22"/>
  <c r="A937" i="22"/>
  <c r="A938" i="22"/>
  <c r="A939" i="22"/>
  <c r="A940" i="22"/>
  <c r="A941" i="22"/>
  <c r="A942" i="22"/>
  <c r="A943" i="22"/>
  <c r="A944" i="22"/>
  <c r="A945" i="22"/>
  <c r="A946" i="22"/>
  <c r="A947" i="22"/>
  <c r="A948" i="22"/>
  <c r="A949" i="22"/>
  <c r="A950" i="22"/>
  <c r="A951" i="22"/>
  <c r="A952" i="22"/>
  <c r="A953" i="22"/>
  <c r="A954" i="22"/>
  <c r="A955" i="22"/>
  <c r="A956" i="22"/>
  <c r="A957" i="22"/>
  <c r="A958" i="22"/>
  <c r="A959" i="22"/>
  <c r="A960" i="22"/>
  <c r="A961" i="22"/>
  <c r="A962" i="22"/>
  <c r="A963" i="22"/>
  <c r="A964" i="22"/>
  <c r="A965" i="22"/>
  <c r="A966" i="22"/>
  <c r="A967" i="22"/>
  <c r="A968" i="22"/>
  <c r="A969" i="22"/>
  <c r="A970" i="22"/>
  <c r="A971" i="22"/>
  <c r="A972" i="22"/>
  <c r="A973" i="22"/>
  <c r="A974" i="22"/>
  <c r="A975" i="22"/>
  <c r="A976" i="22"/>
  <c r="A977" i="22"/>
  <c r="A978" i="22"/>
  <c r="A979" i="22"/>
  <c r="A980" i="22"/>
  <c r="A981" i="22"/>
  <c r="A982" i="22"/>
  <c r="A983" i="22"/>
  <c r="A984" i="22"/>
  <c r="A985" i="22"/>
  <c r="A986" i="22"/>
  <c r="A987" i="22"/>
  <c r="A988" i="22"/>
  <c r="A989" i="22"/>
  <c r="A990" i="22"/>
  <c r="A991" i="22"/>
  <c r="A992" i="22"/>
  <c r="A993" i="22"/>
  <c r="A994" i="22"/>
  <c r="A995" i="22"/>
  <c r="A996" i="22"/>
  <c r="A997" i="22"/>
  <c r="A998" i="22"/>
  <c r="A999" i="22"/>
  <c r="A1000" i="22"/>
  <c r="A1001" i="22"/>
  <c r="A13" i="22"/>
  <c r="A14" i="22"/>
  <c r="A15" i="22"/>
  <c r="A16" i="22"/>
  <c r="A17" i="22"/>
  <c r="A18" i="22"/>
  <c r="A19" i="22"/>
  <c r="A20" i="22"/>
  <c r="A21" i="22"/>
  <c r="A22" i="22"/>
  <c r="A23" i="22"/>
  <c r="A24" i="22"/>
  <c r="A25" i="22"/>
  <c r="A26" i="22"/>
  <c r="A27" i="22"/>
  <c r="A28" i="22"/>
  <c r="A29" i="22"/>
  <c r="A30" i="22"/>
  <c r="A31" i="22"/>
  <c r="A32" i="22"/>
  <c r="A33" i="22"/>
  <c r="A34" i="22"/>
  <c r="A35" i="22"/>
  <c r="A36" i="22"/>
  <c r="A37" i="22"/>
  <c r="A38" i="22"/>
  <c r="A39" i="22"/>
  <c r="A40" i="22"/>
  <c r="A41" i="22"/>
  <c r="A42" i="22"/>
  <c r="A43" i="22"/>
  <c r="A44" i="22"/>
  <c r="A45" i="22"/>
  <c r="A46" i="22"/>
  <c r="A47" i="22"/>
  <c r="A48" i="22"/>
  <c r="A49" i="22"/>
  <c r="A50" i="22"/>
  <c r="A51" i="22"/>
  <c r="A52" i="22"/>
  <c r="A53" i="22"/>
  <c r="A54" i="22"/>
  <c r="A55" i="22"/>
  <c r="A56" i="22"/>
  <c r="A57" i="22"/>
  <c r="A58" i="22"/>
  <c r="A59" i="22"/>
  <c r="A60" i="22"/>
  <c r="A61" i="22"/>
  <c r="A62" i="22"/>
  <c r="A63" i="22"/>
  <c r="A64" i="22"/>
  <c r="A65" i="22"/>
  <c r="A66" i="22"/>
  <c r="A67" i="22"/>
  <c r="A68" i="22"/>
  <c r="A69" i="22"/>
  <c r="A70" i="22"/>
  <c r="A71" i="22"/>
  <c r="A72" i="22"/>
  <c r="A73" i="22"/>
  <c r="A74" i="22"/>
  <c r="A75" i="22"/>
  <c r="A76" i="22"/>
  <c r="A77" i="22"/>
  <c r="A78" i="22"/>
  <c r="A79" i="22"/>
  <c r="A80" i="22"/>
  <c r="A81" i="22"/>
  <c r="A82" i="22"/>
  <c r="A83" i="22"/>
  <c r="A84" i="22"/>
  <c r="A85" i="22"/>
  <c r="A86" i="22"/>
  <c r="A87" i="22"/>
  <c r="A88" i="22"/>
  <c r="A89" i="22"/>
  <c r="A90" i="22"/>
  <c r="A91" i="22"/>
  <c r="A92" i="22"/>
  <c r="A93" i="22"/>
  <c r="A94" i="22"/>
  <c r="A95" i="22"/>
  <c r="A96" i="22"/>
  <c r="A97" i="22"/>
  <c r="A98" i="22"/>
  <c r="A99" i="22"/>
  <c r="A100" i="22"/>
  <c r="A101" i="22"/>
  <c r="A102" i="22"/>
  <c r="A103" i="22"/>
  <c r="A104" i="22"/>
  <c r="A105" i="22"/>
  <c r="A106" i="22"/>
  <c r="A107" i="22"/>
  <c r="A108" i="22"/>
  <c r="A109" i="22"/>
  <c r="A110" i="22"/>
  <c r="A111" i="22"/>
  <c r="A112" i="22"/>
  <c r="A113" i="22"/>
  <c r="A114" i="22"/>
  <c r="A115" i="22"/>
  <c r="A116" i="22"/>
  <c r="A117" i="22"/>
  <c r="A118" i="22"/>
  <c r="A119" i="22"/>
  <c r="A120" i="22"/>
  <c r="A121" i="22"/>
  <c r="A122" i="22"/>
  <c r="A123" i="22"/>
  <c r="A124" i="22"/>
  <c r="A125" i="22"/>
  <c r="A126" i="22"/>
  <c r="A127" i="22"/>
  <c r="A128" i="22"/>
  <c r="A129" i="22"/>
  <c r="A130" i="22"/>
  <c r="A131" i="22"/>
  <c r="A132" i="22"/>
  <c r="A133" i="22"/>
  <c r="A134" i="22"/>
  <c r="A135" i="22"/>
  <c r="A136" i="22"/>
  <c r="A137" i="22"/>
  <c r="A138" i="22"/>
  <c r="A139" i="22"/>
  <c r="A140" i="22"/>
  <c r="A141" i="22"/>
  <c r="A142" i="22"/>
  <c r="A143" i="22"/>
  <c r="A144" i="22"/>
  <c r="A145" i="22"/>
  <c r="A146" i="22"/>
  <c r="A147" i="22"/>
  <c r="A148" i="22"/>
  <c r="A149" i="22"/>
  <c r="A150" i="22"/>
  <c r="A151" i="22"/>
  <c r="A152" i="22"/>
  <c r="A153" i="22"/>
  <c r="A154" i="22"/>
  <c r="A155" i="22"/>
  <c r="A156" i="22"/>
  <c r="A157" i="22"/>
  <c r="A158" i="22"/>
  <c r="A159" i="22"/>
  <c r="A160" i="22"/>
  <c r="A161" i="22"/>
  <c r="A162" i="22"/>
  <c r="A163" i="22"/>
  <c r="A164" i="22"/>
  <c r="A165" i="22"/>
  <c r="A166" i="22"/>
  <c r="A167" i="22"/>
  <c r="A168" i="22"/>
  <c r="A169" i="22"/>
  <c r="A170" i="22"/>
  <c r="A171" i="22"/>
  <c r="A172" i="22"/>
  <c r="A173" i="22"/>
  <c r="A174" i="22"/>
  <c r="A175" i="22"/>
  <c r="A176" i="22"/>
  <c r="A177" i="22"/>
  <c r="A178" i="22"/>
  <c r="A179" i="22"/>
  <c r="A180" i="22"/>
  <c r="A181" i="22"/>
  <c r="A182" i="22"/>
  <c r="A183" i="22"/>
  <c r="A184" i="22"/>
  <c r="A185" i="22"/>
  <c r="A186" i="22"/>
  <c r="A187" i="22"/>
  <c r="A188" i="22"/>
  <c r="A189" i="22"/>
  <c r="A190" i="22"/>
  <c r="A191" i="22"/>
  <c r="A192" i="22"/>
  <c r="A193" i="22"/>
  <c r="A194" i="22"/>
  <c r="A195" i="22"/>
  <c r="A12" i="22"/>
  <c r="A11" i="22"/>
  <c r="A10" i="22"/>
  <c r="A9" i="22"/>
  <c r="A8" i="22"/>
  <c r="A7" i="22"/>
  <c r="A6" i="22"/>
  <c r="A5" i="22"/>
  <c r="A4" i="22"/>
  <c r="A3" i="22"/>
  <c r="A2" i="22"/>
  <c r="G2" i="7"/>
  <c r="F17" i="1"/>
  <c r="F2" i="1"/>
  <c r="F3" i="1"/>
  <c r="F4" i="1"/>
  <c r="F5" i="1"/>
  <c r="F6" i="1"/>
  <c r="F7" i="1"/>
  <c r="F8" i="1"/>
  <c r="F9" i="1"/>
  <c r="F10" i="1"/>
  <c r="F11" i="1"/>
  <c r="F12" i="1"/>
  <c r="F13" i="1"/>
  <c r="F14" i="1"/>
  <c r="F15" i="1"/>
  <c r="F16"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B23" i="8"/>
  <c r="B21" i="8"/>
  <c r="B18" i="8"/>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N72" i="1"/>
  <c r="N71" i="1"/>
  <c r="N73" i="1" s="1"/>
  <c r="C184" i="23"/>
  <c r="C188" i="23"/>
  <c r="C192" i="23"/>
  <c r="C196" i="23"/>
  <c r="C200" i="23"/>
  <c r="C204" i="23"/>
  <c r="C208" i="23"/>
  <c r="C212" i="23"/>
  <c r="C216" i="23"/>
  <c r="C220" i="23"/>
  <c r="C224" i="23"/>
  <c r="C228" i="23"/>
  <c r="C232" i="23"/>
  <c r="C236" i="23"/>
  <c r="C240" i="23"/>
  <c r="C244" i="23"/>
  <c r="C209" i="23"/>
  <c r="C185" i="23"/>
  <c r="C186" i="23"/>
  <c r="C190" i="23"/>
  <c r="C194" i="23"/>
  <c r="C198" i="23"/>
  <c r="C202" i="23"/>
  <c r="C206" i="23"/>
  <c r="C210" i="23"/>
  <c r="C214" i="23"/>
  <c r="C218" i="23"/>
  <c r="C222" i="23"/>
  <c r="C226" i="23"/>
  <c r="C230" i="23"/>
  <c r="C234" i="23"/>
  <c r="C238" i="23"/>
  <c r="C242" i="23"/>
  <c r="C189" i="23"/>
  <c r="C197" i="23"/>
  <c r="C201" i="23"/>
  <c r="C205" i="23"/>
  <c r="C213" i="23"/>
  <c r="C217" i="23"/>
  <c r="C221" i="23"/>
  <c r="C225" i="23"/>
  <c r="C229" i="23"/>
  <c r="C233" i="23"/>
  <c r="C237" i="23"/>
  <c r="C241" i="23"/>
  <c r="C187" i="23"/>
  <c r="C191" i="23"/>
  <c r="C195" i="23"/>
  <c r="C199" i="23"/>
  <c r="C203" i="23"/>
  <c r="C207" i="23"/>
  <c r="C211" i="23"/>
  <c r="C215" i="23"/>
  <c r="C219" i="23"/>
  <c r="C223" i="23"/>
  <c r="C227" i="23"/>
  <c r="C231" i="23"/>
  <c r="C235" i="23"/>
  <c r="C239" i="23"/>
  <c r="C243" i="23"/>
  <c r="C193" i="23"/>
  <c r="N76" i="1" l="1"/>
  <c r="N75" i="1"/>
  <c r="N74" i="1"/>
  <c r="D193" i="23"/>
  <c r="D239" i="23"/>
  <c r="D231" i="23"/>
  <c r="D223" i="23"/>
  <c r="D215" i="23"/>
  <c r="D207" i="23"/>
  <c r="D199" i="23"/>
  <c r="D191" i="23"/>
  <c r="D241" i="23"/>
  <c r="D233" i="23"/>
  <c r="D225" i="23"/>
  <c r="D217" i="23"/>
  <c r="D205" i="23"/>
  <c r="D197" i="23"/>
  <c r="E242" i="23"/>
  <c r="E234" i="23"/>
  <c r="E226" i="23"/>
  <c r="E218" i="23"/>
  <c r="E210" i="23"/>
  <c r="E202" i="23"/>
  <c r="E194" i="23"/>
  <c r="E186" i="23"/>
  <c r="D209" i="23"/>
  <c r="E240" i="23"/>
  <c r="E232" i="23"/>
  <c r="E224" i="23"/>
  <c r="E216" i="23"/>
  <c r="E208" i="23"/>
  <c r="E200" i="23"/>
  <c r="E192" i="23"/>
  <c r="E184" i="23"/>
  <c r="E193" i="23"/>
  <c r="E239" i="23"/>
  <c r="E231" i="23"/>
  <c r="E223" i="23"/>
  <c r="E215" i="23"/>
  <c r="E207" i="23"/>
  <c r="E199" i="23"/>
  <c r="E191" i="23"/>
  <c r="E241" i="23"/>
  <c r="E233" i="23"/>
  <c r="E225" i="23"/>
  <c r="E217" i="23"/>
  <c r="E205" i="23"/>
  <c r="E197" i="23"/>
  <c r="D242" i="23"/>
  <c r="D234" i="23"/>
  <c r="D226" i="23"/>
  <c r="D218" i="23"/>
  <c r="D210" i="23"/>
  <c r="D202" i="23"/>
  <c r="D194" i="23"/>
  <c r="D186" i="23"/>
  <c r="E209" i="23"/>
  <c r="D240" i="23"/>
  <c r="D232" i="23"/>
  <c r="D224" i="23"/>
  <c r="D216" i="23"/>
  <c r="D208" i="23"/>
  <c r="D200" i="23"/>
  <c r="D192" i="23"/>
  <c r="D184" i="23"/>
  <c r="E243" i="23"/>
  <c r="E235" i="23"/>
  <c r="E227" i="23"/>
  <c r="E219" i="23"/>
  <c r="E211" i="23"/>
  <c r="E203" i="23"/>
  <c r="E195" i="23"/>
  <c r="E187" i="23"/>
  <c r="E237" i="23"/>
  <c r="E229" i="23"/>
  <c r="E221" i="23"/>
  <c r="E213" i="23"/>
  <c r="E201" i="23"/>
  <c r="E189" i="23"/>
  <c r="D238" i="23"/>
  <c r="D230" i="23"/>
  <c r="D214" i="23"/>
  <c r="D206" i="23"/>
  <c r="D190" i="23"/>
  <c r="D244" i="23"/>
  <c r="D228" i="23"/>
  <c r="D212" i="23"/>
  <c r="D196" i="23"/>
  <c r="D188" i="23"/>
  <c r="D243" i="23"/>
  <c r="D235" i="23"/>
  <c r="D227" i="23"/>
  <c r="D219" i="23"/>
  <c r="D211" i="23"/>
  <c r="D203" i="23"/>
  <c r="D195" i="23"/>
  <c r="D187" i="23"/>
  <c r="D237" i="23"/>
  <c r="D229" i="23"/>
  <c r="D221" i="23"/>
  <c r="D213" i="23"/>
  <c r="D201" i="23"/>
  <c r="D189" i="23"/>
  <c r="E238" i="23"/>
  <c r="E230" i="23"/>
  <c r="E222" i="23"/>
  <c r="E214" i="23"/>
  <c r="E206" i="23"/>
  <c r="E198" i="23"/>
  <c r="E190" i="23"/>
  <c r="D185" i="23"/>
  <c r="E244" i="23"/>
  <c r="E236" i="23"/>
  <c r="E228" i="23"/>
  <c r="E220" i="23"/>
  <c r="E212" i="23"/>
  <c r="E204" i="23"/>
  <c r="E196" i="23"/>
  <c r="E188" i="23"/>
  <c r="D222" i="23"/>
  <c r="D198" i="23"/>
  <c r="E185" i="23"/>
  <c r="D236" i="23"/>
  <c r="D220" i="23"/>
  <c r="D204" i="23"/>
  <c r="G710" i="1" l="1"/>
  <c r="G494" i="1"/>
  <c r="G665" i="1"/>
  <c r="G498" i="1"/>
  <c r="G780" i="1"/>
  <c r="G327" i="1"/>
  <c r="G477" i="1"/>
  <c r="G662" i="1"/>
  <c r="G702" i="1"/>
  <c r="G804" i="1"/>
  <c r="G721" i="1"/>
  <c r="G518" i="1"/>
  <c r="G417" i="1"/>
  <c r="G310" i="1"/>
  <c r="G839" i="1"/>
  <c r="G658" i="1"/>
  <c r="G659" i="1"/>
  <c r="G765" i="1"/>
  <c r="G233" i="1"/>
  <c r="G211" i="1"/>
  <c r="G495" i="1"/>
  <c r="G823" i="1"/>
  <c r="G599" i="1"/>
  <c r="G447" i="1"/>
  <c r="G348" i="1"/>
  <c r="G771" i="1"/>
  <c r="G886" i="1"/>
  <c r="G791" i="1"/>
  <c r="G389" i="1"/>
  <c r="G740" i="1"/>
  <c r="G790" i="1"/>
  <c r="G799" i="1"/>
  <c r="G820" i="1"/>
  <c r="G552" i="1"/>
  <c r="G536" i="1"/>
  <c r="G605" i="1"/>
  <c r="G330" i="1"/>
  <c r="G857" i="1"/>
  <c r="G325" i="1"/>
  <c r="G715" i="1"/>
  <c r="G622" i="1"/>
  <c r="G678" i="1"/>
  <c r="G216" i="1"/>
  <c r="G430" i="1"/>
  <c r="G461" i="1"/>
  <c r="G237" i="1"/>
  <c r="G271" i="1"/>
  <c r="G720" i="1"/>
  <c r="G509" i="1"/>
  <c r="G526" i="1"/>
  <c r="G516" i="1"/>
  <c r="G175" i="1"/>
  <c r="G435" i="1"/>
  <c r="G750" i="1"/>
  <c r="G844" i="1"/>
  <c r="G714" i="1"/>
  <c r="G190" i="1"/>
  <c r="G932" i="1"/>
  <c r="G342" i="1"/>
  <c r="G320" i="1"/>
  <c r="G43" i="1"/>
  <c r="G668" i="1"/>
  <c r="G443" i="1"/>
  <c r="G866" i="1"/>
  <c r="G528" i="1"/>
  <c r="G153" i="1"/>
  <c r="G592" i="1"/>
  <c r="G738" i="1"/>
  <c r="G459" i="1"/>
  <c r="G285" i="1"/>
  <c r="G645" i="1"/>
  <c r="G682" i="1"/>
  <c r="G239" i="1"/>
  <c r="G151" i="1"/>
  <c r="G647" i="1"/>
  <c r="G381" i="1"/>
  <c r="G742" i="1"/>
  <c r="G491" i="1"/>
  <c r="G726" i="1"/>
  <c r="G306" i="1"/>
  <c r="G688" i="1"/>
  <c r="G718" i="1"/>
  <c r="G610" i="1"/>
  <c r="G734" i="1"/>
  <c r="G772" i="1"/>
  <c r="G694" i="1"/>
  <c r="G796" i="1"/>
  <c r="G899" i="1"/>
  <c r="G99" i="1"/>
  <c r="G891" i="1"/>
  <c r="G663" i="1"/>
  <c r="G254" i="1"/>
  <c r="G198" i="1"/>
  <c r="G441" i="1"/>
  <c r="G863" i="1"/>
  <c r="G951" i="1"/>
  <c r="G638" i="1"/>
  <c r="G58" i="1"/>
  <c r="G492" i="1"/>
  <c r="G687" i="1"/>
  <c r="G466" i="1"/>
  <c r="G121" i="1"/>
  <c r="G357" i="1"/>
  <c r="G326" i="1"/>
  <c r="G328" i="1"/>
  <c r="G442" i="1"/>
  <c r="G113" i="1"/>
  <c r="G370" i="1"/>
  <c r="G258" i="1"/>
  <c r="G704" i="1"/>
  <c r="G595" i="1"/>
  <c r="G712" i="1"/>
  <c r="G213" i="1"/>
  <c r="G870" i="1"/>
  <c r="G759" i="1"/>
  <c r="G952" i="1"/>
  <c r="G450" i="1"/>
  <c r="G137" i="1"/>
  <c r="G580" i="1"/>
  <c r="G838" i="1"/>
  <c r="G953" i="1"/>
  <c r="G448" i="1"/>
  <c r="G331" i="1"/>
  <c r="G660" i="1"/>
  <c r="G681" i="1"/>
  <c r="G837" i="1"/>
  <c r="G182" i="1"/>
  <c r="G574" i="1"/>
  <c r="G683" i="1"/>
  <c r="G295" i="1"/>
  <c r="G479" i="1"/>
  <c r="G231" i="1"/>
  <c r="G335" i="1"/>
  <c r="G68" i="1"/>
  <c r="G391" i="1"/>
  <c r="G881" i="1"/>
  <c r="G792" i="1"/>
  <c r="G954" i="1"/>
  <c r="G250" i="1"/>
  <c r="G395" i="1"/>
  <c r="G810" i="1"/>
  <c r="G538" i="1"/>
  <c r="G855" i="1"/>
  <c r="G893" i="1"/>
  <c r="G617" i="1"/>
  <c r="G189" i="1"/>
  <c r="G542" i="1"/>
  <c r="G606" i="1"/>
  <c r="G249" i="1"/>
  <c r="G626" i="1"/>
  <c r="G733" i="1"/>
  <c r="G849" i="1"/>
  <c r="G230" i="1"/>
  <c r="G943" i="1"/>
  <c r="G723" i="1"/>
  <c r="G637" i="1"/>
  <c r="G752" i="1"/>
  <c r="G641" i="1"/>
  <c r="G256" i="1"/>
  <c r="G853" i="1"/>
  <c r="G607" i="1"/>
  <c r="G705" i="1"/>
  <c r="G634" i="1"/>
  <c r="G323" i="1"/>
  <c r="G292" i="1"/>
  <c r="G532" i="1"/>
  <c r="G813" i="1"/>
  <c r="G214" i="1"/>
  <c r="G224" i="1"/>
  <c r="G639" i="1"/>
  <c r="G944" i="1"/>
  <c r="G955" i="1"/>
  <c r="G345" i="1"/>
  <c r="G643" i="1"/>
  <c r="G884" i="1"/>
  <c r="G818" i="1"/>
  <c r="G432" i="1"/>
  <c r="G737" i="1"/>
  <c r="G496" i="1"/>
  <c r="G629" i="1"/>
  <c r="G673" i="1"/>
  <c r="G521" i="1"/>
  <c r="G824" i="1"/>
  <c r="G770" i="1"/>
  <c r="G431" i="1"/>
  <c r="G321" i="1"/>
  <c r="G880" i="1"/>
  <c r="G785" i="1"/>
  <c r="G727" i="1"/>
  <c r="G832" i="1"/>
  <c r="G706" i="1"/>
  <c r="G252" i="1"/>
  <c r="G732" i="1"/>
  <c r="G303" i="1"/>
  <c r="G114" i="1"/>
  <c r="G875" i="1"/>
  <c r="G904" i="1"/>
  <c r="G703" i="1"/>
  <c r="G619" i="1"/>
  <c r="G650" i="1"/>
  <c r="G531" i="1"/>
  <c r="G940" i="1"/>
  <c r="G674" i="1"/>
  <c r="G429" i="1"/>
  <c r="G456" i="1"/>
  <c r="G38" i="1"/>
  <c r="G510" i="1"/>
  <c r="G819" i="1"/>
  <c r="G670" i="1"/>
  <c r="G680" i="1"/>
  <c r="G332" i="1"/>
  <c r="G161" i="1"/>
  <c r="G761" i="1"/>
  <c r="G168" i="1"/>
  <c r="G60" i="1"/>
  <c r="G371" i="1"/>
  <c r="G32" i="1"/>
  <c r="G692" i="1"/>
  <c r="G260" i="1"/>
  <c r="G59" i="1"/>
  <c r="G134" i="1"/>
  <c r="G184" i="1"/>
  <c r="G781" i="1"/>
  <c r="G88" i="1"/>
  <c r="G744" i="1"/>
  <c r="G885" i="1"/>
  <c r="G304" i="1"/>
  <c r="G12" i="1"/>
  <c r="G731" i="1"/>
  <c r="G208" i="1"/>
  <c r="G522" i="1"/>
  <c r="G438" i="1"/>
  <c r="G289" i="1"/>
  <c r="G956" i="1"/>
  <c r="G270" i="1"/>
  <c r="G158" i="1"/>
  <c r="G360" i="1"/>
  <c r="G782" i="1"/>
  <c r="G957" i="1"/>
  <c r="G40" i="1"/>
  <c r="G802" i="1"/>
  <c r="G701" i="1"/>
  <c r="G36" i="1"/>
  <c r="G958" i="1"/>
  <c r="G34" i="1"/>
  <c r="G583" i="1"/>
  <c r="G203" i="1"/>
  <c r="G685" i="1"/>
  <c r="G405" i="1"/>
  <c r="G636" i="1"/>
  <c r="G916" i="1"/>
  <c r="G421" i="1"/>
  <c r="G711" i="1"/>
  <c r="G444" i="1"/>
  <c r="G298" i="1"/>
  <c r="G25" i="1"/>
  <c r="G936" i="1"/>
  <c r="G677" i="1"/>
  <c r="G202" i="1"/>
  <c r="G757" i="1"/>
  <c r="G413" i="1"/>
  <c r="G860" i="1"/>
  <c r="G324" i="1"/>
  <c r="G928" i="1"/>
  <c r="G693" i="1"/>
  <c r="G811" i="1"/>
  <c r="G499" i="1"/>
  <c r="G503" i="1"/>
  <c r="G481" i="1"/>
  <c r="G454" i="1"/>
  <c r="G822" i="1"/>
  <c r="G56" i="1"/>
  <c r="G47" i="1"/>
  <c r="G174" i="1"/>
  <c r="G480" i="1"/>
  <c r="G170" i="1"/>
  <c r="G27" i="1"/>
  <c r="G652" i="1"/>
  <c r="G843" i="1"/>
  <c r="G696" i="1"/>
  <c r="G566" i="1"/>
  <c r="G871" i="1"/>
  <c r="G23" i="1"/>
  <c r="G97" i="1"/>
  <c r="G672" i="1"/>
  <c r="G749" i="1"/>
  <c r="G128" i="1"/>
  <c r="G867" i="1"/>
  <c r="G11" i="1"/>
  <c r="G286" i="1"/>
  <c r="G550" i="1"/>
  <c r="G89" i="1"/>
  <c r="G874" i="1"/>
  <c r="G959" i="1"/>
  <c r="G654" i="1"/>
  <c r="G404" i="1"/>
  <c r="G764" i="1"/>
  <c r="G591" i="1"/>
  <c r="G784" i="1"/>
  <c r="G464" i="1"/>
  <c r="G700" i="1"/>
  <c r="G603" i="1"/>
  <c r="G753" i="1"/>
  <c r="G301" i="1"/>
  <c r="G312" i="1"/>
  <c r="G261" i="1"/>
  <c r="G20" i="1"/>
  <c r="G827" i="1"/>
  <c r="G534" i="1"/>
  <c r="G91" i="1"/>
  <c r="G425" i="1"/>
  <c r="G777" i="1"/>
  <c r="G408" i="1"/>
  <c r="G243" i="1"/>
  <c r="G280" i="1"/>
  <c r="G725" i="1"/>
  <c r="G157" i="1"/>
  <c r="G515" i="1"/>
  <c r="G675" i="1"/>
  <c r="G390" i="1"/>
  <c r="G586" i="1"/>
  <c r="G372" i="1"/>
  <c r="G351" i="1"/>
  <c r="G308" i="1"/>
  <c r="G582" i="1"/>
  <c r="G571" i="1"/>
  <c r="G95" i="1"/>
  <c r="G774" i="1"/>
  <c r="G127" i="1"/>
  <c r="G401" i="1"/>
  <c r="G691" i="1"/>
  <c r="G422" i="1"/>
  <c r="G960" i="1"/>
  <c r="G698" i="1"/>
  <c r="G533" i="1"/>
  <c r="G787" i="1"/>
  <c r="G912" i="1"/>
  <c r="G614" i="1"/>
  <c r="G961" i="1"/>
  <c r="G709" i="1"/>
  <c r="G449" i="1"/>
  <c r="G488" i="1"/>
  <c r="G244" i="1"/>
  <c r="G474" i="1"/>
  <c r="G195" i="1"/>
  <c r="G805" i="1"/>
  <c r="G743" i="1"/>
  <c r="G728" i="1"/>
  <c r="G612" i="1"/>
  <c r="G410" i="1"/>
  <c r="G962" i="1"/>
  <c r="G640" i="1"/>
  <c r="G196" i="1"/>
  <c r="G593" i="1"/>
  <c r="G565" i="1"/>
  <c r="G747" i="1"/>
  <c r="G776" i="1"/>
  <c r="G664" i="1"/>
  <c r="G48" i="1"/>
  <c r="G801" i="1"/>
  <c r="G191" i="1"/>
  <c r="G963" i="1"/>
  <c r="G468" i="1"/>
  <c r="G631" i="1"/>
  <c r="G814" i="1"/>
  <c r="G469" i="1"/>
  <c r="G315" i="1"/>
  <c r="G302" i="1"/>
  <c r="G964" i="1"/>
  <c r="G8" i="1"/>
  <c r="G9" i="1"/>
  <c r="G850" i="1"/>
  <c r="G319" i="1"/>
  <c r="G123" i="1"/>
  <c r="G167" i="1"/>
  <c r="G141" i="1"/>
  <c r="G143" i="1"/>
  <c r="G439" i="1"/>
  <c r="G205" i="1"/>
  <c r="G779" i="1"/>
  <c r="G644" i="1"/>
  <c r="G162" i="1"/>
  <c r="G487" i="1"/>
  <c r="G463" i="1"/>
  <c r="G115" i="1"/>
  <c r="G229" i="1"/>
  <c r="G915" i="1"/>
  <c r="G965" i="1"/>
  <c r="G169" i="1"/>
  <c r="G861" i="1"/>
  <c r="G180" i="1"/>
  <c r="G221" i="1"/>
  <c r="G646" i="1"/>
  <c r="G362" i="1"/>
  <c r="G942" i="1"/>
  <c r="G307" i="1"/>
  <c r="G363" i="1"/>
  <c r="G910" i="1"/>
  <c r="G713" i="1"/>
  <c r="G181" i="1"/>
  <c r="G788" i="1"/>
  <c r="G110" i="1"/>
  <c r="G399" i="1"/>
  <c r="G548" i="1"/>
  <c r="G160" i="1"/>
  <c r="G281" i="1"/>
  <c r="G676" i="1"/>
  <c r="G30" i="1"/>
  <c r="G558" i="1"/>
  <c r="G118" i="1"/>
  <c r="G313" i="1"/>
  <c r="G775" i="1"/>
  <c r="G76" i="1"/>
  <c r="G279" i="1"/>
  <c r="G756" i="1"/>
  <c r="G876" i="1"/>
  <c r="G188" i="1"/>
  <c r="G150" i="1"/>
  <c r="G164" i="1"/>
  <c r="G74" i="1"/>
  <c r="G22" i="1"/>
  <c r="G402" i="1"/>
  <c r="G122" i="1"/>
  <c r="G921" i="1"/>
  <c r="G272" i="1"/>
  <c r="G125" i="1"/>
  <c r="G276" i="1"/>
  <c r="G966" i="1"/>
  <c r="G817" i="1"/>
  <c r="G236" i="1"/>
  <c r="G426" i="1"/>
  <c r="G746" i="1"/>
  <c r="G376" i="1"/>
  <c r="G967" i="1"/>
  <c r="G968" i="1"/>
  <c r="G103" i="1"/>
  <c r="G547" i="1"/>
  <c r="G689" i="1"/>
  <c r="G969" i="1"/>
  <c r="G615" i="1"/>
  <c r="G69" i="1"/>
  <c r="G760" i="1"/>
  <c r="G500" i="1"/>
  <c r="G699" i="1"/>
  <c r="G83" i="1"/>
  <c r="G506" i="1"/>
  <c r="G719" i="1"/>
  <c r="G736" i="1"/>
  <c r="G172" i="1"/>
  <c r="G119" i="1"/>
  <c r="G192" i="1"/>
  <c r="G768" i="1"/>
  <c r="G642" i="1"/>
  <c r="G679" i="1"/>
  <c r="G504" i="1"/>
  <c r="G257" i="1"/>
  <c r="G185" i="1"/>
  <c r="G530" i="1"/>
  <c r="G906" i="1"/>
  <c r="G387" i="1"/>
  <c r="G436" i="1"/>
  <c r="G729" i="1"/>
  <c r="G73" i="1"/>
  <c r="G388" i="1"/>
  <c r="G400" i="1"/>
  <c r="G397" i="1"/>
  <c r="G407" i="1"/>
  <c r="G523" i="1"/>
  <c r="G316" i="1"/>
  <c r="G949" i="1"/>
  <c r="G624" i="1"/>
  <c r="G223" i="1"/>
  <c r="G970" i="1"/>
  <c r="G971" i="1"/>
  <c r="G809" i="1"/>
  <c r="G455" i="1"/>
  <c r="G437" i="1"/>
  <c r="G314" i="1"/>
  <c r="G66" i="1"/>
  <c r="G57" i="1"/>
  <c r="G564" i="1"/>
  <c r="G569" i="1"/>
  <c r="G950" i="1"/>
  <c r="G535" i="1"/>
  <c r="G508" i="1"/>
  <c r="G375" i="1"/>
  <c r="G473" i="1"/>
  <c r="G483" i="1"/>
  <c r="G267" i="1"/>
  <c r="G553" i="1"/>
  <c r="G938" i="1"/>
  <c r="G616" i="1"/>
  <c r="G225" i="1"/>
  <c r="G618" i="1"/>
  <c r="G277" i="1"/>
  <c r="G883" i="1"/>
  <c r="G648" i="1"/>
  <c r="G972" i="1"/>
  <c r="G931" i="1"/>
  <c r="G926" i="1"/>
  <c r="G783" i="1"/>
  <c r="G154" i="1"/>
  <c r="G215" i="1"/>
  <c r="G766" i="1"/>
  <c r="G973" i="1"/>
  <c r="G974" i="1"/>
  <c r="G539" i="1"/>
  <c r="G816" i="1"/>
  <c r="G354" i="1"/>
  <c r="G911" i="1"/>
  <c r="G806" i="1"/>
  <c r="G300" i="1"/>
  <c r="G975" i="1"/>
  <c r="G529" i="1"/>
  <c r="G135" i="1"/>
  <c r="G567" i="1"/>
  <c r="G859" i="1"/>
  <c r="G976" i="1"/>
  <c r="G142" i="1"/>
  <c r="G420" i="1"/>
  <c r="G585" i="1"/>
  <c r="G934" i="1"/>
  <c r="G80" i="1"/>
  <c r="G44" i="1"/>
  <c r="G317" i="1"/>
  <c r="G589" i="1"/>
  <c r="G255" i="1"/>
  <c r="G977" i="1"/>
  <c r="G294" i="1"/>
  <c r="G628" i="1"/>
  <c r="G905" i="1"/>
  <c r="G869" i="1"/>
  <c r="G482" i="1"/>
  <c r="G199" i="1"/>
  <c r="G835" i="1"/>
  <c r="G878" i="1"/>
  <c r="G913" i="1"/>
  <c r="G179" i="1"/>
  <c r="G896" i="1"/>
  <c r="G560" i="1"/>
  <c r="G657" i="1"/>
  <c r="G842" i="1"/>
  <c r="G101" i="1"/>
  <c r="G130" i="1"/>
  <c r="G129" i="1"/>
  <c r="G831" i="1"/>
  <c r="G411" i="1"/>
  <c r="G717" i="1"/>
  <c r="G661" i="1"/>
  <c r="G602" i="1"/>
  <c r="G238" i="1"/>
  <c r="G512" i="1"/>
  <c r="G364" i="1"/>
  <c r="G183" i="1"/>
  <c r="G543" i="1"/>
  <c r="G517" i="1"/>
  <c r="G917" i="1"/>
  <c r="G484" i="1"/>
  <c r="G635" i="1"/>
  <c r="G145" i="1"/>
  <c r="G278" i="1"/>
  <c r="G978" i="1"/>
  <c r="G890" i="1"/>
  <c r="G209" i="1"/>
  <c r="G29" i="1"/>
  <c r="G745" i="1"/>
  <c r="G462" i="1"/>
  <c r="G767" i="1"/>
  <c r="G136" i="1"/>
  <c r="G460" i="1"/>
  <c r="G311" i="1"/>
  <c r="G722" i="1"/>
  <c r="G240" i="1"/>
  <c r="G339" i="1"/>
  <c r="G35" i="1"/>
  <c r="G445" i="1"/>
  <c r="G625" i="1"/>
  <c r="G724" i="1"/>
  <c r="G901" i="1"/>
  <c r="G573" i="1"/>
  <c r="G79" i="1"/>
  <c r="G979" i="1"/>
  <c r="G846" i="1"/>
  <c r="G525" i="1"/>
  <c r="G81" i="1"/>
  <c r="G28" i="1"/>
  <c r="G156" i="1"/>
  <c r="G358" i="1"/>
  <c r="G524" i="1"/>
  <c r="G334" i="1"/>
  <c r="G201" i="1"/>
  <c r="G92" i="1"/>
  <c r="G858" i="1"/>
  <c r="G888" i="1"/>
  <c r="G396" i="1"/>
  <c r="G748" i="1"/>
  <c r="G246" i="1"/>
  <c r="G887" i="1"/>
  <c r="G762" i="1"/>
  <c r="G545" i="1"/>
  <c r="G409" i="1"/>
  <c r="G980" i="1"/>
  <c r="G981" i="1"/>
  <c r="G166" i="1"/>
  <c r="G359" i="1"/>
  <c r="G54" i="1"/>
  <c r="G630" i="1"/>
  <c r="G206" i="1"/>
  <c r="G505" i="1"/>
  <c r="G337" i="1"/>
  <c r="G937" i="1"/>
  <c r="G82" i="1"/>
  <c r="G343" i="1"/>
  <c r="G982" i="1"/>
  <c r="G361" i="1"/>
  <c r="G194" i="1"/>
  <c r="G322" i="1"/>
  <c r="G124" i="1"/>
  <c r="G228" i="1"/>
  <c r="G284" i="1"/>
  <c r="G453" i="1"/>
  <c r="G621" i="1"/>
  <c r="G983" i="1"/>
  <c r="G984" i="1"/>
  <c r="G778" i="1"/>
  <c r="G440" i="1"/>
  <c r="G227" i="1"/>
  <c r="G596" i="1"/>
  <c r="G61" i="1"/>
  <c r="G909" i="1"/>
  <c r="G200" i="1"/>
  <c r="G392" i="1"/>
  <c r="G424" i="1"/>
  <c r="G851" i="1"/>
  <c r="G877" i="1"/>
  <c r="G897" i="1"/>
  <c r="G812" i="1"/>
  <c r="G485" i="1"/>
  <c r="G338" i="1"/>
  <c r="G856" i="1"/>
  <c r="G212" i="1"/>
  <c r="G985" i="1"/>
  <c r="G218" i="1"/>
  <c r="G21" i="1"/>
  <c r="G433" i="1"/>
  <c r="G117" i="1"/>
  <c r="G85" i="1"/>
  <c r="G305" i="1"/>
  <c r="G986" i="1"/>
  <c r="G927" i="1"/>
  <c r="G570" i="1"/>
  <c r="G107" i="1"/>
  <c r="G929" i="1"/>
  <c r="G600" i="1"/>
  <c r="G78" i="1"/>
  <c r="G900" i="1"/>
  <c r="G296" i="1"/>
  <c r="G852" i="1"/>
  <c r="G355" i="1"/>
  <c r="G63" i="1"/>
  <c r="G537" i="1"/>
  <c r="G902" i="1"/>
  <c r="G133" i="1"/>
  <c r="G382" i="1"/>
  <c r="G17" i="1"/>
  <c r="G808" i="1"/>
  <c r="G340" i="1"/>
  <c r="G514" i="1"/>
  <c r="G907" i="1"/>
  <c r="G716" i="1"/>
  <c r="G384" i="1"/>
  <c r="G67" i="1"/>
  <c r="G207" i="1"/>
  <c r="G947" i="1"/>
  <c r="G415" i="1"/>
  <c r="G37" i="1"/>
  <c r="G226" i="1"/>
  <c r="G987" i="1"/>
  <c r="G414" i="1"/>
  <c r="G826" i="1"/>
  <c r="G708" i="1"/>
  <c r="G241" i="1"/>
  <c r="G352" i="1"/>
  <c r="G501" i="1"/>
  <c r="G561" i="1"/>
  <c r="G102" i="1"/>
  <c r="G988" i="1"/>
  <c r="G686" i="1"/>
  <c r="G872" i="1"/>
  <c r="G50" i="1"/>
  <c r="G186" i="1"/>
  <c r="G620" i="1"/>
  <c r="G656" i="1"/>
  <c r="G989" i="1"/>
  <c r="G493" i="1"/>
  <c r="G291" i="1"/>
  <c r="G604" i="1"/>
  <c r="G144" i="1"/>
  <c r="G847" i="1"/>
  <c r="G475" i="1"/>
  <c r="G318" i="1"/>
  <c r="G265" i="1"/>
  <c r="G920" i="1"/>
  <c r="G540" i="1"/>
  <c r="G939" i="1"/>
  <c r="G55" i="1"/>
  <c r="G367" i="1"/>
  <c r="G105" i="1"/>
  <c r="G478" i="1"/>
  <c r="G104" i="1"/>
  <c r="G684" i="1"/>
  <c r="G556" i="1"/>
  <c r="G253" i="1"/>
  <c r="G990" i="1"/>
  <c r="G935" i="1"/>
  <c r="G412" i="1"/>
  <c r="G671" i="1"/>
  <c r="G353" i="1"/>
  <c r="G991" i="1"/>
  <c r="G31" i="1"/>
  <c r="G299" i="1"/>
  <c r="G588" i="1"/>
  <c r="G773" i="1"/>
  <c r="G601" i="1"/>
  <c r="G7" i="1"/>
  <c r="G470" i="1"/>
  <c r="G16" i="1"/>
  <c r="G393" i="1"/>
  <c r="G275" i="1"/>
  <c r="G394" i="1"/>
  <c r="G373" i="1"/>
  <c r="G786" i="1"/>
  <c r="G452" i="1"/>
  <c r="G187" i="1"/>
  <c r="G234" i="1"/>
  <c r="G374" i="1"/>
  <c r="G894" i="1"/>
  <c r="G232" i="1"/>
  <c r="G845" i="1"/>
  <c r="G53" i="1"/>
  <c r="G100" i="1"/>
  <c r="G64" i="1"/>
  <c r="G865" i="1"/>
  <c r="G577" i="1"/>
  <c r="G290" i="1"/>
  <c r="G418" i="1"/>
  <c r="G903" i="1"/>
  <c r="G895" i="1"/>
  <c r="G403" i="1"/>
  <c r="G840" i="1"/>
  <c r="G93" i="1"/>
  <c r="G235" i="1"/>
  <c r="G131" i="1"/>
  <c r="G576" i="1"/>
  <c r="G148" i="1"/>
  <c r="G377" i="1"/>
  <c r="G611" i="1"/>
  <c r="G821" i="1"/>
  <c r="G263" i="1"/>
  <c r="G147" i="1"/>
  <c r="G549" i="1"/>
  <c r="G655" i="1"/>
  <c r="G383" i="1"/>
  <c r="G152" i="1"/>
  <c r="G26" i="1"/>
  <c r="G527" i="1"/>
  <c r="G269" i="1"/>
  <c r="G992" i="1"/>
  <c r="G575" i="1"/>
  <c r="G204" i="1"/>
  <c r="G587" i="1"/>
  <c r="G559" i="1"/>
  <c r="G52" i="1"/>
  <c r="G45" i="1"/>
  <c r="G497" i="1"/>
  <c r="G19" i="1"/>
  <c r="G423" i="1"/>
  <c r="G993" i="1"/>
  <c r="G273" i="1"/>
  <c r="G925" i="1"/>
  <c r="G171" i="1"/>
  <c r="G739" i="1"/>
  <c r="G77" i="1"/>
  <c r="G590" i="1"/>
  <c r="G62" i="1"/>
  <c r="G333" i="1"/>
  <c r="G829" i="1"/>
  <c r="G39" i="1"/>
  <c r="G562" i="1"/>
  <c r="G86" i="1"/>
  <c r="G889" i="1"/>
  <c r="G329" i="1"/>
  <c r="G502" i="1"/>
  <c r="G46" i="1"/>
  <c r="G836" i="1"/>
  <c r="G769" i="1"/>
  <c r="G178" i="1"/>
  <c r="G476" i="1"/>
  <c r="G341" i="1"/>
  <c r="G807" i="1"/>
  <c r="G139" i="1"/>
  <c r="G274" i="1"/>
  <c r="G471" i="1"/>
  <c r="G347" i="1"/>
  <c r="G14" i="1"/>
  <c r="G633" i="1"/>
  <c r="G446" i="1"/>
  <c r="G149" i="1"/>
  <c r="G94" i="1"/>
  <c r="G96" i="1"/>
  <c r="G918" i="1"/>
  <c r="G193" i="1"/>
  <c r="G486" i="1"/>
  <c r="G551" i="1"/>
  <c r="G994" i="1"/>
  <c r="G173" i="1"/>
  <c r="G472" i="1"/>
  <c r="G71" i="1"/>
  <c r="G995" i="1"/>
  <c r="G4" i="1"/>
  <c r="G651" i="1"/>
  <c r="G13" i="1"/>
  <c r="G996" i="1"/>
  <c r="G914" i="1"/>
  <c r="G572" i="1"/>
  <c r="G758" i="1"/>
  <c r="G834" i="1"/>
  <c r="G140" i="1"/>
  <c r="G259" i="1"/>
  <c r="G997" i="1"/>
  <c r="G507" i="1"/>
  <c r="G242" i="1"/>
  <c r="G219" i="1"/>
  <c r="G998" i="1"/>
  <c r="G111" i="1"/>
  <c r="G220" i="1"/>
  <c r="G451" i="1"/>
  <c r="G159" i="1"/>
  <c r="G763" i="1"/>
  <c r="G18" i="1"/>
  <c r="G795" i="1"/>
  <c r="G933" i="1"/>
  <c r="G268" i="1"/>
  <c r="G132" i="1"/>
  <c r="G165" i="1"/>
  <c r="G108" i="1"/>
  <c r="G798" i="1"/>
  <c r="G248" i="1"/>
  <c r="G608" i="1"/>
  <c r="G349" i="1"/>
  <c r="G210" i="1"/>
  <c r="G948" i="1"/>
  <c r="G6" i="1"/>
  <c r="G427" i="1"/>
  <c r="G251" i="1"/>
  <c r="G366" i="1"/>
  <c r="G222" i="1"/>
  <c r="G923" i="1"/>
  <c r="G10" i="1"/>
  <c r="G116" i="1"/>
  <c r="G999" i="1"/>
  <c r="G163" i="1"/>
  <c r="G368" i="1"/>
  <c r="G1000" i="1"/>
  <c r="G346" i="1"/>
  <c r="G919" i="1"/>
  <c r="G490" i="1"/>
  <c r="G378" i="1"/>
  <c r="G419" i="1"/>
  <c r="G946" i="1"/>
  <c r="G70" i="1"/>
  <c r="G283" i="1"/>
  <c r="G544" i="1"/>
  <c r="G245" i="1"/>
  <c r="G828" i="1"/>
  <c r="G33" i="1"/>
  <c r="G65" i="1"/>
  <c r="G653" i="1"/>
  <c r="G520" i="1"/>
  <c r="G155" i="1"/>
  <c r="G623" i="1"/>
  <c r="G848" i="1"/>
  <c r="G356" i="1"/>
  <c r="G924" i="1"/>
  <c r="G5" i="1"/>
  <c r="G416" i="1"/>
  <c r="G428" i="1"/>
  <c r="G109" i="1"/>
  <c r="G112" i="1"/>
  <c r="G707" i="1"/>
  <c r="G84" i="1"/>
  <c r="G2" i="1"/>
  <c r="G24" i="1"/>
  <c r="G557" i="1"/>
  <c r="G287" i="1"/>
  <c r="G519" i="1"/>
  <c r="G930" i="1"/>
  <c r="G217" i="1"/>
  <c r="G754" i="1"/>
  <c r="G489" i="1"/>
  <c r="G598" i="1"/>
  <c r="G457" i="1"/>
  <c r="G282" i="1"/>
  <c r="G794" i="1"/>
  <c r="G51" i="1"/>
  <c r="G3" i="1"/>
  <c r="G406" i="1"/>
  <c r="G1001" i="1"/>
  <c r="G803" i="1"/>
  <c r="G513" i="1"/>
  <c r="G568" i="1"/>
  <c r="G247" i="1"/>
  <c r="G15" i="1"/>
  <c r="G458" i="1"/>
  <c r="G511" i="1"/>
  <c r="G613" i="1"/>
  <c r="G309" i="1"/>
  <c r="G667" i="1"/>
  <c r="G815" i="1"/>
  <c r="G176" i="1"/>
  <c r="G288" i="1"/>
  <c r="G862" i="1"/>
  <c r="G751" i="1"/>
  <c r="G854" i="1"/>
  <c r="G581" i="1"/>
  <c r="G922" i="1"/>
  <c r="G467" i="1"/>
  <c r="G554" i="1"/>
  <c r="G879" i="1"/>
  <c r="G344" i="1"/>
  <c r="G578" i="1"/>
  <c r="G579" i="1"/>
  <c r="G833" i="1"/>
  <c r="G669" i="1"/>
  <c r="G434" i="1"/>
  <c r="G627" i="1"/>
  <c r="G797" i="1"/>
  <c r="G546" i="1"/>
  <c r="G735" i="1"/>
  <c r="G825" i="1"/>
  <c r="G941" i="1"/>
  <c r="G892" i="1"/>
  <c r="G98" i="1"/>
  <c r="G555" i="1"/>
  <c r="G293" i="1"/>
  <c r="G882" i="1"/>
  <c r="G800" i="1"/>
  <c r="G106" i="1"/>
  <c r="G609" i="1"/>
  <c r="G297" i="1"/>
  <c r="G632" i="1"/>
  <c r="G690" i="1"/>
  <c r="G197" i="1"/>
  <c r="G868" i="1"/>
  <c r="G385" i="1"/>
  <c r="G380" i="1"/>
  <c r="G830" i="1"/>
  <c r="G90" i="1"/>
  <c r="G120" i="1"/>
  <c r="G945" i="1"/>
  <c r="G369" i="1"/>
  <c r="G336" i="1"/>
  <c r="G730" i="1"/>
  <c r="G563" i="1"/>
  <c r="G541" i="1"/>
  <c r="G75" i="1"/>
  <c r="G695" i="1"/>
  <c r="G386" i="1"/>
  <c r="G584" i="1"/>
  <c r="G465" i="1"/>
  <c r="G264" i="1"/>
  <c r="G49" i="1"/>
  <c r="G87" i="1"/>
  <c r="G42" i="1"/>
  <c r="G864" i="1"/>
  <c r="G365" i="1"/>
  <c r="G666" i="1"/>
  <c r="G41" i="1"/>
  <c r="G350" i="1"/>
  <c r="G594" i="1"/>
  <c r="G793" i="1"/>
  <c r="G398" i="1"/>
  <c r="G266" i="1"/>
  <c r="G126" i="1"/>
  <c r="G72" i="1"/>
  <c r="G177" i="1"/>
  <c r="G138" i="1"/>
  <c r="G379" i="1"/>
  <c r="G262" i="1"/>
  <c r="G841" i="1"/>
  <c r="G741" i="1"/>
  <c r="G697" i="1"/>
  <c r="G908" i="1"/>
  <c r="G597" i="1"/>
  <c r="O29" i="1"/>
  <c r="O28" i="1"/>
  <c r="O27" i="1"/>
  <c r="O26" i="1"/>
  <c r="O25" i="1"/>
  <c r="O24" i="1"/>
  <c r="O19" i="1"/>
  <c r="O18" i="1"/>
  <c r="G873" i="1"/>
  <c r="O17" i="1"/>
  <c r="G649" i="1"/>
  <c r="G789" i="1"/>
  <c r="G146" i="1"/>
  <c r="G755" i="1"/>
  <c r="G898" i="1"/>
  <c r="O12" i="1"/>
  <c r="O11" i="1"/>
  <c r="O10" i="1"/>
  <c r="O9" i="1"/>
  <c r="O8" i="1"/>
  <c r="O1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7F5191-5626-4A93-A277-74D5B49D946C}" keepAlive="1" name="Query - power query" description="Connection to the 'power query' query in the workbook." type="5" refreshedVersion="8" background="1" saveData="1">
    <dbPr connection="Provider=Microsoft.Mashup.OleDb.1;Data Source=$Workbook$;Location=&quot;power query&quot;;Extended Properties=&quot;&quot;" command="SELECT * FROM [power query]"/>
  </connection>
  <connection id="2" xr16:uid="{B77165FD-A6CB-4992-910F-328810C64DDC}" keepAlive="1" name="Query - power_query" description="Connection to the 'power_query' query in the workbook." type="5" refreshedVersion="0" background="1">
    <dbPr connection="Provider=Microsoft.Mashup.OleDb.1;Data Source=$Workbook$;Location=power_query;Extended Properties=&quot;&quot;" command="SELECT * FROM [power_query]"/>
  </connection>
  <connection id="3" xr16:uid="{2A7DC246-81ED-4D81-9E93-7087997174D7}" keepAlive="1" name="Query - Table2" description="Connection to the 'Table2' query in the workbook." type="5" refreshedVersion="0" background="1" saveData="1">
    <dbPr connection="Provider=Microsoft.Mashup.OleDb.1;Data Source=$Workbook$;Location=Table2;Extended Properties=&quot;&quot;" command="SELECT * FROM [Table2]"/>
  </connection>
  <connection id="4" xr16:uid="{3DA77E68-4E45-4254-8F4F-FD8AC0CD8411}" keepAlive="1" name="Query - Table2 (2)" description="Connection to the 'Table2 (2)' query in the workbook." type="5" refreshedVersion="0" background="1">
    <dbPr connection="Provider=Microsoft.Mashup.OleDb.1;Data Source=$Workbook$;Location=&quot;Table2 (2)&quot;;Extended Properties=&quot;&quot;" command="SELECT * FROM [Table2 (2)]"/>
  </connection>
  <connection id="5" xr16:uid="{41F05542-DDFD-455B-A0B3-E14E89D95C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4F59AC27-9D9B-4CA2-AFB8-B3B34EA82C1F}" name="WorksheetConnection_excel project parfum.xlsx!Table1" type="102" refreshedVersion="8" minRefreshableVersion="5">
    <extLst>
      <ext xmlns:x15="http://schemas.microsoft.com/office/spreadsheetml/2010/11/main" uri="{DE250136-89BD-433C-8126-D09CA5730AF9}">
        <x15:connection id="Table1">
          <x15:rangePr sourceName="_xlcn.WorksheetConnection_excelprojectparfum.xlsxTable11"/>
        </x15:connection>
      </ext>
    </extLst>
  </connection>
  <connection id="7" xr16:uid="{133E9AD1-9953-4686-99A5-914E4F7EB7ED}" name="WorksheetConnection_excel project.xlsx!Parfum" type="102" refreshedVersion="8" minRefreshableVersion="5">
    <extLst>
      <ext xmlns:x15="http://schemas.microsoft.com/office/spreadsheetml/2010/11/main" uri="{DE250136-89BD-433C-8126-D09CA5730AF9}">
        <x15:connection id="Parfum">
          <x15:rangePr sourceName="_xlcn.WorksheetConnection_excelproject.xlsxParfum1"/>
        </x15:connection>
      </ext>
    </extLst>
  </connection>
  <connection id="8" xr16:uid="{11BEDB4B-51A6-44A0-8961-99B73DF20CBB}" name="WorksheetConnection_excel project.xlsx!Sales" type="102" refreshedVersion="8" minRefreshableVersion="5">
    <extLst>
      <ext xmlns:x15="http://schemas.microsoft.com/office/spreadsheetml/2010/11/main" uri="{DE250136-89BD-433C-8126-D09CA5730AF9}">
        <x15:connection id="Sales">
          <x15:rangePr sourceName="_xlcn.WorksheetConnection_excelproject.xlsxSales1"/>
        </x15:connection>
      </ext>
    </extLst>
  </connection>
  <connection id="9" xr16:uid="{A2AFEDDD-4544-4F25-9DED-5534AB02BE70}" name="WorksheetConnection_excel project.xlsx!Table2" type="102" refreshedVersion="8" minRefreshableVersion="5">
    <extLst>
      <ext xmlns:x15="http://schemas.microsoft.com/office/spreadsheetml/2010/11/main" uri="{DE250136-89BD-433C-8126-D09CA5730AF9}">
        <x15:connection id="Table2" autoDelete="1">
          <x15:rangePr sourceName="_xlcn.WorksheetConnection_excelproject.xlsxTable2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2].[Last Updated (Quarter)].[All]}"/>
  </metadataStrings>
  <mdxMetadata count="1">
    <mdx n="0" f="s">
      <ms ns="1" c="0"/>
    </mdx>
  </mdxMetadata>
  <valueMetadata count="1">
    <bk>
      <rc t="1" v="0"/>
    </bk>
  </valueMetadata>
</metadata>
</file>

<file path=xl/sharedStrings.xml><?xml version="1.0" encoding="utf-8"?>
<sst xmlns="http://schemas.openxmlformats.org/spreadsheetml/2006/main" count="12557" uniqueCount="683">
  <si>
    <t>Dior</t>
  </si>
  <si>
    <t>Eau de Parfum</t>
  </si>
  <si>
    <t>Unbranded</t>
  </si>
  <si>
    <t>Eau de Toilette</t>
  </si>
  <si>
    <t>Giorgio Armani</t>
  </si>
  <si>
    <t>Lattafa</t>
  </si>
  <si>
    <t>Multiple Brands</t>
  </si>
  <si>
    <t>Maison Alhambra</t>
  </si>
  <si>
    <t>Gucci</t>
  </si>
  <si>
    <t>Ralph Lauren</t>
  </si>
  <si>
    <t>Dolce&amp;Gabbana</t>
  </si>
  <si>
    <t>As Show</t>
  </si>
  <si>
    <t>Versace</t>
  </si>
  <si>
    <t>Paco Rabanne</t>
  </si>
  <si>
    <t>Grandeur</t>
  </si>
  <si>
    <t>Armaf</t>
  </si>
  <si>
    <t>Carolina Herrera</t>
  </si>
  <si>
    <t>Dolce &amp; Gabbana</t>
  </si>
  <si>
    <t>Clinique</t>
  </si>
  <si>
    <t>Dumont</t>
  </si>
  <si>
    <t>Afnan</t>
  </si>
  <si>
    <t>Azzaro</t>
  </si>
  <si>
    <t>Bharara</t>
  </si>
  <si>
    <t>Valentino</t>
  </si>
  <si>
    <t>Montblanc</t>
  </si>
  <si>
    <t>Rasasi</t>
  </si>
  <si>
    <t>Calvin Klein</t>
  </si>
  <si>
    <t>Polo Ralph Lauren</t>
  </si>
  <si>
    <t>C.K</t>
  </si>
  <si>
    <t>John Varvatos</t>
  </si>
  <si>
    <t>Nautica</t>
  </si>
  <si>
    <t>As Picture Show</t>
  </si>
  <si>
    <t>Kenneth Cole</t>
  </si>
  <si>
    <t>Roja</t>
  </si>
  <si>
    <t>Unscented</t>
  </si>
  <si>
    <t>Mirage Brands</t>
  </si>
  <si>
    <t>Abercrombie &amp; Fitch</t>
  </si>
  <si>
    <t>Eau de Cologne</t>
  </si>
  <si>
    <t>Moschino</t>
  </si>
  <si>
    <t>As Shown</t>
  </si>
  <si>
    <t>Superz Budapest</t>
  </si>
  <si>
    <t>Gianni Versace</t>
  </si>
  <si>
    <t>Christian Dior</t>
  </si>
  <si>
    <t>Diesel</t>
  </si>
  <si>
    <t>Lacoste</t>
  </si>
  <si>
    <t>Eau De Toilette</t>
  </si>
  <si>
    <t>Dossier</t>
  </si>
  <si>
    <t>Michael Malul</t>
  </si>
  <si>
    <t>Zara</t>
  </si>
  <si>
    <t>Aramis</t>
  </si>
  <si>
    <t>Jean Paul Gaultier</t>
  </si>
  <si>
    <t>Davidoff</t>
  </si>
  <si>
    <t>As Picture Shown</t>
  </si>
  <si>
    <t>Bvlgari</t>
  </si>
  <si>
    <t>Pheromone</t>
  </si>
  <si>
    <t>Salvatore Ferragamo</t>
  </si>
  <si>
    <t>Ard Al Zaafaran</t>
  </si>
  <si>
    <t>Karl Lagerfeld</t>
  </si>
  <si>
    <t>J. Del Pozo</t>
  </si>
  <si>
    <t>Sean John</t>
  </si>
  <si>
    <t>Jaguar</t>
  </si>
  <si>
    <t>King</t>
  </si>
  <si>
    <t>Prada</t>
  </si>
  <si>
    <t>Mont Blanc</t>
  </si>
  <si>
    <t>Paul Sebastian</t>
  </si>
  <si>
    <t>Halloween</t>
  </si>
  <si>
    <t>Boucheron</t>
  </si>
  <si>
    <t>Jo Malone</t>
  </si>
  <si>
    <t>Khadlaj</t>
  </si>
  <si>
    <t>Louis Vuitton</t>
  </si>
  <si>
    <t>Creed</t>
  </si>
  <si>
    <t>Hermes</t>
  </si>
  <si>
    <t>Lalique</t>
  </si>
  <si>
    <t>Liz Claiborne</t>
  </si>
  <si>
    <t>Joop</t>
  </si>
  <si>
    <t>Ted Lapidus</t>
  </si>
  <si>
    <t>Eau de toilette</t>
  </si>
  <si>
    <t>Lomani</t>
  </si>
  <si>
    <t>Roja Dove</t>
  </si>
  <si>
    <t>Tom Ford</t>
  </si>
  <si>
    <t>Al Wataniah</t>
  </si>
  <si>
    <t>Coach</t>
  </si>
  <si>
    <t>Lanvin</t>
  </si>
  <si>
    <t>Claude Marsal</t>
  </si>
  <si>
    <t>Lucianno</t>
  </si>
  <si>
    <t>Viktor &amp; Rolf</t>
  </si>
  <si>
    <t>Rochas</t>
  </si>
  <si>
    <t>Classic Brands</t>
  </si>
  <si>
    <t>Jovan</t>
  </si>
  <si>
    <t>Emporio Armani</t>
  </si>
  <si>
    <t>Maison Francis Kurkdjian</t>
  </si>
  <si>
    <t>Fragrance World</t>
  </si>
  <si>
    <t>Allsaints</t>
  </si>
  <si>
    <t>Avon</t>
  </si>
  <si>
    <t>Chanel</t>
  </si>
  <si>
    <t>Limited Edition</t>
  </si>
  <si>
    <t>Kenneth Cole Reaction</t>
  </si>
  <si>
    <t>Bond No. 9</t>
  </si>
  <si>
    <t>Al Haramain</t>
  </si>
  <si>
    <t>Narciso Rodriguez</t>
  </si>
  <si>
    <t>Topshelf</t>
  </si>
  <si>
    <t>Brut</t>
  </si>
  <si>
    <t>Hollister</t>
  </si>
  <si>
    <t>Paris Hilton</t>
  </si>
  <si>
    <t>Heaven Scents</t>
  </si>
  <si>
    <t>Deodorant</t>
  </si>
  <si>
    <t>Milestone Perfumes</t>
  </si>
  <si>
    <t>Mercedes-Benz</t>
  </si>
  <si>
    <t>Franck Olivier</t>
  </si>
  <si>
    <t>Missoni</t>
  </si>
  <si>
    <t>Halston</t>
  </si>
  <si>
    <t>Baron</t>
  </si>
  <si>
    <t>Guerlain</t>
  </si>
  <si>
    <t>Branded</t>
  </si>
  <si>
    <t>Acqua Di Gio</t>
  </si>
  <si>
    <t>Old Spice</t>
  </si>
  <si>
    <t>Lauren Ralph Lauren</t>
  </si>
  <si>
    <t>Clive Christian</t>
  </si>
  <si>
    <t>United States</t>
  </si>
  <si>
    <t>Victor &amp; Rolf</t>
  </si>
  <si>
    <t>Polo</t>
  </si>
  <si>
    <t>Roberto Cavalli</t>
  </si>
  <si>
    <t>Emanuelle Ungaro</t>
  </si>
  <si>
    <t>Michael Malul London</t>
  </si>
  <si>
    <t>Estée Lauder</t>
  </si>
  <si>
    <t>Pierre Cardin</t>
  </si>
  <si>
    <t>Sterling</t>
  </si>
  <si>
    <t>Territoire</t>
  </si>
  <si>
    <t>Lapidus</t>
  </si>
  <si>
    <t>Have A Scent</t>
  </si>
  <si>
    <t>Roll On</t>
  </si>
  <si>
    <t>Fragrance Couture</t>
  </si>
  <si>
    <t>Mancera</t>
  </si>
  <si>
    <t>Hugo Boss</t>
  </si>
  <si>
    <t>Jacques Bogart</t>
  </si>
  <si>
    <t>Pheromones</t>
  </si>
  <si>
    <t>Cartier</t>
  </si>
  <si>
    <t>Various</t>
  </si>
  <si>
    <t>Michael Jordan</t>
  </si>
  <si>
    <t>Designer Series</t>
  </si>
  <si>
    <t>Maison Martin Margiela</t>
  </si>
  <si>
    <t>El Ganso</t>
  </si>
  <si>
    <t>Jil Sander</t>
  </si>
  <si>
    <t>Fragrance Oil</t>
  </si>
  <si>
    <t>Houbigant</t>
  </si>
  <si>
    <t>Oil</t>
  </si>
  <si>
    <t>Splash-on</t>
  </si>
  <si>
    <t>Blue Perfumes</t>
  </si>
  <si>
    <t>Michael Malul Gents Scents</t>
  </si>
  <si>
    <t>Xerjoff</t>
  </si>
  <si>
    <t>Car Air Freshener</t>
  </si>
  <si>
    <t>Hanae Mori</t>
  </si>
  <si>
    <t>Phillips-Van Heusen</t>
  </si>
  <si>
    <t>Al Rehab</t>
  </si>
  <si>
    <t>Amouage</t>
  </si>
  <si>
    <t>Dana</t>
  </si>
  <si>
    <t>Arabian Oud</t>
  </si>
  <si>
    <t>David Beckham</t>
  </si>
  <si>
    <t>Falic Fashion Group</t>
  </si>
  <si>
    <t>Michel Germain</t>
  </si>
  <si>
    <t>The Baron</t>
  </si>
  <si>
    <t>Nina Ricci</t>
  </si>
  <si>
    <t>Vince Camuto</t>
  </si>
  <si>
    <t>Maison Margiela</t>
  </si>
  <si>
    <t>Mercedes Benz</t>
  </si>
  <si>
    <t>Cuba</t>
  </si>
  <si>
    <t>Mandarin Duck</t>
  </si>
  <si>
    <t>Estee Lauder</t>
  </si>
  <si>
    <t>Montale</t>
  </si>
  <si>
    <t>Item Location</t>
  </si>
  <si>
    <t>Type</t>
  </si>
  <si>
    <t>Price with Currency</t>
  </si>
  <si>
    <t>Sold</t>
  </si>
  <si>
    <t>Last Updated</t>
  </si>
  <si>
    <t>Result</t>
  </si>
  <si>
    <t>sum()</t>
  </si>
  <si>
    <t>Average()</t>
  </si>
  <si>
    <t>Min()</t>
  </si>
  <si>
    <t>Max()</t>
  </si>
  <si>
    <t>Count()</t>
  </si>
  <si>
    <t>Counta()</t>
  </si>
  <si>
    <t>sum of price</t>
  </si>
  <si>
    <t>Average amount of product sold</t>
  </si>
  <si>
    <t>Minimum sold product price</t>
  </si>
  <si>
    <t>count the no. of price details</t>
  </si>
  <si>
    <t>count the text no. in item location</t>
  </si>
  <si>
    <t>Details</t>
  </si>
  <si>
    <t>Secertmu</t>
  </si>
  <si>
    <t>Penhaligon'S</t>
  </si>
  <si>
    <t>Uomo</t>
  </si>
  <si>
    <t>2Nd To None</t>
  </si>
  <si>
    <t>Metaherbal Labs</t>
  </si>
  <si>
    <t>~ Dolce &amp; Gabbana ~</t>
  </si>
  <si>
    <t>Hermès</t>
  </si>
  <si>
    <t>Ebc</t>
  </si>
  <si>
    <t>Mfk</t>
  </si>
  <si>
    <t>Fragrance</t>
  </si>
  <si>
    <t>Axe</t>
  </si>
  <si>
    <t>As Showed</t>
  </si>
  <si>
    <t>King Of Kings</t>
  </si>
  <si>
    <t>Rue21</t>
  </si>
  <si>
    <t>Macarena</t>
  </si>
  <si>
    <t>Nikos</t>
  </si>
  <si>
    <t>Mont Blanc Legend</t>
  </si>
  <si>
    <t>Ulric De Varens</t>
  </si>
  <si>
    <t>Acqua Di Parma</t>
  </si>
  <si>
    <t>As Photos</t>
  </si>
  <si>
    <t>Guerlain Paris</t>
  </si>
  <si>
    <t>Fm</t>
  </si>
  <si>
    <t>Kenzo</t>
  </si>
  <si>
    <t>Adidas</t>
  </si>
  <si>
    <t>Giorgio Arm.Ani</t>
  </si>
  <si>
    <t>Curve</t>
  </si>
  <si>
    <t>L’Occitane</t>
  </si>
  <si>
    <t>Llure Sx</t>
  </si>
  <si>
    <t>Fc</t>
  </si>
  <si>
    <t>Hinode</t>
  </si>
  <si>
    <t>Victor Manuelle</t>
  </si>
  <si>
    <t>Emper</t>
  </si>
  <si>
    <t>Fragance One</t>
  </si>
  <si>
    <t>United Scents</t>
  </si>
  <si>
    <t>Aladdin</t>
  </si>
  <si>
    <t>Bod Man</t>
  </si>
  <si>
    <t>Guess</t>
  </si>
  <si>
    <t xml:space="preserve">   </t>
  </si>
  <si>
    <t>SUMMARY</t>
  </si>
  <si>
    <t>Alexandria Eau de Parfum</t>
  </si>
  <si>
    <t>Roja Eau de Parfums</t>
  </si>
  <si>
    <t>GuUnknown Laroche</t>
  </si>
  <si>
    <t>GivenchUnknown</t>
  </si>
  <si>
    <t>TommUnknown Hilfiger</t>
  </si>
  <si>
    <t>Unknownves Saint Laurent</t>
  </si>
  <si>
    <t>BurberrUnknown</t>
  </si>
  <si>
    <t>Eau de Parfums De MarlUnknown</t>
  </si>
  <si>
    <t>Unknownsl</t>
  </si>
  <si>
    <t>Bath &amp; BodUnknown Works</t>
  </si>
  <si>
    <t>IsseUnknown MiUnknownake</t>
  </si>
  <si>
    <t>TommUnknown Bahama</t>
  </si>
  <si>
    <t>ThierrUnknown Mugler</t>
  </si>
  <si>
    <t>Unknown</t>
  </si>
  <si>
    <t>BUnknown Al Hambra</t>
  </si>
  <si>
    <t>BentleUnknown</t>
  </si>
  <si>
    <t>CotUnknown</t>
  </si>
  <si>
    <t>ReUnknownane Tradition</t>
  </si>
  <si>
    <t>Giorgio BeverlUnknown Hills</t>
  </si>
  <si>
    <t>MUnknownrurgia</t>
  </si>
  <si>
    <t>CotUnknown Inc.</t>
  </si>
  <si>
    <t>Unknownves De Sistelle</t>
  </si>
  <si>
    <t>Ed HardUnknown</t>
  </si>
  <si>
    <t>RawchemistrUnknown</t>
  </si>
  <si>
    <t>JimmUnknown Choo</t>
  </si>
  <si>
    <t>MarUnknown KaUnknown</t>
  </si>
  <si>
    <t>English LaundrUnknown</t>
  </si>
  <si>
    <t>LuxurUnknown</t>
  </si>
  <si>
    <t>HUnknownbrid &amp; CompanUnknown</t>
  </si>
  <si>
    <t>PerrUnknown Ellis</t>
  </si>
  <si>
    <t>TiffanUnknown</t>
  </si>
  <si>
    <t>Elizabeth TaUnknownlor</t>
  </si>
  <si>
    <t>DvUnknownne Eau de Parfum</t>
  </si>
  <si>
    <t>BodUnknown Oil</t>
  </si>
  <si>
    <t>JuicUnknown Couture</t>
  </si>
  <si>
    <t xml:space="preserve">Eau de Cologne </t>
  </si>
  <si>
    <t xml:space="preserve"> Eau de Cologne</t>
  </si>
  <si>
    <t xml:space="preserve"> Brand Name</t>
  </si>
  <si>
    <t>Available Stock</t>
  </si>
  <si>
    <t>Allen Park</t>
  </si>
  <si>
    <t xml:space="preserve"> Michigan</t>
  </si>
  <si>
    <t xml:space="preserve"> United States</t>
  </si>
  <si>
    <t>Atlanta</t>
  </si>
  <si>
    <t xml:space="preserve"> Georgia</t>
  </si>
  <si>
    <t xml:space="preserve"> Canada</t>
  </si>
  <si>
    <t>Dearborn</t>
  </si>
  <si>
    <t>Reinholds</t>
  </si>
  <si>
    <t>Houston</t>
  </si>
  <si>
    <t xml:space="preserve"> Texas</t>
  </si>
  <si>
    <t>Englewood Cliffs</t>
  </si>
  <si>
    <t>Ithaca</t>
  </si>
  <si>
    <t xml:space="preserve"> China</t>
  </si>
  <si>
    <t>Dearborn Heights</t>
  </si>
  <si>
    <t>Ecorse</t>
  </si>
  <si>
    <t>Warren</t>
  </si>
  <si>
    <t>San Francisco</t>
  </si>
  <si>
    <t xml:space="preserve"> California</t>
  </si>
  <si>
    <t xml:space="preserve"> Hong Kong</t>
  </si>
  <si>
    <t>San Jose</t>
  </si>
  <si>
    <t>Miami</t>
  </si>
  <si>
    <t xml:space="preserve"> Florida</t>
  </si>
  <si>
    <t>Hamtramck</t>
  </si>
  <si>
    <t>Flat Lick</t>
  </si>
  <si>
    <t>Elmhurst</t>
  </si>
  <si>
    <t>Hackensack</t>
  </si>
  <si>
    <t>Dallas</t>
  </si>
  <si>
    <t>Pomona</t>
  </si>
  <si>
    <t>College Point</t>
  </si>
  <si>
    <t>USA</t>
  </si>
  <si>
    <t>Brenham</t>
  </si>
  <si>
    <t>Richmond Hill</t>
  </si>
  <si>
    <t>Dexter</t>
  </si>
  <si>
    <t>Phoenix</t>
  </si>
  <si>
    <t xml:space="preserve"> Arizona</t>
  </si>
  <si>
    <t>Peekskill</t>
  </si>
  <si>
    <t>Edison</t>
  </si>
  <si>
    <t>Armada</t>
  </si>
  <si>
    <t>Kalamazoo</t>
  </si>
  <si>
    <t>Charlotte</t>
  </si>
  <si>
    <t xml:space="preserve"> North Carolina</t>
  </si>
  <si>
    <t>Cranston</t>
  </si>
  <si>
    <t xml:space="preserve"> Rhode Island</t>
  </si>
  <si>
    <t>Las Vegas</t>
  </si>
  <si>
    <t xml:space="preserve"> Nevada</t>
  </si>
  <si>
    <t>Sacramento</t>
  </si>
  <si>
    <t>Windsor Mill</t>
  </si>
  <si>
    <t>Mesa</t>
  </si>
  <si>
    <t>West Orange</t>
  </si>
  <si>
    <t>Henrico</t>
  </si>
  <si>
    <t xml:space="preserve"> Virginia</t>
  </si>
  <si>
    <t>Pfafftown</t>
  </si>
  <si>
    <t>California</t>
  </si>
  <si>
    <t xml:space="preserve"> Taiwan</t>
  </si>
  <si>
    <t>Orange</t>
  </si>
  <si>
    <t xml:space="preserve"> Connecticut</t>
  </si>
  <si>
    <t>Hephzibah</t>
  </si>
  <si>
    <t>El Cajon</t>
  </si>
  <si>
    <t>Fresh Meadows</t>
  </si>
  <si>
    <t>Cumming</t>
  </si>
  <si>
    <t>Detroit</t>
  </si>
  <si>
    <t>Walnut</t>
  </si>
  <si>
    <t>Ottawa</t>
  </si>
  <si>
    <t>Highland Park</t>
  </si>
  <si>
    <t>Melissa</t>
  </si>
  <si>
    <t>Carlsbad</t>
  </si>
  <si>
    <t>Livingston Manor</t>
  </si>
  <si>
    <t>Laughlin</t>
  </si>
  <si>
    <t>Hong Kong</t>
  </si>
  <si>
    <t>Austin</t>
  </si>
  <si>
    <t>Los Angeles</t>
  </si>
  <si>
    <t>Lubbock</t>
  </si>
  <si>
    <t>Jonesboro</t>
  </si>
  <si>
    <t>Englewood</t>
  </si>
  <si>
    <t>Philadelphia</t>
  </si>
  <si>
    <t>Santa Cruz</t>
  </si>
  <si>
    <t>Baltimore</t>
  </si>
  <si>
    <t>HongKong</t>
  </si>
  <si>
    <t>Webster</t>
  </si>
  <si>
    <t>Shenzhen</t>
  </si>
  <si>
    <t>Melvindale</t>
  </si>
  <si>
    <t>Thomasville</t>
  </si>
  <si>
    <t xml:space="preserve"> Alabama</t>
  </si>
  <si>
    <t>Ontario</t>
  </si>
  <si>
    <t>Hialeah</t>
  </si>
  <si>
    <t>Chesapeake</t>
  </si>
  <si>
    <t>Farmington</t>
  </si>
  <si>
    <t>Des Moines</t>
  </si>
  <si>
    <t xml:space="preserve"> Iowa</t>
  </si>
  <si>
    <t>Grand Rapids</t>
  </si>
  <si>
    <t>Harwood Heights</t>
  </si>
  <si>
    <t xml:space="preserve"> Illinois</t>
  </si>
  <si>
    <t>Macomb</t>
  </si>
  <si>
    <t>Pearland</t>
  </si>
  <si>
    <t>Cincinnati</t>
  </si>
  <si>
    <t xml:space="preserve"> Ohio</t>
  </si>
  <si>
    <t>Melbourne</t>
  </si>
  <si>
    <t>Bethpage</t>
  </si>
  <si>
    <t>Phillipsburg</t>
  </si>
  <si>
    <t>Hongkong/California</t>
  </si>
  <si>
    <t>Toronto</t>
  </si>
  <si>
    <t>Southgate</t>
  </si>
  <si>
    <t>Bogota</t>
  </si>
  <si>
    <t>Euless</t>
  </si>
  <si>
    <t>North Brunswick</t>
  </si>
  <si>
    <t>Woodbridge</t>
  </si>
  <si>
    <t>Sterling Heights</t>
  </si>
  <si>
    <t>Stafford</t>
  </si>
  <si>
    <t>Falls Church</t>
  </si>
  <si>
    <t>Fredericksburg</t>
  </si>
  <si>
    <t>Oneida</t>
  </si>
  <si>
    <t xml:space="preserve"> Tennessee</t>
  </si>
  <si>
    <t>Egg Harbor Township</t>
  </si>
  <si>
    <t>San Gabriel</t>
  </si>
  <si>
    <t>Taiwan</t>
  </si>
  <si>
    <t>Rochester</t>
  </si>
  <si>
    <t>Glendora</t>
  </si>
  <si>
    <t>Orlando</t>
  </si>
  <si>
    <t xml:space="preserve"> Ontario</t>
  </si>
  <si>
    <t>Scarborough</t>
  </si>
  <si>
    <t>Austell</t>
  </si>
  <si>
    <t>Winter Garden</t>
  </si>
  <si>
    <t>San Diego</t>
  </si>
  <si>
    <t>Ronkonkoma</t>
  </si>
  <si>
    <t>Buhl</t>
  </si>
  <si>
    <t xml:space="preserve"> Idaho</t>
  </si>
  <si>
    <t>Lake Zurich</t>
  </si>
  <si>
    <t>Dunedin</t>
  </si>
  <si>
    <t>Winter Haven</t>
  </si>
  <si>
    <t>Modesto</t>
  </si>
  <si>
    <t>Seattle</t>
  </si>
  <si>
    <t xml:space="preserve"> Washington</t>
  </si>
  <si>
    <t>Salem</t>
  </si>
  <si>
    <t>Nevada/California</t>
  </si>
  <si>
    <t xml:space="preserve"> USA</t>
  </si>
  <si>
    <t>Westminster</t>
  </si>
  <si>
    <t>Graham</t>
  </si>
  <si>
    <t>South San Francisco</t>
  </si>
  <si>
    <t>Spring Hill</t>
  </si>
  <si>
    <t>Fort Lauderdale</t>
  </si>
  <si>
    <t>Rowland Heights</t>
  </si>
  <si>
    <t>Princeton</t>
  </si>
  <si>
    <t>Fenton</t>
  </si>
  <si>
    <t>Centralia</t>
  </si>
  <si>
    <t>Nashua</t>
  </si>
  <si>
    <t xml:space="preserve"> New Hampshire</t>
  </si>
  <si>
    <t>Union</t>
  </si>
  <si>
    <t>Franklin Square</t>
  </si>
  <si>
    <t>Sterrett</t>
  </si>
  <si>
    <t>Romulus</t>
  </si>
  <si>
    <t>Bridgeview</t>
  </si>
  <si>
    <t>Lincoln Park</t>
  </si>
  <si>
    <t>Fourmile</t>
  </si>
  <si>
    <t>Hicksville</t>
  </si>
  <si>
    <t>Virginia Beach</t>
  </si>
  <si>
    <t>Sammamish</t>
  </si>
  <si>
    <t>Princeton Junction</t>
  </si>
  <si>
    <t>Memphis</t>
  </si>
  <si>
    <t>Multiple Location</t>
  </si>
  <si>
    <t>Sanborn</t>
  </si>
  <si>
    <t>Cabot</t>
  </si>
  <si>
    <t xml:space="preserve"> Arkansas</t>
  </si>
  <si>
    <t>Dover</t>
  </si>
  <si>
    <t xml:space="preserve"> Delaware</t>
  </si>
  <si>
    <t>Fort Walton Beach</t>
  </si>
  <si>
    <t>Jacksonville</t>
  </si>
  <si>
    <t>Brownsboro</t>
  </si>
  <si>
    <t>Jamaica</t>
  </si>
  <si>
    <t>Texas</t>
  </si>
  <si>
    <t xml:space="preserve"> Wisconsin</t>
  </si>
  <si>
    <t>Columbia</t>
  </si>
  <si>
    <t xml:space="preserve"> South Carolina</t>
  </si>
  <si>
    <t>Matawan</t>
  </si>
  <si>
    <t>Maiden</t>
  </si>
  <si>
    <t>Towson</t>
  </si>
  <si>
    <t>Douglasville</t>
  </si>
  <si>
    <t>Jerusalem</t>
  </si>
  <si>
    <t xml:space="preserve"> Israel</t>
  </si>
  <si>
    <t>Lakewood</t>
  </si>
  <si>
    <t>Elk</t>
  </si>
  <si>
    <t xml:space="preserve"> Poland</t>
  </si>
  <si>
    <t>Gonzales</t>
  </si>
  <si>
    <t xml:space="preserve"> Louisiana</t>
  </si>
  <si>
    <t>Montclair</t>
  </si>
  <si>
    <t>Inkster</t>
  </si>
  <si>
    <t>Huntsville</t>
  </si>
  <si>
    <t>Long Beach</t>
  </si>
  <si>
    <t>Middletown</t>
  </si>
  <si>
    <t>Appleton</t>
  </si>
  <si>
    <t>Rockledge</t>
  </si>
  <si>
    <t>Belleville</t>
  </si>
  <si>
    <t>Flemington</t>
  </si>
  <si>
    <t xml:space="preserve"> Brazil</t>
  </si>
  <si>
    <t>Madera</t>
  </si>
  <si>
    <t>West Harrison</t>
  </si>
  <si>
    <t xml:space="preserve"> Indiana</t>
  </si>
  <si>
    <t>Grafton</t>
  </si>
  <si>
    <t>Wakefield</t>
  </si>
  <si>
    <t xml:space="preserve"> Massachusetts</t>
  </si>
  <si>
    <t>Hamlet</t>
  </si>
  <si>
    <t>Monroe Township</t>
  </si>
  <si>
    <t>St. George</t>
  </si>
  <si>
    <t xml:space="preserve"> Utah</t>
  </si>
  <si>
    <t>East Meadow</t>
  </si>
  <si>
    <t>Humacao</t>
  </si>
  <si>
    <t xml:space="preserve"> Puerto Rico</t>
  </si>
  <si>
    <t>Huntington Station</t>
  </si>
  <si>
    <t>Saint Clair Shores</t>
  </si>
  <si>
    <t>Middle Grove</t>
  </si>
  <si>
    <t>Temple</t>
  </si>
  <si>
    <t>Nine Mile Falls</t>
  </si>
  <si>
    <t>Matosinhos</t>
  </si>
  <si>
    <t xml:space="preserve"> Portugal</t>
  </si>
  <si>
    <t>Whittier</t>
  </si>
  <si>
    <t>Plano</t>
  </si>
  <si>
    <t>Pompano Beach</t>
  </si>
  <si>
    <t>Shepherdsville</t>
  </si>
  <si>
    <t>Irving</t>
  </si>
  <si>
    <t>Orma</t>
  </si>
  <si>
    <t xml:space="preserve"> West Virginia</t>
  </si>
  <si>
    <t>West Chester</t>
  </si>
  <si>
    <t xml:space="preserve"> DELHI</t>
  </si>
  <si>
    <t>Corona</t>
  </si>
  <si>
    <t>Punta Gorda</t>
  </si>
  <si>
    <t>Saint Petersburg</t>
  </si>
  <si>
    <t>Arcadia</t>
  </si>
  <si>
    <t>Roseville</t>
  </si>
  <si>
    <t>Ann Arbor</t>
  </si>
  <si>
    <t>Paterson</t>
  </si>
  <si>
    <t>Battle Creek</t>
  </si>
  <si>
    <t>Port Orange</t>
  </si>
  <si>
    <t>Multiple Locations</t>
  </si>
  <si>
    <t>Arlington Heights</t>
  </si>
  <si>
    <t>Astoria</t>
  </si>
  <si>
    <t>Burlington</t>
  </si>
  <si>
    <t>Selinsgrove</t>
  </si>
  <si>
    <t>Canton</t>
  </si>
  <si>
    <t>Bellaire</t>
  </si>
  <si>
    <t>Manor</t>
  </si>
  <si>
    <t>Chico</t>
  </si>
  <si>
    <t xml:space="preserve"> New York</t>
  </si>
  <si>
    <t>New York</t>
  </si>
  <si>
    <t>pennsylvania</t>
  </si>
  <si>
    <t xml:space="preserve"> Kentuck</t>
  </si>
  <si>
    <t>Brooklyn</t>
  </si>
  <si>
    <t>Dayton</t>
  </si>
  <si>
    <t>Katy</t>
  </si>
  <si>
    <t>Perth Amboy</t>
  </si>
  <si>
    <t>Hollywood</t>
  </si>
  <si>
    <t>Albany</t>
  </si>
  <si>
    <t>New City</t>
  </si>
  <si>
    <t>Lynwood</t>
  </si>
  <si>
    <t>Midway City</t>
  </si>
  <si>
    <t>Schenectady</t>
  </si>
  <si>
    <t>Newyork</t>
  </si>
  <si>
    <t xml:space="preserve"> Beauty Maxima</t>
  </si>
  <si>
    <t>Phenix City</t>
  </si>
  <si>
    <t>Jersey City</t>
  </si>
  <si>
    <t>Debary</t>
  </si>
  <si>
    <t>Keyport</t>
  </si>
  <si>
    <t>Green Bay</t>
  </si>
  <si>
    <t>Monterey Park</t>
  </si>
  <si>
    <t>Valley Stream</t>
  </si>
  <si>
    <t>Orange City</t>
  </si>
  <si>
    <t>Wynnewood</t>
  </si>
  <si>
    <t>Lynnwood</t>
  </si>
  <si>
    <t>Boynton Beach</t>
  </si>
  <si>
    <t>Lynbrook</t>
  </si>
  <si>
    <t>Stony Brook</t>
  </si>
  <si>
    <t>Argyle</t>
  </si>
  <si>
    <t xml:space="preserve"> Maryland</t>
  </si>
  <si>
    <t>China</t>
  </si>
  <si>
    <t>Canada</t>
  </si>
  <si>
    <t>India</t>
  </si>
  <si>
    <t>City</t>
  </si>
  <si>
    <t>Country</t>
  </si>
  <si>
    <t>Shanghai</t>
  </si>
  <si>
    <t>Lagrange</t>
  </si>
  <si>
    <t>Ca</t>
  </si>
  <si>
    <t>Usa</t>
  </si>
  <si>
    <t>Hongkong</t>
  </si>
  <si>
    <t>California Usa Taiwan</t>
  </si>
  <si>
    <t>Tx</t>
  </si>
  <si>
    <t>California Or Hong Kong</t>
  </si>
  <si>
    <t>Hong Kong Or Virginia</t>
  </si>
  <si>
    <t>Hk</t>
  </si>
  <si>
    <t>Mclean</t>
  </si>
  <si>
    <t>North York</t>
  </si>
  <si>
    <t>Wa</t>
  </si>
  <si>
    <t>36784</t>
  </si>
  <si>
    <t>Regente Feijo</t>
  </si>
  <si>
    <t>20744</t>
  </si>
  <si>
    <t>Delhi</t>
  </si>
  <si>
    <t>Maximun sold price</t>
  </si>
  <si>
    <t>Basic Functions (Part 1)</t>
  </si>
  <si>
    <t>Basic Function (Part 2)</t>
  </si>
  <si>
    <t>Sumif()</t>
  </si>
  <si>
    <t>Countif()</t>
  </si>
  <si>
    <t>Averageif()</t>
  </si>
  <si>
    <t>if()</t>
  </si>
  <si>
    <t>Parfum Quality</t>
  </si>
  <si>
    <t>if(sold no.&gt;1000,"High Quality","Normal Quality")</t>
  </si>
  <si>
    <t>Parfum Quality column is created</t>
  </si>
  <si>
    <t>calculated the Eau de toilette price Range</t>
  </si>
  <si>
    <t>counted the no. of Eau de parfum</t>
  </si>
  <si>
    <t>found out the average for DIOR parfum sold</t>
  </si>
  <si>
    <t>Text Functions</t>
  </si>
  <si>
    <t>left()</t>
  </si>
  <si>
    <t>right()</t>
  </si>
  <si>
    <t>mid()</t>
  </si>
  <si>
    <t>upper()</t>
  </si>
  <si>
    <t>lower()</t>
  </si>
  <si>
    <t>proper()</t>
  </si>
  <si>
    <t>took the 1st 3 letters from country column</t>
  </si>
  <si>
    <t>took the last 4 letters from city column</t>
  </si>
  <si>
    <t>took the mid 6 letters from item location column</t>
  </si>
  <si>
    <t>did the upper function in city column</t>
  </si>
  <si>
    <t>did the lower() in country column</t>
  </si>
  <si>
    <t>did the proper() in country column</t>
  </si>
  <si>
    <t>Data Validation and Cleaning Intro</t>
  </si>
  <si>
    <t>Drop down list is activated in parfum Quality and in Item location column</t>
  </si>
  <si>
    <t>Duplicates are removed</t>
  </si>
  <si>
    <t>Blank cells are handled using filters and formula(if(isblank)</t>
  </si>
  <si>
    <t>Normal Quality</t>
  </si>
  <si>
    <t>High Quality</t>
  </si>
  <si>
    <t>March</t>
  </si>
  <si>
    <t>Apr</t>
  </si>
  <si>
    <t>Marchr</t>
  </si>
  <si>
    <t>Feb</t>
  </si>
  <si>
    <t>Jan</t>
  </si>
  <si>
    <t>Sep</t>
  </si>
  <si>
    <t>Nov</t>
  </si>
  <si>
    <t>Oct</t>
  </si>
  <si>
    <t>Last Updated month</t>
  </si>
  <si>
    <t>Last Updated Date</t>
  </si>
  <si>
    <t>April</t>
  </si>
  <si>
    <t>Last Updated Year</t>
  </si>
  <si>
    <t>Last Updated Time</t>
  </si>
  <si>
    <t>The dataset was loaded into power Query and the Last updated time,month,year,date are splitted into separate coloumns and reloaded.</t>
  </si>
  <si>
    <t>POWER QUERY</t>
  </si>
  <si>
    <t>HANDLING INCONSISTENT DATA</t>
  </si>
  <si>
    <t>1.Using trim(),the country column was arranged</t>
  </si>
  <si>
    <t>3.using Flashfill(),the blank values are filled</t>
  </si>
  <si>
    <t>CONDITIONAL FORMATTING</t>
  </si>
  <si>
    <t>Flags,bars are used to visualise the data status</t>
  </si>
  <si>
    <t>Mean</t>
  </si>
  <si>
    <t>Standard Error</t>
  </si>
  <si>
    <t>Median</t>
  </si>
  <si>
    <t>Mode</t>
  </si>
  <si>
    <t>Standard Deviation</t>
  </si>
  <si>
    <t>Sample Variance</t>
  </si>
  <si>
    <t>Kurtosis</t>
  </si>
  <si>
    <t>Skewness</t>
  </si>
  <si>
    <t>Range</t>
  </si>
  <si>
    <t>Minimum</t>
  </si>
  <si>
    <t>Maximum</t>
  </si>
  <si>
    <t>Sum</t>
  </si>
  <si>
    <t>Count</t>
  </si>
  <si>
    <t>Price</t>
  </si>
  <si>
    <t>Available stock</t>
  </si>
  <si>
    <t>Result2</t>
  </si>
  <si>
    <t>Result3</t>
  </si>
  <si>
    <t>It was mentioned in a separate worksheet</t>
  </si>
  <si>
    <t>DESCRIPTIVE ANALYSIS</t>
  </si>
  <si>
    <t>FILTERING,SORTING AND EXPLORING THE DATA</t>
  </si>
  <si>
    <t>1.Price column is sorted from A to Z</t>
  </si>
  <si>
    <t>2.Filter is used to visualize India from country column</t>
  </si>
  <si>
    <t>2.using text to column,the item location coloumn was splitted</t>
  </si>
  <si>
    <t>Top 5 from sold</t>
  </si>
  <si>
    <t>Bottom 5 from price</t>
  </si>
  <si>
    <t>DATE AND TIME()</t>
  </si>
  <si>
    <t>RESULT</t>
  </si>
  <si>
    <t>TODAY()</t>
  </si>
  <si>
    <t>NOW()</t>
  </si>
  <si>
    <t>YEAR()</t>
  </si>
  <si>
    <t>MONTH()</t>
  </si>
  <si>
    <t>WEEKDAY()</t>
  </si>
  <si>
    <t>DATEDIF()</t>
  </si>
  <si>
    <t>Finding price using brand name</t>
  </si>
  <si>
    <t>Vlook up was done in separate sheet to find the price using the brand name.</t>
  </si>
  <si>
    <t>MATCH</t>
  </si>
  <si>
    <t>find the row no. of Brand name</t>
  </si>
  <si>
    <t>INDEX</t>
  </si>
  <si>
    <t>Dvne Eau de Parfum</t>
  </si>
  <si>
    <t>Body Unknown Oil</t>
  </si>
  <si>
    <t>Find the term Car air freshner</t>
  </si>
  <si>
    <t>Finding the price of the perfume Secertmu</t>
  </si>
  <si>
    <t>INDEX AND MATCH</t>
  </si>
  <si>
    <t>Match and Index is done in seperate page.</t>
  </si>
  <si>
    <t>Revenue</t>
  </si>
  <si>
    <t>Grand Total</t>
  </si>
  <si>
    <t>Sum of Sold</t>
  </si>
  <si>
    <t>Brand Name</t>
  </si>
  <si>
    <t>Sum of Revenue</t>
  </si>
  <si>
    <t>Sum of Price with Currency</t>
  </si>
  <si>
    <t>Sum of Available Stock</t>
  </si>
  <si>
    <t>Type of Parfum</t>
  </si>
  <si>
    <t>2024</t>
  </si>
  <si>
    <t>Last updated year</t>
  </si>
  <si>
    <t>Dsecriptive Statistics</t>
  </si>
  <si>
    <t>All</t>
  </si>
  <si>
    <t>Descriptive Statistics</t>
  </si>
  <si>
    <t>●Calvin Klein is the highly sold
 ●United States has the highest markable sales</t>
  </si>
  <si>
    <t>Diagnostic Statistics</t>
  </si>
  <si>
    <t>●Probably United states people prefer this parfum than other countries</t>
  </si>
  <si>
    <t>Last updated year_Revenue_Country</t>
  </si>
  <si>
    <t>Average of Revenue</t>
  </si>
  <si>
    <t>Month</t>
  </si>
  <si>
    <t>Timeline</t>
  </si>
  <si>
    <t>Values</t>
  </si>
  <si>
    <t>Forecast</t>
  </si>
  <si>
    <t>Lower Confidence Bound</t>
  </si>
  <si>
    <t>Upper Confidence Bound</t>
  </si>
  <si>
    <t>Pivot table linked with Pivot Chart</t>
  </si>
  <si>
    <t>Combo Chart</t>
  </si>
  <si>
    <t>PARFUM SALES DASHBOARD</t>
  </si>
  <si>
    <t>2023</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</si>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</sst>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4009]\ * #,##0.00_ ;_ [$₹-4009]\ * \-#,##0.00_ ;_ [$₹-4009]\ * &quot;-&quot;??_ ;_ @_ "/>
    <numFmt numFmtId="165" formatCode="[$₹-44D]\ #,##0.00"/>
    <numFmt numFmtId="166" formatCode="[$₹-449]\ #,##0.00"/>
    <numFmt numFmtId="167" formatCode="_(* #,##0_);_(* \(#,##0\);_(* &quot;-&quot;??_);_(@_)"/>
    <numFmt numFmtId="168" formatCode="[$-F400]h:mm:ss\ AM/PM"/>
    <numFmt numFmtId="169" formatCode="_ [$₹-449]\ * #,##0.00_ ;_ [$₹-449]\ * \-#,##0.00_ ;_ [$₹-449]\ * &quot;-&quot;??_ ;_ @_ "/>
    <numFmt numFmtId="170" formatCode="[$₹-449]\ #,##0"/>
    <numFmt numFmtId="171" formatCode="[$-409]mmmm\ d\,\ yyyy;@"/>
  </numFmts>
  <fonts count="17" x14ac:knownFonts="1">
    <font>
      <sz val="11"/>
      <color theme="1"/>
      <name val="Calibri"/>
      <family val="2"/>
      <scheme val="minor"/>
    </font>
    <font>
      <b/>
      <sz val="22"/>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2"/>
      <color theme="1"/>
      <name val="Calibri"/>
      <family val="2"/>
      <scheme val="minor"/>
    </font>
    <font>
      <i/>
      <sz val="11"/>
      <color theme="1"/>
      <name val="Calibri"/>
      <family val="2"/>
      <scheme val="minor"/>
    </font>
    <font>
      <sz val="12"/>
      <color theme="1"/>
      <name val="Calibri"/>
      <family val="2"/>
      <scheme val="minor"/>
    </font>
    <font>
      <b/>
      <sz val="11"/>
      <color theme="0"/>
      <name val="Calibri"/>
      <family val="2"/>
      <scheme val="minor"/>
    </font>
    <font>
      <sz val="11"/>
      <color rgb="FFFF0000"/>
      <name val="Calibri"/>
      <family val="2"/>
      <scheme val="minor"/>
    </font>
    <font>
      <sz val="11"/>
      <color theme="8" tint="-0.249977111117893"/>
      <name val="Calibri"/>
      <family val="2"/>
      <scheme val="minor"/>
    </font>
    <font>
      <sz val="11"/>
      <color theme="4" tint="-0.249977111117893"/>
      <name val="Calibri"/>
      <family val="2"/>
      <scheme val="minor"/>
    </font>
    <font>
      <sz val="11"/>
      <color theme="1"/>
      <name val="Calibri"/>
      <family val="2"/>
    </font>
    <font>
      <sz val="16"/>
      <color theme="1"/>
      <name val="Calibri"/>
      <family val="2"/>
      <scheme val="minor"/>
    </font>
    <font>
      <b/>
      <sz val="14"/>
      <color theme="1"/>
      <name val="Calibri"/>
      <family val="2"/>
      <scheme val="minor"/>
    </font>
    <font>
      <sz val="18"/>
      <color theme="1"/>
      <name val="Calibri"/>
      <family val="2"/>
      <scheme val="minor"/>
    </font>
    <font>
      <sz val="24"/>
      <color theme="0"/>
      <name val="Algerian"/>
      <family val="5"/>
    </font>
  </fonts>
  <fills count="7">
    <fill>
      <patternFill patternType="none"/>
    </fill>
    <fill>
      <patternFill patternType="gray125"/>
    </fill>
    <fill>
      <patternFill patternType="solid">
        <fgColor theme="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6" tint="-0.249977111117893"/>
        <bgColor indexed="64"/>
      </patternFill>
    </fill>
  </fills>
  <borders count="4">
    <border>
      <left/>
      <right/>
      <top/>
      <bottom/>
      <diagonal/>
    </border>
    <border>
      <left/>
      <right/>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2">
    <xf numFmtId="0" fontId="0" fillId="0" borderId="0"/>
    <xf numFmtId="43" fontId="2" fillId="0" borderId="0" applyFont="0" applyFill="0" applyBorder="0" applyAlignment="0" applyProtection="0"/>
  </cellStyleXfs>
  <cellXfs count="39">
    <xf numFmtId="0" fontId="0" fillId="0" borderId="0" xfId="0"/>
    <xf numFmtId="164" fontId="0" fillId="0" borderId="0" xfId="0" applyNumberFormat="1"/>
    <xf numFmtId="1" fontId="0" fillId="0" borderId="0" xfId="0" applyNumberFormat="1"/>
    <xf numFmtId="165" fontId="0" fillId="0" borderId="0" xfId="0" applyNumberFormat="1"/>
    <xf numFmtId="166" fontId="0" fillId="0" borderId="0" xfId="0" applyNumberFormat="1"/>
    <xf numFmtId="0" fontId="1" fillId="0" borderId="0" xfId="0" applyFont="1"/>
    <xf numFmtId="167" fontId="0" fillId="0" borderId="0" xfId="1" applyNumberFormat="1" applyFont="1"/>
    <xf numFmtId="168" fontId="0" fillId="0" borderId="0" xfId="0" applyNumberFormat="1"/>
    <xf numFmtId="0" fontId="0" fillId="2" borderId="0" xfId="0" applyFill="1"/>
    <xf numFmtId="0" fontId="5" fillId="0" borderId="0" xfId="0" applyFont="1"/>
    <xf numFmtId="0" fontId="3" fillId="2" borderId="0" xfId="0" applyFont="1" applyFill="1"/>
    <xf numFmtId="0" fontId="6" fillId="0" borderId="1" xfId="0" applyFont="1" applyBorder="1" applyAlignment="1">
      <alignment horizontal="center"/>
    </xf>
    <xf numFmtId="14" fontId="0" fillId="0" borderId="0" xfId="0" applyNumberFormat="1"/>
    <xf numFmtId="22" fontId="0" fillId="0" borderId="0" xfId="0" applyNumberFormat="1"/>
    <xf numFmtId="169" fontId="0" fillId="0" borderId="0" xfId="0" applyNumberFormat="1"/>
    <xf numFmtId="0" fontId="7" fillId="2" borderId="0" xfId="0" applyFont="1" applyFill="1"/>
    <xf numFmtId="0" fontId="8" fillId="3" borderId="2" xfId="0" applyFont="1" applyFill="1" applyBorder="1"/>
    <xf numFmtId="0" fontId="8" fillId="3" borderId="3" xfId="0" applyFont="1" applyFill="1" applyBorder="1"/>
    <xf numFmtId="0" fontId="0" fillId="4" borderId="2" xfId="0" applyFill="1" applyBorder="1"/>
    <xf numFmtId="0" fontId="0" fillId="4" borderId="3" xfId="0" applyFill="1" applyBorder="1"/>
    <xf numFmtId="0" fontId="0" fillId="0" borderId="2" xfId="0" applyBorder="1"/>
    <xf numFmtId="0" fontId="0" fillId="0" borderId="3" xfId="0" applyBorder="1"/>
    <xf numFmtId="169" fontId="0" fillId="4" borderId="3" xfId="0" applyNumberFormat="1" applyFill="1" applyBorder="1"/>
    <xf numFmtId="169" fontId="0" fillId="0" borderId="3" xfId="0" applyNumberFormat="1" applyBorder="1"/>
    <xf numFmtId="0" fontId="9" fillId="0" borderId="0" xfId="0" applyFont="1"/>
    <xf numFmtId="0" fontId="10" fillId="0" borderId="0" xfId="0" applyFont="1"/>
    <xf numFmtId="0" fontId="11" fillId="0" borderId="0" xfId="0" applyFont="1"/>
    <xf numFmtId="170" fontId="0" fillId="0" borderId="0" xfId="0" applyNumberFormat="1"/>
    <xf numFmtId="0" fontId="0" fillId="0" borderId="0" xfId="0" pivotButton="1"/>
    <xf numFmtId="0" fontId="0" fillId="0" borderId="0" xfId="0" applyAlignment="1">
      <alignment horizontal="left"/>
    </xf>
    <xf numFmtId="0" fontId="12" fillId="0" borderId="0" xfId="0" applyFont="1" applyAlignment="1">
      <alignment wrapText="1"/>
    </xf>
    <xf numFmtId="0" fontId="12" fillId="0" borderId="0" xfId="0" applyFont="1"/>
    <xf numFmtId="171" fontId="0" fillId="0" borderId="0" xfId="0" applyNumberFormat="1"/>
    <xf numFmtId="0" fontId="0" fillId="5" borderId="0" xfId="0" applyFill="1"/>
    <xf numFmtId="0" fontId="13" fillId="0" borderId="0" xfId="0" applyFont="1"/>
    <xf numFmtId="0" fontId="14" fillId="0" borderId="0" xfId="0" applyFont="1"/>
    <xf numFmtId="0" fontId="0" fillId="6" borderId="0" xfId="0" applyFill="1"/>
    <xf numFmtId="0" fontId="15" fillId="6" borderId="0" xfId="0" applyFont="1" applyFill="1"/>
    <xf numFmtId="0" fontId="16" fillId="6" borderId="0" xfId="0" applyFont="1" applyFill="1"/>
  </cellXfs>
  <cellStyles count="2">
    <cellStyle name="Comma" xfId="1" builtinId="3"/>
    <cellStyle name="Normal" xfId="0" builtinId="0"/>
  </cellStyles>
  <dxfs count="41">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71" formatCode="[$-409]mmmm\ d\,\ yyyy;@"/>
    </dxf>
    <dxf>
      <numFmt numFmtId="171" formatCode="[$-409]mmmm\ d\,\ yyyy;@"/>
    </dxf>
    <dxf>
      <numFmt numFmtId="171" formatCode="[$-409]mmmm\ d\,\ yyyy;@"/>
    </dxf>
    <dxf>
      <numFmt numFmtId="171" formatCode="[$-409]mmmm\ d\,\ yyyy;@"/>
    </dxf>
    <dxf>
      <numFmt numFmtId="0" formatCode="General"/>
    </dxf>
    <dxf>
      <numFmt numFmtId="167" formatCode="_(* #,##0_);_(* \(#,##0\);_(* &quot;-&quot;??_);_(@_)"/>
    </dxf>
    <dxf>
      <numFmt numFmtId="167" formatCode="_(* #,##0_);_(* \(#,##0\);_(* &quot;-&quot;??_);_(@_)"/>
    </dxf>
    <dxf>
      <numFmt numFmtId="167" formatCode="_(* #,##0_);_(* \(#,##0\);_(* &quot;-&quot;??_);_(@_)"/>
    </dxf>
    <dxf>
      <numFmt numFmtId="167" formatCode="_(* #,##0_);_(* \(#,##0\);_(* &quot;-&quot;??_);_(@_)"/>
    </dxf>
    <dxf>
      <numFmt numFmtId="164" formatCode="_ [$₹-4009]\ * #,##0.00_ ;_ [$₹-4009]\ * \-#,##0.00_ ;_ [$₹-4009]\ * &quot;-&quot;??_ ;_ @_ "/>
    </dxf>
    <dxf>
      <numFmt numFmtId="164" formatCode="_ [$₹-4009]\ * #,##0.00_ ;_ [$₹-4009]\ * \-#,##0.00_ ;_ [$₹-4009]\ * &quot;-&quot;??_ ;_ @_ "/>
    </dxf>
    <dxf>
      <numFmt numFmtId="19" formatCode="m/d/yyyy"/>
    </dxf>
    <dxf>
      <numFmt numFmtId="0" formatCode="General"/>
    </dxf>
    <dxf>
      <numFmt numFmtId="166" formatCode="[$₹-449]\ #,##0.00"/>
    </dxf>
    <dxf>
      <numFmt numFmtId="170" formatCode="[$₹-449]\ #,##0"/>
    </dxf>
    <dxf>
      <numFmt numFmtId="0" formatCode="General"/>
    </dxf>
    <dxf>
      <numFmt numFmtId="0" formatCode="General"/>
    </dxf>
    <dxf>
      <numFmt numFmtId="0" formatCode="General"/>
    </dxf>
    <dxf>
      <numFmt numFmtId="168" formatCode="[$-F400]h:mm:ss\ AM/PM"/>
    </dxf>
    <dxf>
      <numFmt numFmtId="0" formatCode="General"/>
    </dxf>
    <dxf>
      <numFmt numFmtId="0" formatCode="General"/>
    </dxf>
    <dxf>
      <numFmt numFmtId="169" formatCode="_ [$₹-449]\ * #,##0.00_ ;_ [$₹-449]\ * \-#,##0.00_ ;_ [$₹-449]\ * &quot;-&quot;??_ ;_ @_ "/>
    </dxf>
    <dxf>
      <numFmt numFmtId="0" formatCode="General"/>
    </dxf>
    <dxf>
      <numFmt numFmtId="0" formatCode="Genera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4.xml"/><Relationship Id="rId21" Type="http://schemas.openxmlformats.org/officeDocument/2006/relationships/pivotCacheDefinition" Target="pivotCache/pivotCacheDefinition7.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3.xml"/><Relationship Id="rId33" Type="http://schemas.openxmlformats.org/officeDocument/2006/relationships/styles" Target="styles.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openxmlformats.org/officeDocument/2006/relationships/pivotCacheDefinition" Target="pivotCache/pivotCacheDefinition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connections" Target="connections.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1.xml"/><Relationship Id="rId28" Type="http://schemas.microsoft.com/office/2007/relationships/slicerCache" Target="slicerCaches/slicerCache6.xml"/><Relationship Id="rId36"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microsoft.com/office/2007/relationships/slicerCache" Target="slicerCaches/slicerCache5.xml"/><Relationship Id="rId30" Type="http://schemas.microsoft.com/office/2011/relationships/timelineCache" Target="timelineCaches/timelineCache1.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parfum.xlsx]brand  Name vs Quantity sold!PivotTable1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Brand</a:t>
            </a:r>
            <a:r>
              <a:rPr lang="en-US" baseline="0"/>
              <a:t> and its sold Range</a:t>
            </a:r>
            <a:endParaRPr lang="en-US"/>
          </a:p>
        </c:rich>
      </c:tx>
      <c:layout>
        <c:manualLayout>
          <c:xMode val="edge"/>
          <c:yMode val="edge"/>
          <c:x val="0.23536231884057968"/>
          <c:y val="0.1005360881066775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'brand  Name vs Quantity sold'!$B$3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3CE-4A9E-86D0-45D2C70CE64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3CE-4A9E-86D0-45D2C70CE64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3CE-4A9E-86D0-45D2C70CE64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3CE-4A9E-86D0-45D2C70CE64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3CE-4A9E-86D0-45D2C70CE64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C3CE-4A9E-86D0-45D2C70CE646}"/>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C3CE-4A9E-86D0-45D2C70CE646}"/>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C3CE-4A9E-86D0-45D2C70CE646}"/>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C3CE-4A9E-86D0-45D2C70CE646}"/>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C3CE-4A9E-86D0-45D2C70CE646}"/>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C3CE-4A9E-86D0-45D2C70CE646}"/>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C3CE-4A9E-86D0-45D2C70CE646}"/>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C3CE-4A9E-86D0-45D2C70CE646}"/>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C3CE-4A9E-86D0-45D2C70CE646}"/>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C3CE-4A9E-86D0-45D2C70CE646}"/>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C3CE-4A9E-86D0-45D2C70CE646}"/>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C3CE-4A9E-86D0-45D2C70CE646}"/>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8725-41BD-96BC-751E6AEC4FCD}"/>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8725-41BD-96BC-751E6AEC4FCD}"/>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8725-41BD-96BC-751E6AEC4FCD}"/>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8725-41BD-96BC-751E6AEC4FCD}"/>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8725-41BD-96BC-751E6AEC4FCD}"/>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8725-41BD-96BC-751E6AEC4FCD}"/>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8725-41BD-96BC-751E6AEC4FCD}"/>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8725-41BD-96BC-751E6AEC4FCD}"/>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8725-41BD-96BC-751E6AEC4FCD}"/>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8725-41BD-96BC-751E6AEC4FCD}"/>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8725-41BD-96BC-751E6AEC4FCD}"/>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8725-41BD-96BC-751E6AEC4FCD}"/>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8725-41BD-96BC-751E6AEC4FCD}"/>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8725-41BD-96BC-751E6AEC4FCD}"/>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8725-41BD-96BC-751E6AEC4FCD}"/>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8725-41BD-96BC-751E6AEC4FCD}"/>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8725-41BD-96BC-751E6AEC4FCD}"/>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8725-41BD-96BC-751E6AEC4FCD}"/>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8725-41BD-96BC-751E6AEC4FCD}"/>
              </c:ext>
            </c:extLst>
          </c:dPt>
          <c:dPt>
            <c:idx val="3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8725-41BD-96BC-751E6AEC4FCD}"/>
              </c:ext>
            </c:extLst>
          </c:dPt>
          <c:dPt>
            <c:idx val="3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8725-41BD-96BC-751E6AEC4FCD}"/>
              </c:ext>
            </c:extLst>
          </c:dPt>
          <c:dPt>
            <c:idx val="3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8725-41BD-96BC-751E6AEC4FCD}"/>
              </c:ext>
            </c:extLst>
          </c:dPt>
          <c:dPt>
            <c:idx val="3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F-8725-41BD-96BC-751E6AEC4FCD}"/>
              </c:ext>
            </c:extLst>
          </c:dPt>
          <c:dPt>
            <c:idx val="40"/>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1-8725-41BD-96BC-751E6AEC4FCD}"/>
              </c:ext>
            </c:extLst>
          </c:dPt>
          <c:dPt>
            <c:idx val="41"/>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3-8725-41BD-96BC-751E6AEC4FCD}"/>
              </c:ext>
            </c:extLst>
          </c:dPt>
          <c:dPt>
            <c:idx val="42"/>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5-8725-41BD-96BC-751E6AEC4FCD}"/>
              </c:ext>
            </c:extLst>
          </c:dPt>
          <c:dPt>
            <c:idx val="43"/>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7-8725-41BD-96BC-751E6AEC4FCD}"/>
              </c:ext>
            </c:extLst>
          </c:dPt>
          <c:dPt>
            <c:idx val="44"/>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9-8725-41BD-96BC-751E6AEC4FCD}"/>
              </c:ext>
            </c:extLst>
          </c:dPt>
          <c:dPt>
            <c:idx val="45"/>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B-8725-41BD-96BC-751E6AEC4FCD}"/>
              </c:ext>
            </c:extLst>
          </c:dPt>
          <c:cat>
            <c:strRef>
              <c:f>'brand  Name vs Quantity sold'!$A$4:$A$50</c:f>
              <c:strCache>
                <c:ptCount val="46"/>
                <c:pt idx="0">
                  <c:v>Abercrombie &amp; Fitch</c:v>
                </c:pt>
                <c:pt idx="1">
                  <c:v>Al Wataniah</c:v>
                </c:pt>
                <c:pt idx="2">
                  <c:v>Armaf</c:v>
                </c:pt>
                <c:pt idx="3">
                  <c:v>As Picture Show</c:v>
                </c:pt>
                <c:pt idx="4">
                  <c:v>As Shown</c:v>
                </c:pt>
                <c:pt idx="5">
                  <c:v>Avon</c:v>
                </c:pt>
                <c:pt idx="6">
                  <c:v>Bath &amp; BodUnknown Works</c:v>
                </c:pt>
                <c:pt idx="7">
                  <c:v>BUnknown Al Hambra</c:v>
                </c:pt>
                <c:pt idx="8">
                  <c:v>Calvin Klein</c:v>
                </c:pt>
                <c:pt idx="9">
                  <c:v>Carolina Herrera</c:v>
                </c:pt>
                <c:pt idx="10">
                  <c:v>Chanel</c:v>
                </c:pt>
                <c:pt idx="11">
                  <c:v>Claude Marsal</c:v>
                </c:pt>
                <c:pt idx="12">
                  <c:v>Creed</c:v>
                </c:pt>
                <c:pt idx="13">
                  <c:v>Dana</c:v>
                </c:pt>
                <c:pt idx="14">
                  <c:v>Diesel</c:v>
                </c:pt>
                <c:pt idx="15">
                  <c:v>Dior</c:v>
                </c:pt>
                <c:pt idx="16">
                  <c:v>Dolce &amp; Gabbana</c:v>
                </c:pt>
                <c:pt idx="17">
                  <c:v>Dolce&amp;Gabbana</c:v>
                </c:pt>
                <c:pt idx="18">
                  <c:v>Dossier</c:v>
                </c:pt>
                <c:pt idx="19">
                  <c:v>Eau de Cologne</c:v>
                </c:pt>
                <c:pt idx="20">
                  <c:v>Ed HardUnknown</c:v>
                </c:pt>
                <c:pt idx="21">
                  <c:v>Estee Lauder</c:v>
                </c:pt>
                <c:pt idx="22">
                  <c:v>Fc</c:v>
                </c:pt>
                <c:pt idx="23">
                  <c:v>Fragrance Couture</c:v>
                </c:pt>
                <c:pt idx="24">
                  <c:v>Giorgio Armani</c:v>
                </c:pt>
                <c:pt idx="25">
                  <c:v>Guerlain</c:v>
                </c:pt>
                <c:pt idx="26">
                  <c:v>Have A Scent</c:v>
                </c:pt>
                <c:pt idx="27">
                  <c:v>Hermès</c:v>
                </c:pt>
                <c:pt idx="28">
                  <c:v>Hugo Boss</c:v>
                </c:pt>
                <c:pt idx="29">
                  <c:v>Jil Sander</c:v>
                </c:pt>
                <c:pt idx="30">
                  <c:v>Lalique</c:v>
                </c:pt>
                <c:pt idx="31">
                  <c:v>Lapidus</c:v>
                </c:pt>
                <c:pt idx="32">
                  <c:v>Louis Vuitton</c:v>
                </c:pt>
                <c:pt idx="33">
                  <c:v>Macarena</c:v>
                </c:pt>
                <c:pt idx="34">
                  <c:v>Maison Martin Margiela</c:v>
                </c:pt>
                <c:pt idx="35">
                  <c:v>Mancera</c:v>
                </c:pt>
                <c:pt idx="36">
                  <c:v>Mandarin Duck</c:v>
                </c:pt>
                <c:pt idx="37">
                  <c:v>Paco Rabanne</c:v>
                </c:pt>
                <c:pt idx="38">
                  <c:v>Polo Ralph Lauren</c:v>
                </c:pt>
                <c:pt idx="39">
                  <c:v>Prada</c:v>
                </c:pt>
                <c:pt idx="40">
                  <c:v>Ralph Lauren</c:v>
                </c:pt>
                <c:pt idx="41">
                  <c:v>Secertmu</c:v>
                </c:pt>
                <c:pt idx="42">
                  <c:v>The Baron</c:v>
                </c:pt>
                <c:pt idx="43">
                  <c:v>Unbranded</c:v>
                </c:pt>
                <c:pt idx="44">
                  <c:v>Unknownsl</c:v>
                </c:pt>
                <c:pt idx="45">
                  <c:v>Unknownves Saint Laurent</c:v>
                </c:pt>
              </c:strCache>
            </c:strRef>
          </c:cat>
          <c:val>
            <c:numRef>
              <c:f>'brand  Name vs Quantity sold'!$B$4:$B$50</c:f>
              <c:numCache>
                <c:formatCode>General</c:formatCode>
                <c:ptCount val="46"/>
                <c:pt idx="0">
                  <c:v>381</c:v>
                </c:pt>
                <c:pt idx="1">
                  <c:v>36</c:v>
                </c:pt>
                <c:pt idx="2">
                  <c:v>10</c:v>
                </c:pt>
                <c:pt idx="3">
                  <c:v>44</c:v>
                </c:pt>
                <c:pt idx="4">
                  <c:v>11</c:v>
                </c:pt>
                <c:pt idx="5">
                  <c:v>37</c:v>
                </c:pt>
                <c:pt idx="6">
                  <c:v>35</c:v>
                </c:pt>
                <c:pt idx="7">
                  <c:v>79</c:v>
                </c:pt>
                <c:pt idx="8">
                  <c:v>189</c:v>
                </c:pt>
                <c:pt idx="9">
                  <c:v>17</c:v>
                </c:pt>
                <c:pt idx="10">
                  <c:v>286</c:v>
                </c:pt>
                <c:pt idx="11">
                  <c:v>9</c:v>
                </c:pt>
                <c:pt idx="12">
                  <c:v>30</c:v>
                </c:pt>
                <c:pt idx="13">
                  <c:v>647</c:v>
                </c:pt>
                <c:pt idx="14">
                  <c:v>28</c:v>
                </c:pt>
                <c:pt idx="15">
                  <c:v>28</c:v>
                </c:pt>
                <c:pt idx="16">
                  <c:v>817</c:v>
                </c:pt>
                <c:pt idx="17">
                  <c:v>9</c:v>
                </c:pt>
                <c:pt idx="18">
                  <c:v>16</c:v>
                </c:pt>
                <c:pt idx="19">
                  <c:v>331</c:v>
                </c:pt>
                <c:pt idx="20">
                  <c:v>14</c:v>
                </c:pt>
                <c:pt idx="21">
                  <c:v>24</c:v>
                </c:pt>
                <c:pt idx="22">
                  <c:v>119</c:v>
                </c:pt>
                <c:pt idx="23">
                  <c:v>206</c:v>
                </c:pt>
                <c:pt idx="24">
                  <c:v>28</c:v>
                </c:pt>
                <c:pt idx="25">
                  <c:v>24</c:v>
                </c:pt>
                <c:pt idx="26">
                  <c:v>94</c:v>
                </c:pt>
                <c:pt idx="27">
                  <c:v>157</c:v>
                </c:pt>
                <c:pt idx="28">
                  <c:v>75</c:v>
                </c:pt>
                <c:pt idx="29">
                  <c:v>85</c:v>
                </c:pt>
                <c:pt idx="30">
                  <c:v>397</c:v>
                </c:pt>
                <c:pt idx="31">
                  <c:v>518</c:v>
                </c:pt>
                <c:pt idx="32">
                  <c:v>647</c:v>
                </c:pt>
                <c:pt idx="33">
                  <c:v>122</c:v>
                </c:pt>
                <c:pt idx="34">
                  <c:v>11</c:v>
                </c:pt>
                <c:pt idx="35">
                  <c:v>17</c:v>
                </c:pt>
                <c:pt idx="36">
                  <c:v>75</c:v>
                </c:pt>
                <c:pt idx="37">
                  <c:v>13</c:v>
                </c:pt>
                <c:pt idx="38">
                  <c:v>86</c:v>
                </c:pt>
                <c:pt idx="39">
                  <c:v>29</c:v>
                </c:pt>
                <c:pt idx="40">
                  <c:v>16</c:v>
                </c:pt>
                <c:pt idx="41">
                  <c:v>38</c:v>
                </c:pt>
                <c:pt idx="42">
                  <c:v>1</c:v>
                </c:pt>
                <c:pt idx="43">
                  <c:v>552</c:v>
                </c:pt>
                <c:pt idx="44">
                  <c:v>12</c:v>
                </c:pt>
                <c:pt idx="45">
                  <c:v>88</c:v>
                </c:pt>
              </c:numCache>
            </c:numRef>
          </c:val>
          <c:extLst>
            <c:ext xmlns:c16="http://schemas.microsoft.com/office/drawing/2014/chart" uri="{C3380CC4-5D6E-409C-BE32-E72D297353CC}">
              <c16:uniqueId val="{00000000-BC0C-4BB0-AA6A-ACB957451E5B}"/>
            </c:ext>
          </c:extLst>
        </c:ser>
        <c:dLbls>
          <c:showLegendKey val="0"/>
          <c:showVal val="0"/>
          <c:showCatName val="0"/>
          <c:showSerName val="0"/>
          <c:showPercent val="0"/>
          <c:showBubbleSize val="0"/>
          <c:showLeaderLines val="1"/>
        </c:dLbls>
      </c:pie3DChart>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parfum.xlsx]Country vs price with currency!PivotTable3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'Country vs price with currency'!$B$3</c:f>
              <c:strCache>
                <c:ptCount val="1"/>
                <c:pt idx="0">
                  <c:v>Total</c:v>
                </c:pt>
              </c:strCache>
            </c:strRef>
          </c:tx>
          <c:spPr>
            <a:solidFill>
              <a:schemeClr val="accent1"/>
            </a:solidFill>
            <a:ln>
              <a:noFill/>
            </a:ln>
            <a:effectLst/>
            <a:sp3d/>
          </c:spPr>
          <c:invertIfNegative val="0"/>
          <c:cat>
            <c:strRef>
              <c:f>'Country vs price with currency'!$A$4:$A$5</c:f>
              <c:strCache>
                <c:ptCount val="1"/>
                <c:pt idx="0">
                  <c:v>India</c:v>
                </c:pt>
              </c:strCache>
            </c:strRef>
          </c:cat>
          <c:val>
            <c:numRef>
              <c:f>'Country vs price with currency'!$B$4:$B$5</c:f>
              <c:numCache>
                <c:formatCode>[$₹-449]\ #,##0</c:formatCode>
                <c:ptCount val="1"/>
                <c:pt idx="0">
                  <c:v>124.35</c:v>
                </c:pt>
              </c:numCache>
            </c:numRef>
          </c:val>
          <c:extLst>
            <c:ext xmlns:c16="http://schemas.microsoft.com/office/drawing/2014/chart" uri="{C3380CC4-5D6E-409C-BE32-E72D297353CC}">
              <c16:uniqueId val="{00000000-99E1-4BBC-80B8-643AE801A85D}"/>
            </c:ext>
          </c:extLst>
        </c:ser>
        <c:dLbls>
          <c:showLegendKey val="0"/>
          <c:showVal val="0"/>
          <c:showCatName val="0"/>
          <c:showSerName val="0"/>
          <c:showPercent val="0"/>
          <c:showBubbleSize val="0"/>
        </c:dLbls>
        <c:gapWidth val="150"/>
        <c:shape val="box"/>
        <c:axId val="465402048"/>
        <c:axId val="465403488"/>
        <c:axId val="0"/>
      </c:bar3DChart>
      <c:catAx>
        <c:axId val="465402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403488"/>
        <c:crosses val="autoZero"/>
        <c:auto val="1"/>
        <c:lblAlgn val="ctr"/>
        <c:lblOffset val="100"/>
        <c:noMultiLvlLbl val="0"/>
      </c:catAx>
      <c:valAx>
        <c:axId val="465403488"/>
        <c:scaling>
          <c:orientation val="minMax"/>
        </c:scaling>
        <c:delete val="0"/>
        <c:axPos val="l"/>
        <c:majorGridlines>
          <c:spPr>
            <a:ln w="9525" cap="flat" cmpd="sng" algn="ctr">
              <a:solidFill>
                <a:schemeClr val="tx1">
                  <a:lumMod val="15000"/>
                  <a:lumOff val="85000"/>
                </a:schemeClr>
              </a:solidFill>
              <a:round/>
            </a:ln>
            <a:effectLst/>
          </c:spPr>
        </c:majorGridlines>
        <c:numFmt formatCode="[$₹-44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40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parfum.xlsx]parfum_quality_revenue!PivotTable4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parfum_quality_revenue!$B$3:$B$4</c:f>
              <c:strCache>
                <c:ptCount val="1"/>
                <c:pt idx="0">
                  <c:v>Normal Quality</c:v>
                </c:pt>
              </c:strCache>
            </c:strRef>
          </c:tx>
          <c:spPr>
            <a:solidFill>
              <a:schemeClr val="accent1"/>
            </a:solidFill>
            <a:ln>
              <a:noFill/>
            </a:ln>
            <a:effectLst/>
            <a:sp3d/>
          </c:spPr>
          <c:invertIfNegative val="0"/>
          <c:cat>
            <c:strRef>
              <c:f>parfum_quality_revenue!$A$5:$A$10</c:f>
              <c:strCache>
                <c:ptCount val="5"/>
                <c:pt idx="0">
                  <c:v>Car Air Freshener</c:v>
                </c:pt>
                <c:pt idx="1">
                  <c:v>Eau de Cologne</c:v>
                </c:pt>
                <c:pt idx="2">
                  <c:v>Eau de Parfum</c:v>
                </c:pt>
                <c:pt idx="3">
                  <c:v>Eau de Toilette</c:v>
                </c:pt>
                <c:pt idx="4">
                  <c:v>Roll On</c:v>
                </c:pt>
              </c:strCache>
            </c:strRef>
          </c:cat>
          <c:val>
            <c:numRef>
              <c:f>parfum_quality_revenue!$B$5:$B$10</c:f>
              <c:numCache>
                <c:formatCode>General</c:formatCode>
                <c:ptCount val="5"/>
                <c:pt idx="0">
                  <c:v>941.8900000000001</c:v>
                </c:pt>
                <c:pt idx="1">
                  <c:v>21145.140000000003</c:v>
                </c:pt>
                <c:pt idx="2">
                  <c:v>60034.289999999994</c:v>
                </c:pt>
                <c:pt idx="3">
                  <c:v>38480.5</c:v>
                </c:pt>
                <c:pt idx="4">
                  <c:v>939.06000000000006</c:v>
                </c:pt>
              </c:numCache>
            </c:numRef>
          </c:val>
          <c:extLst>
            <c:ext xmlns:c16="http://schemas.microsoft.com/office/drawing/2014/chart" uri="{C3380CC4-5D6E-409C-BE32-E72D297353CC}">
              <c16:uniqueId val="{00000006-E7DE-4CC8-859D-EE657EE27A37}"/>
            </c:ext>
          </c:extLst>
        </c:ser>
        <c:dLbls>
          <c:showLegendKey val="0"/>
          <c:showVal val="0"/>
          <c:showCatName val="0"/>
          <c:showSerName val="0"/>
          <c:showPercent val="0"/>
          <c:showBubbleSize val="0"/>
        </c:dLbls>
        <c:gapWidth val="150"/>
        <c:shape val="box"/>
        <c:axId val="598930688"/>
        <c:axId val="598929728"/>
        <c:axId val="0"/>
      </c:bar3DChart>
      <c:catAx>
        <c:axId val="598930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929728"/>
        <c:crosses val="autoZero"/>
        <c:auto val="1"/>
        <c:lblAlgn val="ctr"/>
        <c:lblOffset val="100"/>
        <c:noMultiLvlLbl val="0"/>
      </c:catAx>
      <c:valAx>
        <c:axId val="598929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93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parfum.xlsx]brand  Name vs Quantity sold!PivotTable1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Brand</a:t>
            </a:r>
            <a:r>
              <a:rPr lang="en-US" baseline="0"/>
              <a:t> and its sold range</a:t>
            </a:r>
            <a:endParaRPr lang="en-US"/>
          </a:p>
        </c:rich>
      </c:tx>
      <c:layout>
        <c:manualLayout>
          <c:xMode val="edge"/>
          <c:yMode val="edge"/>
          <c:x val="0.23537769449299387"/>
          <c:y val="9.65756908320545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pivotFmt>
      <c:pivotFmt>
        <c:idx val="79"/>
        <c:spPr>
          <a:solidFill>
            <a:schemeClr val="accent1"/>
          </a:solidFill>
          <a:ln w="25400">
            <a:solidFill>
              <a:schemeClr val="lt1"/>
            </a:solidFill>
          </a:ln>
          <a:effectLst/>
          <a:sp3d contourW="25400">
            <a:contourClr>
              <a:schemeClr val="lt1"/>
            </a:contourClr>
          </a:sp3d>
        </c:spPr>
      </c:pivotFmt>
      <c:pivotFmt>
        <c:idx val="80"/>
        <c:spPr>
          <a:solidFill>
            <a:schemeClr val="accent1"/>
          </a:solidFill>
          <a:ln w="25400">
            <a:solidFill>
              <a:schemeClr val="lt1"/>
            </a:solidFill>
          </a:ln>
          <a:effectLst/>
          <a:sp3d contourW="25400">
            <a:contourClr>
              <a:schemeClr val="lt1"/>
            </a:contourClr>
          </a:sp3d>
        </c:spPr>
      </c:pivotFmt>
      <c:pivotFmt>
        <c:idx val="81"/>
        <c:spPr>
          <a:solidFill>
            <a:schemeClr val="accent1"/>
          </a:solidFill>
          <a:ln w="25400">
            <a:solidFill>
              <a:schemeClr val="lt1"/>
            </a:solidFill>
          </a:ln>
          <a:effectLst/>
          <a:sp3d contourW="25400">
            <a:contourClr>
              <a:schemeClr val="lt1"/>
            </a:contourClr>
          </a:sp3d>
        </c:spPr>
      </c:pivotFmt>
      <c:pivotFmt>
        <c:idx val="82"/>
        <c:spPr>
          <a:solidFill>
            <a:schemeClr val="accent1"/>
          </a:solidFill>
          <a:ln w="25400">
            <a:solidFill>
              <a:schemeClr val="lt1"/>
            </a:solidFill>
          </a:ln>
          <a:effectLst/>
          <a:sp3d contourW="25400">
            <a:contourClr>
              <a:schemeClr val="lt1"/>
            </a:contourClr>
          </a:sp3d>
        </c:spPr>
      </c:pivotFmt>
      <c:pivotFmt>
        <c:idx val="83"/>
        <c:spPr>
          <a:solidFill>
            <a:schemeClr val="accent1"/>
          </a:solidFill>
          <a:ln w="25400">
            <a:solidFill>
              <a:schemeClr val="lt1"/>
            </a:solidFill>
          </a:ln>
          <a:effectLst/>
          <a:sp3d contourW="25400">
            <a:contourClr>
              <a:schemeClr val="lt1"/>
            </a:contourClr>
          </a:sp3d>
        </c:spPr>
      </c:pivotFmt>
      <c:pivotFmt>
        <c:idx val="84"/>
        <c:spPr>
          <a:solidFill>
            <a:schemeClr val="accent1"/>
          </a:solidFill>
          <a:ln w="25400">
            <a:solidFill>
              <a:schemeClr val="lt1"/>
            </a:solidFill>
          </a:ln>
          <a:effectLst/>
          <a:sp3d contourW="25400">
            <a:contourClr>
              <a:schemeClr val="lt1"/>
            </a:contourClr>
          </a:sp3d>
        </c:spPr>
      </c:pivotFmt>
      <c:pivotFmt>
        <c:idx val="85"/>
        <c:spPr>
          <a:solidFill>
            <a:schemeClr val="accent1"/>
          </a:solidFill>
          <a:ln w="25400">
            <a:solidFill>
              <a:schemeClr val="lt1"/>
            </a:solidFill>
          </a:ln>
          <a:effectLst/>
          <a:sp3d contourW="25400">
            <a:contourClr>
              <a:schemeClr val="lt1"/>
            </a:contourClr>
          </a:sp3d>
        </c:spPr>
      </c:pivotFmt>
      <c:pivotFmt>
        <c:idx val="86"/>
        <c:spPr>
          <a:solidFill>
            <a:schemeClr val="accent1"/>
          </a:solidFill>
          <a:ln w="25400">
            <a:solidFill>
              <a:schemeClr val="lt1"/>
            </a:solidFill>
          </a:ln>
          <a:effectLst/>
          <a:sp3d contourW="25400">
            <a:contourClr>
              <a:schemeClr val="lt1"/>
            </a:contourClr>
          </a:sp3d>
        </c:spPr>
      </c:pivotFmt>
      <c:pivotFmt>
        <c:idx val="87"/>
        <c:spPr>
          <a:solidFill>
            <a:schemeClr val="accent1"/>
          </a:solidFill>
          <a:ln w="25400">
            <a:solidFill>
              <a:schemeClr val="lt1"/>
            </a:solidFill>
          </a:ln>
          <a:effectLst/>
          <a:sp3d contourW="25400">
            <a:contourClr>
              <a:schemeClr val="lt1"/>
            </a:contourClr>
          </a:sp3d>
        </c:spPr>
      </c:pivotFmt>
      <c:pivotFmt>
        <c:idx val="88"/>
        <c:spPr>
          <a:solidFill>
            <a:schemeClr val="accent1"/>
          </a:solidFill>
          <a:ln w="25400">
            <a:solidFill>
              <a:schemeClr val="lt1"/>
            </a:solidFill>
          </a:ln>
          <a:effectLst/>
          <a:sp3d contourW="25400">
            <a:contourClr>
              <a:schemeClr val="lt1"/>
            </a:contourClr>
          </a:sp3d>
        </c:spPr>
      </c:pivotFmt>
      <c:pivotFmt>
        <c:idx val="89"/>
        <c:spPr>
          <a:solidFill>
            <a:schemeClr val="accent1"/>
          </a:solidFill>
          <a:ln w="25400">
            <a:solidFill>
              <a:schemeClr val="lt1"/>
            </a:solidFill>
          </a:ln>
          <a:effectLst/>
          <a:sp3d contourW="25400">
            <a:contourClr>
              <a:schemeClr val="lt1"/>
            </a:contourClr>
          </a:sp3d>
        </c:spPr>
      </c:pivotFmt>
      <c:pivotFmt>
        <c:idx val="9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'brand  Name vs Quantity sold'!$B$3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dPt>
            <c:idx val="20"/>
            <c:bubble3D val="0"/>
            <c:spPr>
              <a:solidFill>
                <a:schemeClr val="accent3">
                  <a:lumMod val="80000"/>
                </a:schemeClr>
              </a:solidFill>
              <a:ln w="25400">
                <a:solidFill>
                  <a:schemeClr val="lt1"/>
                </a:solidFill>
              </a:ln>
              <a:effectLst/>
              <a:sp3d contourW="25400">
                <a:contourClr>
                  <a:schemeClr val="lt1"/>
                </a:contourClr>
              </a:sp3d>
            </c:spPr>
          </c:dPt>
          <c:dPt>
            <c:idx val="21"/>
            <c:bubble3D val="0"/>
            <c:spPr>
              <a:solidFill>
                <a:schemeClr val="accent4">
                  <a:lumMod val="80000"/>
                </a:schemeClr>
              </a:solidFill>
              <a:ln w="25400">
                <a:solidFill>
                  <a:schemeClr val="lt1"/>
                </a:solidFill>
              </a:ln>
              <a:effectLst/>
              <a:sp3d contourW="25400">
                <a:contourClr>
                  <a:schemeClr val="lt1"/>
                </a:contourClr>
              </a:sp3d>
            </c:spPr>
          </c:dPt>
          <c:dPt>
            <c:idx val="22"/>
            <c:bubble3D val="0"/>
            <c:spPr>
              <a:solidFill>
                <a:schemeClr val="accent5">
                  <a:lumMod val="80000"/>
                </a:schemeClr>
              </a:solidFill>
              <a:ln w="25400">
                <a:solidFill>
                  <a:schemeClr val="lt1"/>
                </a:solidFill>
              </a:ln>
              <a:effectLst/>
              <a:sp3d contourW="25400">
                <a:contourClr>
                  <a:schemeClr val="lt1"/>
                </a:contourClr>
              </a:sp3d>
            </c:spPr>
          </c:dPt>
          <c:dPt>
            <c:idx val="23"/>
            <c:bubble3D val="0"/>
            <c:spPr>
              <a:solidFill>
                <a:schemeClr val="accent6">
                  <a:lumMod val="80000"/>
                </a:schemeClr>
              </a:solidFill>
              <a:ln w="25400">
                <a:solidFill>
                  <a:schemeClr val="lt1"/>
                </a:solidFill>
              </a:ln>
              <a:effectLst/>
              <a:sp3d contourW="25400">
                <a:contourClr>
                  <a:schemeClr val="lt1"/>
                </a:contourClr>
              </a:sp3d>
            </c:spPr>
          </c:dPt>
          <c:dPt>
            <c:idx val="24"/>
            <c:bubble3D val="0"/>
            <c:spPr>
              <a:solidFill>
                <a:schemeClr val="accent1">
                  <a:lumMod val="60000"/>
                  <a:lumOff val="40000"/>
                </a:schemeClr>
              </a:solidFill>
              <a:ln w="25400">
                <a:solidFill>
                  <a:schemeClr val="lt1"/>
                </a:solidFill>
              </a:ln>
              <a:effectLst/>
              <a:sp3d contourW="25400">
                <a:contourClr>
                  <a:schemeClr val="lt1"/>
                </a:contourClr>
              </a:sp3d>
            </c:spPr>
          </c:dPt>
          <c:dPt>
            <c:idx val="25"/>
            <c:bubble3D val="0"/>
            <c:spPr>
              <a:solidFill>
                <a:schemeClr val="accent2">
                  <a:lumMod val="60000"/>
                  <a:lumOff val="40000"/>
                </a:schemeClr>
              </a:solidFill>
              <a:ln w="25400">
                <a:solidFill>
                  <a:schemeClr val="lt1"/>
                </a:solidFill>
              </a:ln>
              <a:effectLst/>
              <a:sp3d contourW="25400">
                <a:contourClr>
                  <a:schemeClr val="lt1"/>
                </a:contourClr>
              </a:sp3d>
            </c:spPr>
          </c:dPt>
          <c:dPt>
            <c:idx val="26"/>
            <c:bubble3D val="0"/>
            <c:spPr>
              <a:solidFill>
                <a:schemeClr val="accent3">
                  <a:lumMod val="60000"/>
                  <a:lumOff val="40000"/>
                </a:schemeClr>
              </a:solidFill>
              <a:ln w="25400">
                <a:solidFill>
                  <a:schemeClr val="lt1"/>
                </a:solidFill>
              </a:ln>
              <a:effectLst/>
              <a:sp3d contourW="25400">
                <a:contourClr>
                  <a:schemeClr val="lt1"/>
                </a:contourClr>
              </a:sp3d>
            </c:spPr>
          </c:dPt>
          <c:dPt>
            <c:idx val="27"/>
            <c:bubble3D val="0"/>
            <c:spPr>
              <a:solidFill>
                <a:schemeClr val="accent4">
                  <a:lumMod val="60000"/>
                  <a:lumOff val="40000"/>
                </a:schemeClr>
              </a:solidFill>
              <a:ln w="25400">
                <a:solidFill>
                  <a:schemeClr val="lt1"/>
                </a:solidFill>
              </a:ln>
              <a:effectLst/>
              <a:sp3d contourW="25400">
                <a:contourClr>
                  <a:schemeClr val="lt1"/>
                </a:contourClr>
              </a:sp3d>
            </c:spPr>
          </c:dPt>
          <c:dPt>
            <c:idx val="28"/>
            <c:bubble3D val="0"/>
            <c:spPr>
              <a:solidFill>
                <a:schemeClr val="accent5">
                  <a:lumMod val="60000"/>
                  <a:lumOff val="40000"/>
                </a:schemeClr>
              </a:solidFill>
              <a:ln w="25400">
                <a:solidFill>
                  <a:schemeClr val="lt1"/>
                </a:solidFill>
              </a:ln>
              <a:effectLst/>
              <a:sp3d contourW="25400">
                <a:contourClr>
                  <a:schemeClr val="lt1"/>
                </a:contourClr>
              </a:sp3d>
            </c:spPr>
          </c:dPt>
          <c:dPt>
            <c:idx val="29"/>
            <c:bubble3D val="0"/>
            <c:spPr>
              <a:solidFill>
                <a:schemeClr val="accent6">
                  <a:lumMod val="60000"/>
                  <a:lumOff val="40000"/>
                </a:schemeClr>
              </a:solidFill>
              <a:ln w="25400">
                <a:solidFill>
                  <a:schemeClr val="lt1"/>
                </a:solidFill>
              </a:ln>
              <a:effectLst/>
              <a:sp3d contourW="25400">
                <a:contourClr>
                  <a:schemeClr val="lt1"/>
                </a:contourClr>
              </a:sp3d>
            </c:spPr>
          </c:dPt>
          <c:dPt>
            <c:idx val="30"/>
            <c:bubble3D val="0"/>
            <c:spPr>
              <a:solidFill>
                <a:schemeClr val="accent1">
                  <a:lumMod val="50000"/>
                </a:schemeClr>
              </a:solidFill>
              <a:ln w="25400">
                <a:solidFill>
                  <a:schemeClr val="lt1"/>
                </a:solidFill>
              </a:ln>
              <a:effectLst/>
              <a:sp3d contourW="25400">
                <a:contourClr>
                  <a:schemeClr val="lt1"/>
                </a:contourClr>
              </a:sp3d>
            </c:spPr>
          </c:dPt>
          <c:dPt>
            <c:idx val="31"/>
            <c:bubble3D val="0"/>
            <c:spPr>
              <a:solidFill>
                <a:schemeClr val="accent2">
                  <a:lumMod val="50000"/>
                </a:schemeClr>
              </a:solidFill>
              <a:ln w="25400">
                <a:solidFill>
                  <a:schemeClr val="lt1"/>
                </a:solidFill>
              </a:ln>
              <a:effectLst/>
              <a:sp3d contourW="25400">
                <a:contourClr>
                  <a:schemeClr val="lt1"/>
                </a:contourClr>
              </a:sp3d>
            </c:spPr>
          </c:dPt>
          <c:dPt>
            <c:idx val="32"/>
            <c:bubble3D val="0"/>
            <c:spPr>
              <a:solidFill>
                <a:schemeClr val="accent3">
                  <a:lumMod val="50000"/>
                </a:schemeClr>
              </a:solidFill>
              <a:ln w="25400">
                <a:solidFill>
                  <a:schemeClr val="lt1"/>
                </a:solidFill>
              </a:ln>
              <a:effectLst/>
              <a:sp3d contourW="25400">
                <a:contourClr>
                  <a:schemeClr val="lt1"/>
                </a:contourClr>
              </a:sp3d>
            </c:spPr>
          </c:dPt>
          <c:dPt>
            <c:idx val="33"/>
            <c:bubble3D val="0"/>
            <c:spPr>
              <a:solidFill>
                <a:schemeClr val="accent4">
                  <a:lumMod val="50000"/>
                </a:schemeClr>
              </a:solidFill>
              <a:ln w="25400">
                <a:solidFill>
                  <a:schemeClr val="lt1"/>
                </a:solidFill>
              </a:ln>
              <a:effectLst/>
              <a:sp3d contourW="25400">
                <a:contourClr>
                  <a:schemeClr val="lt1"/>
                </a:contourClr>
              </a:sp3d>
            </c:spPr>
          </c:dPt>
          <c:dPt>
            <c:idx val="34"/>
            <c:bubble3D val="0"/>
            <c:spPr>
              <a:solidFill>
                <a:schemeClr val="accent5">
                  <a:lumMod val="50000"/>
                </a:schemeClr>
              </a:solidFill>
              <a:ln w="25400">
                <a:solidFill>
                  <a:schemeClr val="lt1"/>
                </a:solidFill>
              </a:ln>
              <a:effectLst/>
              <a:sp3d contourW="25400">
                <a:contourClr>
                  <a:schemeClr val="lt1"/>
                </a:contourClr>
              </a:sp3d>
            </c:spPr>
          </c:dPt>
          <c:dPt>
            <c:idx val="35"/>
            <c:bubble3D val="0"/>
            <c:spPr>
              <a:solidFill>
                <a:schemeClr val="accent6">
                  <a:lumMod val="50000"/>
                </a:schemeClr>
              </a:solidFill>
              <a:ln w="25400">
                <a:solidFill>
                  <a:schemeClr val="lt1"/>
                </a:solidFill>
              </a:ln>
              <a:effectLst/>
              <a:sp3d contourW="25400">
                <a:contourClr>
                  <a:schemeClr val="lt1"/>
                </a:contourClr>
              </a:sp3d>
            </c:spPr>
          </c:dPt>
          <c:dPt>
            <c:idx val="36"/>
            <c:bubble3D val="0"/>
            <c:spPr>
              <a:solidFill>
                <a:schemeClr val="accent1">
                  <a:lumMod val="70000"/>
                  <a:lumOff val="30000"/>
                </a:schemeClr>
              </a:solidFill>
              <a:ln w="25400">
                <a:solidFill>
                  <a:schemeClr val="lt1"/>
                </a:solidFill>
              </a:ln>
              <a:effectLst/>
              <a:sp3d contourW="25400">
                <a:contourClr>
                  <a:schemeClr val="lt1"/>
                </a:contourClr>
              </a:sp3d>
            </c:spPr>
          </c:dPt>
          <c:dPt>
            <c:idx val="37"/>
            <c:bubble3D val="0"/>
            <c:spPr>
              <a:solidFill>
                <a:schemeClr val="accent2">
                  <a:lumMod val="70000"/>
                  <a:lumOff val="30000"/>
                </a:schemeClr>
              </a:solidFill>
              <a:ln w="25400">
                <a:solidFill>
                  <a:schemeClr val="lt1"/>
                </a:solidFill>
              </a:ln>
              <a:effectLst/>
              <a:sp3d contourW="25400">
                <a:contourClr>
                  <a:schemeClr val="lt1"/>
                </a:contourClr>
              </a:sp3d>
            </c:spPr>
          </c:dPt>
          <c:dPt>
            <c:idx val="38"/>
            <c:bubble3D val="0"/>
            <c:spPr>
              <a:solidFill>
                <a:schemeClr val="accent3">
                  <a:lumMod val="70000"/>
                  <a:lumOff val="30000"/>
                </a:schemeClr>
              </a:solidFill>
              <a:ln w="25400">
                <a:solidFill>
                  <a:schemeClr val="lt1"/>
                </a:solidFill>
              </a:ln>
              <a:effectLst/>
              <a:sp3d contourW="25400">
                <a:contourClr>
                  <a:schemeClr val="lt1"/>
                </a:contourClr>
              </a:sp3d>
            </c:spPr>
          </c:dPt>
          <c:dPt>
            <c:idx val="39"/>
            <c:bubble3D val="0"/>
            <c:spPr>
              <a:solidFill>
                <a:schemeClr val="accent4">
                  <a:lumMod val="70000"/>
                  <a:lumOff val="30000"/>
                </a:schemeClr>
              </a:solidFill>
              <a:ln w="25400">
                <a:solidFill>
                  <a:schemeClr val="lt1"/>
                </a:solidFill>
              </a:ln>
              <a:effectLst/>
              <a:sp3d contourW="25400">
                <a:contourClr>
                  <a:schemeClr val="lt1"/>
                </a:contourClr>
              </a:sp3d>
            </c:spPr>
          </c:dPt>
          <c:dPt>
            <c:idx val="40"/>
            <c:bubble3D val="0"/>
            <c:spPr>
              <a:solidFill>
                <a:schemeClr val="accent5">
                  <a:lumMod val="70000"/>
                  <a:lumOff val="30000"/>
                </a:schemeClr>
              </a:solidFill>
              <a:ln w="25400">
                <a:solidFill>
                  <a:schemeClr val="lt1"/>
                </a:solidFill>
              </a:ln>
              <a:effectLst/>
              <a:sp3d contourW="25400">
                <a:contourClr>
                  <a:schemeClr val="lt1"/>
                </a:contourClr>
              </a:sp3d>
            </c:spPr>
          </c:dPt>
          <c:dPt>
            <c:idx val="41"/>
            <c:bubble3D val="0"/>
            <c:spPr>
              <a:solidFill>
                <a:schemeClr val="accent6">
                  <a:lumMod val="70000"/>
                  <a:lumOff val="30000"/>
                </a:schemeClr>
              </a:solidFill>
              <a:ln w="25400">
                <a:solidFill>
                  <a:schemeClr val="lt1"/>
                </a:solidFill>
              </a:ln>
              <a:effectLst/>
              <a:sp3d contourW="25400">
                <a:contourClr>
                  <a:schemeClr val="lt1"/>
                </a:contourClr>
              </a:sp3d>
            </c:spPr>
          </c:dPt>
          <c:dPt>
            <c:idx val="42"/>
            <c:bubble3D val="0"/>
            <c:spPr>
              <a:solidFill>
                <a:schemeClr val="accent1">
                  <a:lumMod val="70000"/>
                </a:schemeClr>
              </a:solidFill>
              <a:ln w="25400">
                <a:solidFill>
                  <a:schemeClr val="lt1"/>
                </a:solidFill>
              </a:ln>
              <a:effectLst/>
              <a:sp3d contourW="25400">
                <a:contourClr>
                  <a:schemeClr val="lt1"/>
                </a:contourClr>
              </a:sp3d>
            </c:spPr>
          </c:dPt>
          <c:dPt>
            <c:idx val="43"/>
            <c:bubble3D val="0"/>
            <c:spPr>
              <a:solidFill>
                <a:schemeClr val="accent2">
                  <a:lumMod val="70000"/>
                </a:schemeClr>
              </a:solidFill>
              <a:ln w="25400">
                <a:solidFill>
                  <a:schemeClr val="lt1"/>
                </a:solidFill>
              </a:ln>
              <a:effectLst/>
              <a:sp3d contourW="25400">
                <a:contourClr>
                  <a:schemeClr val="lt1"/>
                </a:contourClr>
              </a:sp3d>
            </c:spPr>
          </c:dPt>
          <c:dPt>
            <c:idx val="44"/>
            <c:bubble3D val="0"/>
            <c:spPr>
              <a:solidFill>
                <a:schemeClr val="accent3">
                  <a:lumMod val="70000"/>
                </a:schemeClr>
              </a:solidFill>
              <a:ln w="25400">
                <a:solidFill>
                  <a:schemeClr val="lt1"/>
                </a:solidFill>
              </a:ln>
              <a:effectLst/>
              <a:sp3d contourW="25400">
                <a:contourClr>
                  <a:schemeClr val="lt1"/>
                </a:contourClr>
              </a:sp3d>
            </c:spPr>
          </c:dPt>
          <c:dPt>
            <c:idx val="45"/>
            <c:bubble3D val="0"/>
            <c:spPr>
              <a:solidFill>
                <a:schemeClr val="accent4">
                  <a:lumMod val="70000"/>
                </a:schemeClr>
              </a:solidFill>
              <a:ln w="25400">
                <a:solidFill>
                  <a:schemeClr val="lt1"/>
                </a:solidFill>
              </a:ln>
              <a:effectLst/>
              <a:sp3d contourW="25400">
                <a:contourClr>
                  <a:schemeClr val="lt1"/>
                </a:contourClr>
              </a:sp3d>
            </c:spPr>
          </c:dPt>
          <c:cat>
            <c:strRef>
              <c:f>'brand  Name vs Quantity sold'!$A$4:$A$50</c:f>
              <c:strCache>
                <c:ptCount val="46"/>
                <c:pt idx="0">
                  <c:v>Abercrombie &amp; Fitch</c:v>
                </c:pt>
                <c:pt idx="1">
                  <c:v>Al Wataniah</c:v>
                </c:pt>
                <c:pt idx="2">
                  <c:v>Armaf</c:v>
                </c:pt>
                <c:pt idx="3">
                  <c:v>As Picture Show</c:v>
                </c:pt>
                <c:pt idx="4">
                  <c:v>As Shown</c:v>
                </c:pt>
                <c:pt idx="5">
                  <c:v>Avon</c:v>
                </c:pt>
                <c:pt idx="6">
                  <c:v>Bath &amp; BodUnknown Works</c:v>
                </c:pt>
                <c:pt idx="7">
                  <c:v>BUnknown Al Hambra</c:v>
                </c:pt>
                <c:pt idx="8">
                  <c:v>Calvin Klein</c:v>
                </c:pt>
                <c:pt idx="9">
                  <c:v>Carolina Herrera</c:v>
                </c:pt>
                <c:pt idx="10">
                  <c:v>Chanel</c:v>
                </c:pt>
                <c:pt idx="11">
                  <c:v>Claude Marsal</c:v>
                </c:pt>
                <c:pt idx="12">
                  <c:v>Creed</c:v>
                </c:pt>
                <c:pt idx="13">
                  <c:v>Dana</c:v>
                </c:pt>
                <c:pt idx="14">
                  <c:v>Diesel</c:v>
                </c:pt>
                <c:pt idx="15">
                  <c:v>Dior</c:v>
                </c:pt>
                <c:pt idx="16">
                  <c:v>Dolce &amp; Gabbana</c:v>
                </c:pt>
                <c:pt idx="17">
                  <c:v>Dolce&amp;Gabbana</c:v>
                </c:pt>
                <c:pt idx="18">
                  <c:v>Dossier</c:v>
                </c:pt>
                <c:pt idx="19">
                  <c:v>Eau de Cologne</c:v>
                </c:pt>
                <c:pt idx="20">
                  <c:v>Ed HardUnknown</c:v>
                </c:pt>
                <c:pt idx="21">
                  <c:v>Estee Lauder</c:v>
                </c:pt>
                <c:pt idx="22">
                  <c:v>Fc</c:v>
                </c:pt>
                <c:pt idx="23">
                  <c:v>Fragrance Couture</c:v>
                </c:pt>
                <c:pt idx="24">
                  <c:v>Giorgio Armani</c:v>
                </c:pt>
                <c:pt idx="25">
                  <c:v>Guerlain</c:v>
                </c:pt>
                <c:pt idx="26">
                  <c:v>Have A Scent</c:v>
                </c:pt>
                <c:pt idx="27">
                  <c:v>Hermès</c:v>
                </c:pt>
                <c:pt idx="28">
                  <c:v>Hugo Boss</c:v>
                </c:pt>
                <c:pt idx="29">
                  <c:v>Jil Sander</c:v>
                </c:pt>
                <c:pt idx="30">
                  <c:v>Lalique</c:v>
                </c:pt>
                <c:pt idx="31">
                  <c:v>Lapidus</c:v>
                </c:pt>
                <c:pt idx="32">
                  <c:v>Louis Vuitton</c:v>
                </c:pt>
                <c:pt idx="33">
                  <c:v>Macarena</c:v>
                </c:pt>
                <c:pt idx="34">
                  <c:v>Maison Martin Margiela</c:v>
                </c:pt>
                <c:pt idx="35">
                  <c:v>Mancera</c:v>
                </c:pt>
                <c:pt idx="36">
                  <c:v>Mandarin Duck</c:v>
                </c:pt>
                <c:pt idx="37">
                  <c:v>Paco Rabanne</c:v>
                </c:pt>
                <c:pt idx="38">
                  <c:v>Polo Ralph Lauren</c:v>
                </c:pt>
                <c:pt idx="39">
                  <c:v>Prada</c:v>
                </c:pt>
                <c:pt idx="40">
                  <c:v>Ralph Lauren</c:v>
                </c:pt>
                <c:pt idx="41">
                  <c:v>Secertmu</c:v>
                </c:pt>
                <c:pt idx="42">
                  <c:v>The Baron</c:v>
                </c:pt>
                <c:pt idx="43">
                  <c:v>Unbranded</c:v>
                </c:pt>
                <c:pt idx="44">
                  <c:v>Unknownsl</c:v>
                </c:pt>
                <c:pt idx="45">
                  <c:v>Unknownves Saint Laurent</c:v>
                </c:pt>
              </c:strCache>
            </c:strRef>
          </c:cat>
          <c:val>
            <c:numRef>
              <c:f>'brand  Name vs Quantity sold'!$B$4:$B$50</c:f>
              <c:numCache>
                <c:formatCode>General</c:formatCode>
                <c:ptCount val="46"/>
                <c:pt idx="0">
                  <c:v>381</c:v>
                </c:pt>
                <c:pt idx="1">
                  <c:v>36</c:v>
                </c:pt>
                <c:pt idx="2">
                  <c:v>10</c:v>
                </c:pt>
                <c:pt idx="3">
                  <c:v>44</c:v>
                </c:pt>
                <c:pt idx="4">
                  <c:v>11</c:v>
                </c:pt>
                <c:pt idx="5">
                  <c:v>37</c:v>
                </c:pt>
                <c:pt idx="6">
                  <c:v>35</c:v>
                </c:pt>
                <c:pt idx="7">
                  <c:v>79</c:v>
                </c:pt>
                <c:pt idx="8">
                  <c:v>189</c:v>
                </c:pt>
                <c:pt idx="9">
                  <c:v>17</c:v>
                </c:pt>
                <c:pt idx="10">
                  <c:v>286</c:v>
                </c:pt>
                <c:pt idx="11">
                  <c:v>9</c:v>
                </c:pt>
                <c:pt idx="12">
                  <c:v>30</c:v>
                </c:pt>
                <c:pt idx="13">
                  <c:v>647</c:v>
                </c:pt>
                <c:pt idx="14">
                  <c:v>28</c:v>
                </c:pt>
                <c:pt idx="15">
                  <c:v>28</c:v>
                </c:pt>
                <c:pt idx="16">
                  <c:v>817</c:v>
                </c:pt>
                <c:pt idx="17">
                  <c:v>9</c:v>
                </c:pt>
                <c:pt idx="18">
                  <c:v>16</c:v>
                </c:pt>
                <c:pt idx="19">
                  <c:v>331</c:v>
                </c:pt>
                <c:pt idx="20">
                  <c:v>14</c:v>
                </c:pt>
                <c:pt idx="21">
                  <c:v>24</c:v>
                </c:pt>
                <c:pt idx="22">
                  <c:v>119</c:v>
                </c:pt>
                <c:pt idx="23">
                  <c:v>206</c:v>
                </c:pt>
                <c:pt idx="24">
                  <c:v>28</c:v>
                </c:pt>
                <c:pt idx="25">
                  <c:v>24</c:v>
                </c:pt>
                <c:pt idx="26">
                  <c:v>94</c:v>
                </c:pt>
                <c:pt idx="27">
                  <c:v>157</c:v>
                </c:pt>
                <c:pt idx="28">
                  <c:v>75</c:v>
                </c:pt>
                <c:pt idx="29">
                  <c:v>85</c:v>
                </c:pt>
                <c:pt idx="30">
                  <c:v>397</c:v>
                </c:pt>
                <c:pt idx="31">
                  <c:v>518</c:v>
                </c:pt>
                <c:pt idx="32">
                  <c:v>647</c:v>
                </c:pt>
                <c:pt idx="33">
                  <c:v>122</c:v>
                </c:pt>
                <c:pt idx="34">
                  <c:v>11</c:v>
                </c:pt>
                <c:pt idx="35">
                  <c:v>17</c:v>
                </c:pt>
                <c:pt idx="36">
                  <c:v>75</c:v>
                </c:pt>
                <c:pt idx="37">
                  <c:v>13</c:v>
                </c:pt>
                <c:pt idx="38">
                  <c:v>86</c:v>
                </c:pt>
                <c:pt idx="39">
                  <c:v>29</c:v>
                </c:pt>
                <c:pt idx="40">
                  <c:v>16</c:v>
                </c:pt>
                <c:pt idx="41">
                  <c:v>38</c:v>
                </c:pt>
                <c:pt idx="42">
                  <c:v>1</c:v>
                </c:pt>
                <c:pt idx="43">
                  <c:v>552</c:v>
                </c:pt>
                <c:pt idx="44">
                  <c:v>12</c:v>
                </c:pt>
                <c:pt idx="45">
                  <c:v>88</c:v>
                </c:pt>
              </c:numCache>
            </c:numRef>
          </c:val>
          <c:extLst>
            <c:ext xmlns:c16="http://schemas.microsoft.com/office/drawing/2014/chart" uri="{C3380CC4-5D6E-409C-BE32-E72D297353CC}">
              <c16:uniqueId val="{0000005C-800B-41B7-8975-E225075E2DA4}"/>
            </c:ext>
          </c:extLst>
        </c:ser>
        <c:dLbls>
          <c:showLegendKey val="0"/>
          <c:showVal val="0"/>
          <c:showCatName val="0"/>
          <c:showSerName val="0"/>
          <c:showPercent val="0"/>
          <c:showBubbleSize val="0"/>
          <c:showLeaderLines val="1"/>
        </c:dLbls>
      </c:pie3DChart>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parfum.xlsx]Country vs price with currency!PivotTable3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'Country vs price with currency'!$B$3</c:f>
              <c:strCache>
                <c:ptCount val="1"/>
                <c:pt idx="0">
                  <c:v>Total</c:v>
                </c:pt>
              </c:strCache>
            </c:strRef>
          </c:tx>
          <c:spPr>
            <a:solidFill>
              <a:schemeClr val="accent1"/>
            </a:solidFill>
            <a:ln>
              <a:noFill/>
            </a:ln>
            <a:effectLst/>
            <a:sp3d/>
          </c:spPr>
          <c:invertIfNegative val="0"/>
          <c:cat>
            <c:strRef>
              <c:f>'Country vs price with currency'!$A$4:$A$5</c:f>
              <c:strCache>
                <c:ptCount val="1"/>
                <c:pt idx="0">
                  <c:v>India</c:v>
                </c:pt>
              </c:strCache>
            </c:strRef>
          </c:cat>
          <c:val>
            <c:numRef>
              <c:f>'Country vs price with currency'!$B$4:$B$5</c:f>
              <c:numCache>
                <c:formatCode>[$₹-449]\ #,##0</c:formatCode>
                <c:ptCount val="1"/>
                <c:pt idx="0">
                  <c:v>124.35</c:v>
                </c:pt>
              </c:numCache>
            </c:numRef>
          </c:val>
          <c:extLst>
            <c:ext xmlns:c16="http://schemas.microsoft.com/office/drawing/2014/chart" uri="{C3380CC4-5D6E-409C-BE32-E72D297353CC}">
              <c16:uniqueId val="{00000000-9DEB-45A4-B6E9-EFA52D53F8C0}"/>
            </c:ext>
          </c:extLst>
        </c:ser>
        <c:dLbls>
          <c:showLegendKey val="0"/>
          <c:showVal val="0"/>
          <c:showCatName val="0"/>
          <c:showSerName val="0"/>
          <c:showPercent val="0"/>
          <c:showBubbleSize val="0"/>
        </c:dLbls>
        <c:gapWidth val="150"/>
        <c:shape val="box"/>
        <c:axId val="465402048"/>
        <c:axId val="465403488"/>
        <c:axId val="0"/>
      </c:bar3DChart>
      <c:catAx>
        <c:axId val="465402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403488"/>
        <c:crosses val="autoZero"/>
        <c:auto val="1"/>
        <c:lblAlgn val="ctr"/>
        <c:lblOffset val="100"/>
        <c:noMultiLvlLbl val="0"/>
      </c:catAx>
      <c:valAx>
        <c:axId val="465403488"/>
        <c:scaling>
          <c:orientation val="minMax"/>
        </c:scaling>
        <c:delete val="0"/>
        <c:axPos val="l"/>
        <c:majorGridlines>
          <c:spPr>
            <a:ln w="9525" cap="flat" cmpd="sng" algn="ctr">
              <a:solidFill>
                <a:schemeClr val="tx1">
                  <a:lumMod val="15000"/>
                  <a:lumOff val="85000"/>
                </a:schemeClr>
              </a:solidFill>
              <a:round/>
            </a:ln>
            <a:effectLst/>
          </c:spPr>
        </c:majorGridlines>
        <c:numFmt formatCode="[$₹-44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40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parfum.xlsx]parfum_quality_revenue!PivotTable4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parfum_quality_revenue!$B$3:$B$4</c:f>
              <c:strCache>
                <c:ptCount val="1"/>
                <c:pt idx="0">
                  <c:v>Normal Quality</c:v>
                </c:pt>
              </c:strCache>
            </c:strRef>
          </c:tx>
          <c:spPr>
            <a:solidFill>
              <a:schemeClr val="accent1"/>
            </a:solidFill>
            <a:ln>
              <a:noFill/>
            </a:ln>
            <a:effectLst/>
            <a:sp3d/>
          </c:spPr>
          <c:invertIfNegative val="0"/>
          <c:cat>
            <c:strRef>
              <c:f>parfum_quality_revenue!$A$5:$A$10</c:f>
              <c:strCache>
                <c:ptCount val="5"/>
                <c:pt idx="0">
                  <c:v>Car Air Freshener</c:v>
                </c:pt>
                <c:pt idx="1">
                  <c:v>Eau de Cologne</c:v>
                </c:pt>
                <c:pt idx="2">
                  <c:v>Eau de Parfum</c:v>
                </c:pt>
                <c:pt idx="3">
                  <c:v>Eau de Toilette</c:v>
                </c:pt>
                <c:pt idx="4">
                  <c:v>Roll On</c:v>
                </c:pt>
              </c:strCache>
            </c:strRef>
          </c:cat>
          <c:val>
            <c:numRef>
              <c:f>parfum_quality_revenue!$B$5:$B$10</c:f>
              <c:numCache>
                <c:formatCode>General</c:formatCode>
                <c:ptCount val="5"/>
                <c:pt idx="0">
                  <c:v>941.8900000000001</c:v>
                </c:pt>
                <c:pt idx="1">
                  <c:v>21145.140000000003</c:v>
                </c:pt>
                <c:pt idx="2">
                  <c:v>60034.289999999994</c:v>
                </c:pt>
                <c:pt idx="3">
                  <c:v>38480.5</c:v>
                </c:pt>
                <c:pt idx="4">
                  <c:v>939.06000000000006</c:v>
                </c:pt>
              </c:numCache>
            </c:numRef>
          </c:val>
          <c:extLst>
            <c:ext xmlns:c16="http://schemas.microsoft.com/office/drawing/2014/chart" uri="{C3380CC4-5D6E-409C-BE32-E72D297353CC}">
              <c16:uniqueId val="{00000008-016B-44E9-B95B-EA42192A0CE6}"/>
            </c:ext>
          </c:extLst>
        </c:ser>
        <c:dLbls>
          <c:showLegendKey val="0"/>
          <c:showVal val="0"/>
          <c:showCatName val="0"/>
          <c:showSerName val="0"/>
          <c:showPercent val="0"/>
          <c:showBubbleSize val="0"/>
        </c:dLbls>
        <c:gapWidth val="150"/>
        <c:shape val="box"/>
        <c:axId val="598930688"/>
        <c:axId val="598929728"/>
        <c:axId val="0"/>
      </c:bar3DChart>
      <c:catAx>
        <c:axId val="598930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929728"/>
        <c:crosses val="autoZero"/>
        <c:auto val="1"/>
        <c:lblAlgn val="ctr"/>
        <c:lblOffset val="100"/>
        <c:noMultiLvlLbl val="0"/>
      </c:catAx>
      <c:valAx>
        <c:axId val="598929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93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parfum.xlsx]Country vs Available stock!PivotTable8</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Country and its stock</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'Country vs Available stock'!$B$3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trendline>
            <c:spPr>
              <a:ln w="25400" cap="rnd">
                <a:solidFill>
                  <a:schemeClr val="accent2">
                    <a:alpha val="50000"/>
                  </a:schemeClr>
                </a:solidFill>
              </a:ln>
              <a:effectLst/>
            </c:spPr>
            <c:trendlineType val="linear"/>
            <c:dispRSqr val="0"/>
            <c:dispEq val="0"/>
          </c:trendline>
          <c:cat>
            <c:strRef>
              <c:f>'Country vs Available stock'!$A$4:$A$7</c:f>
              <c:strCache>
                <c:ptCount val="3"/>
                <c:pt idx="0">
                  <c:v>China</c:v>
                </c:pt>
                <c:pt idx="1">
                  <c:v>Hong Kong</c:v>
                </c:pt>
                <c:pt idx="2">
                  <c:v>United States</c:v>
                </c:pt>
              </c:strCache>
            </c:strRef>
          </c:cat>
          <c:val>
            <c:numRef>
              <c:f>'Country vs Available stock'!$B$4:$B$7</c:f>
              <c:numCache>
                <c:formatCode>General</c:formatCode>
                <c:ptCount val="3"/>
                <c:pt idx="0">
                  <c:v>6</c:v>
                </c:pt>
                <c:pt idx="1">
                  <c:v>10</c:v>
                </c:pt>
                <c:pt idx="2">
                  <c:v>1688</c:v>
                </c:pt>
              </c:numCache>
            </c:numRef>
          </c:val>
          <c:smooth val="0"/>
          <c:extLst>
            <c:ext xmlns:c16="http://schemas.microsoft.com/office/drawing/2014/chart" uri="{C3380CC4-5D6E-409C-BE32-E72D297353CC}">
              <c16:uniqueId val="{00000001-1D3C-47EF-BB73-6D0DE99C494E}"/>
            </c:ext>
          </c:extLst>
        </c:ser>
        <c:dLbls>
          <c:dLblPos val="t"/>
          <c:showLegendKey val="0"/>
          <c:showVal val="1"/>
          <c:showCatName val="0"/>
          <c:showSerName val="0"/>
          <c:showPercent val="0"/>
          <c:showBubbleSize val="0"/>
        </c:dLbls>
        <c:marker val="1"/>
        <c:smooth val="0"/>
        <c:axId val="598946528"/>
        <c:axId val="598941248"/>
      </c:lineChart>
      <c:catAx>
        <c:axId val="598946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8941248"/>
        <c:crosses val="autoZero"/>
        <c:auto val="1"/>
        <c:lblAlgn val="ctr"/>
        <c:lblOffset val="100"/>
        <c:noMultiLvlLbl val="0"/>
      </c:catAx>
      <c:valAx>
        <c:axId val="5989412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8946528"/>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parfum.xlsx]Month vs revenue!PivotTable1</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 vs Revenue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 vs revenue'!$B$3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'Month vs revenue'!$A$4:$A$9</c:f>
              <c:strCache>
                <c:ptCount val="5"/>
                <c:pt idx="0">
                  <c:v>Jan</c:v>
                </c:pt>
                <c:pt idx="1">
                  <c:v>Feb</c:v>
                </c:pt>
                <c:pt idx="2">
                  <c:v>Apr</c:v>
                </c:pt>
                <c:pt idx="3">
                  <c:v>Sep</c:v>
                </c:pt>
                <c:pt idx="4">
                  <c:v>Nov</c:v>
                </c:pt>
              </c:strCache>
            </c:strRef>
          </c:cat>
          <c:val>
            <c:numRef>
              <c:f>'Month vs revenue'!$B$4:$B$9</c:f>
              <c:numCache>
                <c:formatCode>General</c:formatCode>
                <c:ptCount val="5"/>
                <c:pt idx="0">
                  <c:v>4098.5650000000005</c:v>
                </c:pt>
                <c:pt idx="1">
                  <c:v>2146.962857142857</c:v>
                </c:pt>
                <c:pt idx="2">
                  <c:v>2826.532093023256</c:v>
                </c:pt>
                <c:pt idx="3">
                  <c:v>1169.55</c:v>
                </c:pt>
                <c:pt idx="4">
                  <c:v>2907.0466666666666</c:v>
                </c:pt>
              </c:numCache>
            </c:numRef>
          </c:val>
          <c:extLst>
            <c:ext xmlns:c16="http://schemas.microsoft.com/office/drawing/2014/chart" uri="{C3380CC4-5D6E-409C-BE32-E72D297353CC}">
              <c16:uniqueId val="{00000000-F3C1-406F-B219-E49D271EF17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98959968"/>
        <c:axId val="598922528"/>
      </c:areaChart>
      <c:catAx>
        <c:axId val="598959968"/>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98922528"/>
        <c:crosses val="autoZero"/>
        <c:auto val="1"/>
        <c:lblAlgn val="ctr"/>
        <c:lblOffset val="100"/>
        <c:noMultiLvlLbl val="0"/>
      </c:catAx>
      <c:valAx>
        <c:axId val="598922528"/>
        <c:scaling>
          <c:orientation val="minMax"/>
        </c:scaling>
        <c:delete val="1"/>
        <c:axPos val="l"/>
        <c:numFmt formatCode="General" sourceLinked="1"/>
        <c:majorTickMark val="out"/>
        <c:minorTickMark val="none"/>
        <c:tickLblPos val="nextTo"/>
        <c:crossAx val="5989599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138640278660821"/>
          <c:y val="4.0404040404040407E-2"/>
          <c:w val="0.86210582372855571"/>
          <c:h val="0.67531444933019735"/>
        </c:manualLayout>
      </c:layout>
      <c:lineChart>
        <c:grouping val="standard"/>
        <c:varyColors val="0"/>
        <c:ser>
          <c:idx val="0"/>
          <c:order val="0"/>
          <c:tx>
            <c:strRef>
              <c:f>'Forecasting the sale'!$B$1</c:f>
              <c:strCache>
                <c:ptCount val="1"/>
                <c:pt idx="0">
                  <c:v>Values</c:v>
                </c:pt>
              </c:strCache>
            </c:strRef>
          </c:tx>
          <c:spPr>
            <a:ln w="28575" cap="rnd">
              <a:solidFill>
                <a:schemeClr val="accent1"/>
              </a:solidFill>
              <a:round/>
            </a:ln>
            <a:effectLst/>
          </c:spPr>
          <c:marker>
            <c:symbol val="none"/>
          </c:marker>
          <c:val>
            <c:numRef>
              <c:f>'Forecasting the sale'!$B$2:$B$244</c:f>
              <c:numCache>
                <c:formatCode>[$-409]mmmm\ d\,\ yyyy;@</c:formatCode>
                <c:ptCount val="243"/>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pt idx="16">
                  <c:v>45308</c:v>
                </c:pt>
                <c:pt idx="17">
                  <c:v>45309</c:v>
                </c:pt>
                <c:pt idx="18">
                  <c:v>45310</c:v>
                </c:pt>
                <c:pt idx="19">
                  <c:v>45311</c:v>
                </c:pt>
                <c:pt idx="20">
                  <c:v>45312</c:v>
                </c:pt>
                <c:pt idx="21">
                  <c:v>45313</c:v>
                </c:pt>
                <c:pt idx="22">
                  <c:v>45314</c:v>
                </c:pt>
                <c:pt idx="23">
                  <c:v>45315</c:v>
                </c:pt>
                <c:pt idx="24">
                  <c:v>45316</c:v>
                </c:pt>
                <c:pt idx="25">
                  <c:v>45317</c:v>
                </c:pt>
                <c:pt idx="26">
                  <c:v>45318</c:v>
                </c:pt>
                <c:pt idx="27">
                  <c:v>45319</c:v>
                </c:pt>
                <c:pt idx="28">
                  <c:v>45320</c:v>
                </c:pt>
                <c:pt idx="29">
                  <c:v>45321</c:v>
                </c:pt>
                <c:pt idx="30">
                  <c:v>45322</c:v>
                </c:pt>
                <c:pt idx="31">
                  <c:v>45323</c:v>
                </c:pt>
                <c:pt idx="32">
                  <c:v>45324</c:v>
                </c:pt>
                <c:pt idx="33">
                  <c:v>45325</c:v>
                </c:pt>
                <c:pt idx="34">
                  <c:v>45326</c:v>
                </c:pt>
                <c:pt idx="35">
                  <c:v>45327</c:v>
                </c:pt>
                <c:pt idx="36">
                  <c:v>45328</c:v>
                </c:pt>
                <c:pt idx="37">
                  <c:v>45329</c:v>
                </c:pt>
                <c:pt idx="38">
                  <c:v>45330</c:v>
                </c:pt>
                <c:pt idx="39">
                  <c:v>45331</c:v>
                </c:pt>
                <c:pt idx="40">
                  <c:v>45332</c:v>
                </c:pt>
                <c:pt idx="41">
                  <c:v>45333</c:v>
                </c:pt>
                <c:pt idx="42">
                  <c:v>45334</c:v>
                </c:pt>
                <c:pt idx="43">
                  <c:v>45335</c:v>
                </c:pt>
                <c:pt idx="44">
                  <c:v>45336</c:v>
                </c:pt>
                <c:pt idx="45">
                  <c:v>45337</c:v>
                </c:pt>
                <c:pt idx="46">
                  <c:v>45338</c:v>
                </c:pt>
                <c:pt idx="47">
                  <c:v>45339</c:v>
                </c:pt>
                <c:pt idx="48">
                  <c:v>45340</c:v>
                </c:pt>
                <c:pt idx="49">
                  <c:v>45341</c:v>
                </c:pt>
                <c:pt idx="50">
                  <c:v>45342</c:v>
                </c:pt>
                <c:pt idx="51">
                  <c:v>45343</c:v>
                </c:pt>
                <c:pt idx="52">
                  <c:v>45344</c:v>
                </c:pt>
                <c:pt idx="53">
                  <c:v>45345</c:v>
                </c:pt>
                <c:pt idx="54">
                  <c:v>45346</c:v>
                </c:pt>
                <c:pt idx="55">
                  <c:v>45347</c:v>
                </c:pt>
                <c:pt idx="56">
                  <c:v>45348</c:v>
                </c:pt>
                <c:pt idx="57">
                  <c:v>45349</c:v>
                </c:pt>
                <c:pt idx="58">
                  <c:v>45350</c:v>
                </c:pt>
                <c:pt idx="59">
                  <c:v>45351</c:v>
                </c:pt>
                <c:pt idx="60">
                  <c:v>45352</c:v>
                </c:pt>
                <c:pt idx="61">
                  <c:v>45353</c:v>
                </c:pt>
                <c:pt idx="62">
                  <c:v>45354</c:v>
                </c:pt>
                <c:pt idx="63">
                  <c:v>45355</c:v>
                </c:pt>
                <c:pt idx="64">
                  <c:v>45356</c:v>
                </c:pt>
                <c:pt idx="65">
                  <c:v>45357</c:v>
                </c:pt>
                <c:pt idx="66">
                  <c:v>45358</c:v>
                </c:pt>
                <c:pt idx="67">
                  <c:v>45359</c:v>
                </c:pt>
                <c:pt idx="68">
                  <c:v>45360</c:v>
                </c:pt>
                <c:pt idx="69">
                  <c:v>45361</c:v>
                </c:pt>
                <c:pt idx="70">
                  <c:v>45362</c:v>
                </c:pt>
                <c:pt idx="71">
                  <c:v>45363</c:v>
                </c:pt>
                <c:pt idx="72">
                  <c:v>45364</c:v>
                </c:pt>
                <c:pt idx="73">
                  <c:v>45365</c:v>
                </c:pt>
                <c:pt idx="74">
                  <c:v>45366</c:v>
                </c:pt>
                <c:pt idx="75">
                  <c:v>45367</c:v>
                </c:pt>
                <c:pt idx="76">
                  <c:v>45368</c:v>
                </c:pt>
                <c:pt idx="77">
                  <c:v>45369</c:v>
                </c:pt>
                <c:pt idx="78">
                  <c:v>45370</c:v>
                </c:pt>
                <c:pt idx="79">
                  <c:v>45371</c:v>
                </c:pt>
                <c:pt idx="80">
                  <c:v>45372</c:v>
                </c:pt>
                <c:pt idx="81">
                  <c:v>45373</c:v>
                </c:pt>
                <c:pt idx="82">
                  <c:v>45374</c:v>
                </c:pt>
                <c:pt idx="83">
                  <c:v>45375</c:v>
                </c:pt>
                <c:pt idx="84">
                  <c:v>45376</c:v>
                </c:pt>
                <c:pt idx="85">
                  <c:v>45377</c:v>
                </c:pt>
                <c:pt idx="86">
                  <c:v>45378</c:v>
                </c:pt>
                <c:pt idx="87">
                  <c:v>45379</c:v>
                </c:pt>
                <c:pt idx="88">
                  <c:v>45380</c:v>
                </c:pt>
                <c:pt idx="89">
                  <c:v>45381</c:v>
                </c:pt>
                <c:pt idx="90">
                  <c:v>45382</c:v>
                </c:pt>
                <c:pt idx="91">
                  <c:v>45383</c:v>
                </c:pt>
                <c:pt idx="92">
                  <c:v>45384</c:v>
                </c:pt>
                <c:pt idx="93">
                  <c:v>45385</c:v>
                </c:pt>
                <c:pt idx="94">
                  <c:v>45386</c:v>
                </c:pt>
                <c:pt idx="95">
                  <c:v>45387</c:v>
                </c:pt>
                <c:pt idx="96">
                  <c:v>45388</c:v>
                </c:pt>
                <c:pt idx="97">
                  <c:v>45389</c:v>
                </c:pt>
                <c:pt idx="98">
                  <c:v>45390</c:v>
                </c:pt>
                <c:pt idx="99">
                  <c:v>45391</c:v>
                </c:pt>
                <c:pt idx="100">
                  <c:v>45392</c:v>
                </c:pt>
                <c:pt idx="101">
                  <c:v>45393</c:v>
                </c:pt>
                <c:pt idx="102">
                  <c:v>45394</c:v>
                </c:pt>
                <c:pt idx="103">
                  <c:v>45395</c:v>
                </c:pt>
                <c:pt idx="104">
                  <c:v>45396</c:v>
                </c:pt>
                <c:pt idx="105">
                  <c:v>45397</c:v>
                </c:pt>
                <c:pt idx="106">
                  <c:v>45398</c:v>
                </c:pt>
                <c:pt idx="107">
                  <c:v>45399</c:v>
                </c:pt>
                <c:pt idx="108">
                  <c:v>45400</c:v>
                </c:pt>
                <c:pt idx="109">
                  <c:v>45401</c:v>
                </c:pt>
                <c:pt idx="110">
                  <c:v>45402</c:v>
                </c:pt>
                <c:pt idx="111">
                  <c:v>45403</c:v>
                </c:pt>
                <c:pt idx="112">
                  <c:v>45404</c:v>
                </c:pt>
                <c:pt idx="113">
                  <c:v>45405</c:v>
                </c:pt>
                <c:pt idx="114">
                  <c:v>45406</c:v>
                </c:pt>
                <c:pt idx="115">
                  <c:v>45407</c:v>
                </c:pt>
                <c:pt idx="116">
                  <c:v>45408</c:v>
                </c:pt>
                <c:pt idx="117">
                  <c:v>45409</c:v>
                </c:pt>
                <c:pt idx="118">
                  <c:v>45410</c:v>
                </c:pt>
                <c:pt idx="119">
                  <c:v>45411</c:v>
                </c:pt>
                <c:pt idx="120">
                  <c:v>45412</c:v>
                </c:pt>
                <c:pt idx="121">
                  <c:v>45413</c:v>
                </c:pt>
                <c:pt idx="122">
                  <c:v>45414</c:v>
                </c:pt>
                <c:pt idx="123">
                  <c:v>45415</c:v>
                </c:pt>
                <c:pt idx="124">
                  <c:v>45416</c:v>
                </c:pt>
                <c:pt idx="125">
                  <c:v>45417</c:v>
                </c:pt>
                <c:pt idx="126">
                  <c:v>45418</c:v>
                </c:pt>
                <c:pt idx="127">
                  <c:v>45419</c:v>
                </c:pt>
                <c:pt idx="128">
                  <c:v>45420</c:v>
                </c:pt>
                <c:pt idx="129">
                  <c:v>45421</c:v>
                </c:pt>
                <c:pt idx="130">
                  <c:v>45422</c:v>
                </c:pt>
                <c:pt idx="131">
                  <c:v>45423</c:v>
                </c:pt>
                <c:pt idx="132">
                  <c:v>45424</c:v>
                </c:pt>
                <c:pt idx="133">
                  <c:v>45425</c:v>
                </c:pt>
                <c:pt idx="134">
                  <c:v>45426</c:v>
                </c:pt>
                <c:pt idx="135">
                  <c:v>45427</c:v>
                </c:pt>
                <c:pt idx="136">
                  <c:v>45428</c:v>
                </c:pt>
                <c:pt idx="137">
                  <c:v>45429</c:v>
                </c:pt>
                <c:pt idx="138">
                  <c:v>45430</c:v>
                </c:pt>
                <c:pt idx="139">
                  <c:v>45431</c:v>
                </c:pt>
                <c:pt idx="140">
                  <c:v>45432</c:v>
                </c:pt>
                <c:pt idx="141">
                  <c:v>45433</c:v>
                </c:pt>
                <c:pt idx="142">
                  <c:v>45434</c:v>
                </c:pt>
                <c:pt idx="143">
                  <c:v>45435</c:v>
                </c:pt>
                <c:pt idx="144">
                  <c:v>45436</c:v>
                </c:pt>
                <c:pt idx="145">
                  <c:v>45437</c:v>
                </c:pt>
                <c:pt idx="146">
                  <c:v>45438</c:v>
                </c:pt>
                <c:pt idx="147">
                  <c:v>45439</c:v>
                </c:pt>
                <c:pt idx="148">
                  <c:v>45440</c:v>
                </c:pt>
                <c:pt idx="149">
                  <c:v>45441</c:v>
                </c:pt>
                <c:pt idx="150">
                  <c:v>45442</c:v>
                </c:pt>
                <c:pt idx="151">
                  <c:v>45443</c:v>
                </c:pt>
                <c:pt idx="152">
                  <c:v>45444</c:v>
                </c:pt>
                <c:pt idx="153">
                  <c:v>45445</c:v>
                </c:pt>
                <c:pt idx="154">
                  <c:v>45446</c:v>
                </c:pt>
                <c:pt idx="155">
                  <c:v>45447</c:v>
                </c:pt>
                <c:pt idx="156">
                  <c:v>45448</c:v>
                </c:pt>
                <c:pt idx="157">
                  <c:v>45449</c:v>
                </c:pt>
                <c:pt idx="158">
                  <c:v>45450</c:v>
                </c:pt>
                <c:pt idx="159">
                  <c:v>45451</c:v>
                </c:pt>
                <c:pt idx="160">
                  <c:v>45452</c:v>
                </c:pt>
                <c:pt idx="161">
                  <c:v>45453</c:v>
                </c:pt>
                <c:pt idx="162">
                  <c:v>45454</c:v>
                </c:pt>
                <c:pt idx="163">
                  <c:v>45455</c:v>
                </c:pt>
                <c:pt idx="164">
                  <c:v>45456</c:v>
                </c:pt>
                <c:pt idx="165">
                  <c:v>45457</c:v>
                </c:pt>
                <c:pt idx="166">
                  <c:v>45458</c:v>
                </c:pt>
                <c:pt idx="167">
                  <c:v>45459</c:v>
                </c:pt>
                <c:pt idx="168">
                  <c:v>45460</c:v>
                </c:pt>
                <c:pt idx="169">
                  <c:v>45461</c:v>
                </c:pt>
                <c:pt idx="170">
                  <c:v>45462</c:v>
                </c:pt>
                <c:pt idx="171">
                  <c:v>45463</c:v>
                </c:pt>
                <c:pt idx="172">
                  <c:v>45464</c:v>
                </c:pt>
                <c:pt idx="173">
                  <c:v>45465</c:v>
                </c:pt>
                <c:pt idx="174">
                  <c:v>45466</c:v>
                </c:pt>
                <c:pt idx="175">
                  <c:v>45467</c:v>
                </c:pt>
                <c:pt idx="176">
                  <c:v>45468</c:v>
                </c:pt>
                <c:pt idx="177">
                  <c:v>45469</c:v>
                </c:pt>
                <c:pt idx="178">
                  <c:v>45470</c:v>
                </c:pt>
                <c:pt idx="179">
                  <c:v>45471</c:v>
                </c:pt>
                <c:pt idx="180">
                  <c:v>45472</c:v>
                </c:pt>
                <c:pt idx="181">
                  <c:v>45473</c:v>
                </c:pt>
              </c:numCache>
            </c:numRef>
          </c:val>
          <c:smooth val="0"/>
          <c:extLst>
            <c:ext xmlns:c16="http://schemas.microsoft.com/office/drawing/2014/chart" uri="{C3380CC4-5D6E-409C-BE32-E72D297353CC}">
              <c16:uniqueId val="{00000000-3807-43ED-B25A-4611DCF9E8EF}"/>
            </c:ext>
          </c:extLst>
        </c:ser>
        <c:ser>
          <c:idx val="1"/>
          <c:order val="1"/>
          <c:tx>
            <c:strRef>
              <c:f>'Forecasting the sale'!$C$1</c:f>
              <c:strCache>
                <c:ptCount val="1"/>
                <c:pt idx="0">
                  <c:v>Forecast</c:v>
                </c:pt>
              </c:strCache>
            </c:strRef>
          </c:tx>
          <c:spPr>
            <a:ln w="25400" cap="rnd">
              <a:solidFill>
                <a:schemeClr val="accent2"/>
              </a:solidFill>
              <a:round/>
            </a:ln>
            <a:effectLst/>
          </c:spPr>
          <c:marker>
            <c:symbol val="none"/>
          </c:marker>
          <c:cat>
            <c:numRef>
              <c:f>'Forecasting the sale'!$A$2:$A$244</c:f>
              <c:numCache>
                <c:formatCode>[$-409]mmmm\ d\,\ yyyy;@</c:formatCode>
                <c:ptCount val="243"/>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pt idx="16">
                  <c:v>45308</c:v>
                </c:pt>
                <c:pt idx="17">
                  <c:v>45309</c:v>
                </c:pt>
                <c:pt idx="18">
                  <c:v>45310</c:v>
                </c:pt>
                <c:pt idx="19">
                  <c:v>45311</c:v>
                </c:pt>
                <c:pt idx="20">
                  <c:v>45312</c:v>
                </c:pt>
                <c:pt idx="21">
                  <c:v>45313</c:v>
                </c:pt>
                <c:pt idx="22">
                  <c:v>45314</c:v>
                </c:pt>
                <c:pt idx="23">
                  <c:v>45315</c:v>
                </c:pt>
                <c:pt idx="24">
                  <c:v>45316</c:v>
                </c:pt>
                <c:pt idx="25">
                  <c:v>45317</c:v>
                </c:pt>
                <c:pt idx="26">
                  <c:v>45318</c:v>
                </c:pt>
                <c:pt idx="27">
                  <c:v>45319</c:v>
                </c:pt>
                <c:pt idx="28">
                  <c:v>45320</c:v>
                </c:pt>
                <c:pt idx="29">
                  <c:v>45321</c:v>
                </c:pt>
                <c:pt idx="30">
                  <c:v>45322</c:v>
                </c:pt>
                <c:pt idx="31">
                  <c:v>45323</c:v>
                </c:pt>
                <c:pt idx="32">
                  <c:v>45324</c:v>
                </c:pt>
                <c:pt idx="33">
                  <c:v>45325</c:v>
                </c:pt>
                <c:pt idx="34">
                  <c:v>45326</c:v>
                </c:pt>
                <c:pt idx="35">
                  <c:v>45327</c:v>
                </c:pt>
                <c:pt idx="36">
                  <c:v>45328</c:v>
                </c:pt>
                <c:pt idx="37">
                  <c:v>45329</c:v>
                </c:pt>
                <c:pt idx="38">
                  <c:v>45330</c:v>
                </c:pt>
                <c:pt idx="39">
                  <c:v>45331</c:v>
                </c:pt>
                <c:pt idx="40">
                  <c:v>45332</c:v>
                </c:pt>
                <c:pt idx="41">
                  <c:v>45333</c:v>
                </c:pt>
                <c:pt idx="42">
                  <c:v>45334</c:v>
                </c:pt>
                <c:pt idx="43">
                  <c:v>45335</c:v>
                </c:pt>
                <c:pt idx="44">
                  <c:v>45336</c:v>
                </c:pt>
                <c:pt idx="45">
                  <c:v>45337</c:v>
                </c:pt>
                <c:pt idx="46">
                  <c:v>45338</c:v>
                </c:pt>
                <c:pt idx="47">
                  <c:v>45339</c:v>
                </c:pt>
                <c:pt idx="48">
                  <c:v>45340</c:v>
                </c:pt>
                <c:pt idx="49">
                  <c:v>45341</c:v>
                </c:pt>
                <c:pt idx="50">
                  <c:v>45342</c:v>
                </c:pt>
                <c:pt idx="51">
                  <c:v>45343</c:v>
                </c:pt>
                <c:pt idx="52">
                  <c:v>45344</c:v>
                </c:pt>
                <c:pt idx="53">
                  <c:v>45345</c:v>
                </c:pt>
                <c:pt idx="54">
                  <c:v>45346</c:v>
                </c:pt>
                <c:pt idx="55">
                  <c:v>45347</c:v>
                </c:pt>
                <c:pt idx="56">
                  <c:v>45348</c:v>
                </c:pt>
                <c:pt idx="57">
                  <c:v>45349</c:v>
                </c:pt>
                <c:pt idx="58">
                  <c:v>45350</c:v>
                </c:pt>
                <c:pt idx="59">
                  <c:v>45351</c:v>
                </c:pt>
                <c:pt idx="60">
                  <c:v>45352</c:v>
                </c:pt>
                <c:pt idx="61">
                  <c:v>45353</c:v>
                </c:pt>
                <c:pt idx="62">
                  <c:v>45354</c:v>
                </c:pt>
                <c:pt idx="63">
                  <c:v>45355</c:v>
                </c:pt>
                <c:pt idx="64">
                  <c:v>45356</c:v>
                </c:pt>
                <c:pt idx="65">
                  <c:v>45357</c:v>
                </c:pt>
                <c:pt idx="66">
                  <c:v>45358</c:v>
                </c:pt>
                <c:pt idx="67">
                  <c:v>45359</c:v>
                </c:pt>
                <c:pt idx="68">
                  <c:v>45360</c:v>
                </c:pt>
                <c:pt idx="69">
                  <c:v>45361</c:v>
                </c:pt>
                <c:pt idx="70">
                  <c:v>45362</c:v>
                </c:pt>
                <c:pt idx="71">
                  <c:v>45363</c:v>
                </c:pt>
                <c:pt idx="72">
                  <c:v>45364</c:v>
                </c:pt>
                <c:pt idx="73">
                  <c:v>45365</c:v>
                </c:pt>
                <c:pt idx="74">
                  <c:v>45366</c:v>
                </c:pt>
                <c:pt idx="75">
                  <c:v>45367</c:v>
                </c:pt>
                <c:pt idx="76">
                  <c:v>45368</c:v>
                </c:pt>
                <c:pt idx="77">
                  <c:v>45369</c:v>
                </c:pt>
                <c:pt idx="78">
                  <c:v>45370</c:v>
                </c:pt>
                <c:pt idx="79">
                  <c:v>45371</c:v>
                </c:pt>
                <c:pt idx="80">
                  <c:v>45372</c:v>
                </c:pt>
                <c:pt idx="81">
                  <c:v>45373</c:v>
                </c:pt>
                <c:pt idx="82">
                  <c:v>45374</c:v>
                </c:pt>
                <c:pt idx="83">
                  <c:v>45375</c:v>
                </c:pt>
                <c:pt idx="84">
                  <c:v>45376</c:v>
                </c:pt>
                <c:pt idx="85">
                  <c:v>45377</c:v>
                </c:pt>
                <c:pt idx="86">
                  <c:v>45378</c:v>
                </c:pt>
                <c:pt idx="87">
                  <c:v>45379</c:v>
                </c:pt>
                <c:pt idx="88">
                  <c:v>45380</c:v>
                </c:pt>
                <c:pt idx="89">
                  <c:v>45381</c:v>
                </c:pt>
                <c:pt idx="90">
                  <c:v>45382</c:v>
                </c:pt>
                <c:pt idx="91">
                  <c:v>45383</c:v>
                </c:pt>
                <c:pt idx="92">
                  <c:v>45384</c:v>
                </c:pt>
                <c:pt idx="93">
                  <c:v>45385</c:v>
                </c:pt>
                <c:pt idx="94">
                  <c:v>45386</c:v>
                </c:pt>
                <c:pt idx="95">
                  <c:v>45387</c:v>
                </c:pt>
                <c:pt idx="96">
                  <c:v>45388</c:v>
                </c:pt>
                <c:pt idx="97">
                  <c:v>45389</c:v>
                </c:pt>
                <c:pt idx="98">
                  <c:v>45390</c:v>
                </c:pt>
                <c:pt idx="99">
                  <c:v>45391</c:v>
                </c:pt>
                <c:pt idx="100">
                  <c:v>45392</c:v>
                </c:pt>
                <c:pt idx="101">
                  <c:v>45393</c:v>
                </c:pt>
                <c:pt idx="102">
                  <c:v>45394</c:v>
                </c:pt>
                <c:pt idx="103">
                  <c:v>45395</c:v>
                </c:pt>
                <c:pt idx="104">
                  <c:v>45396</c:v>
                </c:pt>
                <c:pt idx="105">
                  <c:v>45397</c:v>
                </c:pt>
                <c:pt idx="106">
                  <c:v>45398</c:v>
                </c:pt>
                <c:pt idx="107">
                  <c:v>45399</c:v>
                </c:pt>
                <c:pt idx="108">
                  <c:v>45400</c:v>
                </c:pt>
                <c:pt idx="109">
                  <c:v>45401</c:v>
                </c:pt>
                <c:pt idx="110">
                  <c:v>45402</c:v>
                </c:pt>
                <c:pt idx="111">
                  <c:v>45403</c:v>
                </c:pt>
                <c:pt idx="112">
                  <c:v>45404</c:v>
                </c:pt>
                <c:pt idx="113">
                  <c:v>45405</c:v>
                </c:pt>
                <c:pt idx="114">
                  <c:v>45406</c:v>
                </c:pt>
                <c:pt idx="115">
                  <c:v>45407</c:v>
                </c:pt>
                <c:pt idx="116">
                  <c:v>45408</c:v>
                </c:pt>
                <c:pt idx="117">
                  <c:v>45409</c:v>
                </c:pt>
                <c:pt idx="118">
                  <c:v>45410</c:v>
                </c:pt>
                <c:pt idx="119">
                  <c:v>45411</c:v>
                </c:pt>
                <c:pt idx="120">
                  <c:v>45412</c:v>
                </c:pt>
                <c:pt idx="121">
                  <c:v>45413</c:v>
                </c:pt>
                <c:pt idx="122">
                  <c:v>45414</c:v>
                </c:pt>
                <c:pt idx="123">
                  <c:v>45415</c:v>
                </c:pt>
                <c:pt idx="124">
                  <c:v>45416</c:v>
                </c:pt>
                <c:pt idx="125">
                  <c:v>45417</c:v>
                </c:pt>
                <c:pt idx="126">
                  <c:v>45418</c:v>
                </c:pt>
                <c:pt idx="127">
                  <c:v>45419</c:v>
                </c:pt>
                <c:pt idx="128">
                  <c:v>45420</c:v>
                </c:pt>
                <c:pt idx="129">
                  <c:v>45421</c:v>
                </c:pt>
                <c:pt idx="130">
                  <c:v>45422</c:v>
                </c:pt>
                <c:pt idx="131">
                  <c:v>45423</c:v>
                </c:pt>
                <c:pt idx="132">
                  <c:v>45424</c:v>
                </c:pt>
                <c:pt idx="133">
                  <c:v>45425</c:v>
                </c:pt>
                <c:pt idx="134">
                  <c:v>45426</c:v>
                </c:pt>
                <c:pt idx="135">
                  <c:v>45427</c:v>
                </c:pt>
                <c:pt idx="136">
                  <c:v>45428</c:v>
                </c:pt>
                <c:pt idx="137">
                  <c:v>45429</c:v>
                </c:pt>
                <c:pt idx="138">
                  <c:v>45430</c:v>
                </c:pt>
                <c:pt idx="139">
                  <c:v>45431</c:v>
                </c:pt>
                <c:pt idx="140">
                  <c:v>45432</c:v>
                </c:pt>
                <c:pt idx="141">
                  <c:v>45433</c:v>
                </c:pt>
                <c:pt idx="142">
                  <c:v>45434</c:v>
                </c:pt>
                <c:pt idx="143">
                  <c:v>45435</c:v>
                </c:pt>
                <c:pt idx="144">
                  <c:v>45436</c:v>
                </c:pt>
                <c:pt idx="145">
                  <c:v>45437</c:v>
                </c:pt>
                <c:pt idx="146">
                  <c:v>45438</c:v>
                </c:pt>
                <c:pt idx="147">
                  <c:v>45439</c:v>
                </c:pt>
                <c:pt idx="148">
                  <c:v>45440</c:v>
                </c:pt>
                <c:pt idx="149">
                  <c:v>45441</c:v>
                </c:pt>
                <c:pt idx="150">
                  <c:v>45442</c:v>
                </c:pt>
                <c:pt idx="151">
                  <c:v>45443</c:v>
                </c:pt>
                <c:pt idx="152">
                  <c:v>45444</c:v>
                </c:pt>
                <c:pt idx="153">
                  <c:v>45445</c:v>
                </c:pt>
                <c:pt idx="154">
                  <c:v>45446</c:v>
                </c:pt>
                <c:pt idx="155">
                  <c:v>45447</c:v>
                </c:pt>
                <c:pt idx="156">
                  <c:v>45448</c:v>
                </c:pt>
                <c:pt idx="157">
                  <c:v>45449</c:v>
                </c:pt>
                <c:pt idx="158">
                  <c:v>45450</c:v>
                </c:pt>
                <c:pt idx="159">
                  <c:v>45451</c:v>
                </c:pt>
                <c:pt idx="160">
                  <c:v>45452</c:v>
                </c:pt>
                <c:pt idx="161">
                  <c:v>45453</c:v>
                </c:pt>
                <c:pt idx="162">
                  <c:v>45454</c:v>
                </c:pt>
                <c:pt idx="163">
                  <c:v>45455</c:v>
                </c:pt>
                <c:pt idx="164">
                  <c:v>45456</c:v>
                </c:pt>
                <c:pt idx="165">
                  <c:v>45457</c:v>
                </c:pt>
                <c:pt idx="166">
                  <c:v>45458</c:v>
                </c:pt>
                <c:pt idx="167">
                  <c:v>45459</c:v>
                </c:pt>
                <c:pt idx="168">
                  <c:v>45460</c:v>
                </c:pt>
                <c:pt idx="169">
                  <c:v>45461</c:v>
                </c:pt>
                <c:pt idx="170">
                  <c:v>45462</c:v>
                </c:pt>
                <c:pt idx="171">
                  <c:v>45463</c:v>
                </c:pt>
                <c:pt idx="172">
                  <c:v>45464</c:v>
                </c:pt>
                <c:pt idx="173">
                  <c:v>45465</c:v>
                </c:pt>
                <c:pt idx="174">
                  <c:v>45466</c:v>
                </c:pt>
                <c:pt idx="175">
                  <c:v>45467</c:v>
                </c:pt>
                <c:pt idx="176">
                  <c:v>45468</c:v>
                </c:pt>
                <c:pt idx="177">
                  <c:v>45469</c:v>
                </c:pt>
                <c:pt idx="178">
                  <c:v>45470</c:v>
                </c:pt>
                <c:pt idx="179">
                  <c:v>45471</c:v>
                </c:pt>
                <c:pt idx="180">
                  <c:v>45472</c:v>
                </c:pt>
                <c:pt idx="181">
                  <c:v>45473</c:v>
                </c:pt>
                <c:pt idx="182">
                  <c:v>45474</c:v>
                </c:pt>
                <c:pt idx="183">
                  <c:v>45475</c:v>
                </c:pt>
                <c:pt idx="184">
                  <c:v>45476</c:v>
                </c:pt>
                <c:pt idx="185">
                  <c:v>45477</c:v>
                </c:pt>
                <c:pt idx="186">
                  <c:v>45478</c:v>
                </c:pt>
                <c:pt idx="187">
                  <c:v>45479</c:v>
                </c:pt>
                <c:pt idx="188">
                  <c:v>45480</c:v>
                </c:pt>
                <c:pt idx="189">
                  <c:v>45481</c:v>
                </c:pt>
                <c:pt idx="190">
                  <c:v>45482</c:v>
                </c:pt>
                <c:pt idx="191">
                  <c:v>45483</c:v>
                </c:pt>
                <c:pt idx="192">
                  <c:v>45484</c:v>
                </c:pt>
                <c:pt idx="193">
                  <c:v>45485</c:v>
                </c:pt>
                <c:pt idx="194">
                  <c:v>45486</c:v>
                </c:pt>
                <c:pt idx="195">
                  <c:v>45487</c:v>
                </c:pt>
                <c:pt idx="196">
                  <c:v>45488</c:v>
                </c:pt>
                <c:pt idx="197">
                  <c:v>45489</c:v>
                </c:pt>
                <c:pt idx="198">
                  <c:v>45490</c:v>
                </c:pt>
                <c:pt idx="199">
                  <c:v>45491</c:v>
                </c:pt>
                <c:pt idx="200">
                  <c:v>45492</c:v>
                </c:pt>
                <c:pt idx="201">
                  <c:v>45493</c:v>
                </c:pt>
                <c:pt idx="202">
                  <c:v>45494</c:v>
                </c:pt>
                <c:pt idx="203">
                  <c:v>45495</c:v>
                </c:pt>
                <c:pt idx="204">
                  <c:v>45496</c:v>
                </c:pt>
                <c:pt idx="205">
                  <c:v>45497</c:v>
                </c:pt>
                <c:pt idx="206">
                  <c:v>45498</c:v>
                </c:pt>
                <c:pt idx="207">
                  <c:v>45499</c:v>
                </c:pt>
                <c:pt idx="208">
                  <c:v>45500</c:v>
                </c:pt>
                <c:pt idx="209">
                  <c:v>45501</c:v>
                </c:pt>
                <c:pt idx="210">
                  <c:v>45502</c:v>
                </c:pt>
                <c:pt idx="211">
                  <c:v>45503</c:v>
                </c:pt>
                <c:pt idx="212">
                  <c:v>45504</c:v>
                </c:pt>
                <c:pt idx="213">
                  <c:v>45505</c:v>
                </c:pt>
                <c:pt idx="214">
                  <c:v>45506</c:v>
                </c:pt>
                <c:pt idx="215">
                  <c:v>45507</c:v>
                </c:pt>
                <c:pt idx="216">
                  <c:v>45508</c:v>
                </c:pt>
                <c:pt idx="217">
                  <c:v>45509</c:v>
                </c:pt>
                <c:pt idx="218">
                  <c:v>45510</c:v>
                </c:pt>
                <c:pt idx="219">
                  <c:v>45511</c:v>
                </c:pt>
                <c:pt idx="220">
                  <c:v>45512</c:v>
                </c:pt>
                <c:pt idx="221">
                  <c:v>45513</c:v>
                </c:pt>
                <c:pt idx="222">
                  <c:v>45514</c:v>
                </c:pt>
                <c:pt idx="223">
                  <c:v>45515</c:v>
                </c:pt>
                <c:pt idx="224">
                  <c:v>45516</c:v>
                </c:pt>
                <c:pt idx="225">
                  <c:v>45517</c:v>
                </c:pt>
                <c:pt idx="226">
                  <c:v>45518</c:v>
                </c:pt>
                <c:pt idx="227">
                  <c:v>45519</c:v>
                </c:pt>
                <c:pt idx="228">
                  <c:v>45520</c:v>
                </c:pt>
                <c:pt idx="229">
                  <c:v>45521</c:v>
                </c:pt>
                <c:pt idx="230">
                  <c:v>45522</c:v>
                </c:pt>
                <c:pt idx="231">
                  <c:v>45523</c:v>
                </c:pt>
                <c:pt idx="232">
                  <c:v>45524</c:v>
                </c:pt>
                <c:pt idx="233">
                  <c:v>45525</c:v>
                </c:pt>
                <c:pt idx="234">
                  <c:v>45526</c:v>
                </c:pt>
                <c:pt idx="235">
                  <c:v>45527</c:v>
                </c:pt>
                <c:pt idx="236">
                  <c:v>45528</c:v>
                </c:pt>
                <c:pt idx="237">
                  <c:v>45529</c:v>
                </c:pt>
                <c:pt idx="238">
                  <c:v>45530</c:v>
                </c:pt>
                <c:pt idx="239">
                  <c:v>45531</c:v>
                </c:pt>
                <c:pt idx="240">
                  <c:v>45532</c:v>
                </c:pt>
                <c:pt idx="241">
                  <c:v>45533</c:v>
                </c:pt>
                <c:pt idx="242">
                  <c:v>45534</c:v>
                </c:pt>
              </c:numCache>
            </c:numRef>
          </c:cat>
          <c:val>
            <c:numRef>
              <c:f>'Forecasting the sale'!$C$2:$C$244</c:f>
              <c:numCache>
                <c:formatCode>General</c:formatCode>
                <c:ptCount val="243"/>
                <c:pt idx="181" formatCode="[$-409]mmmm\ d\,\ yyyy;@">
                  <c:v>45473</c:v>
                </c:pt>
                <c:pt idx="182" formatCode="[$-409]mmmm\ d\,\ yyyy;@">
                  <c:v>45474</c:v>
                </c:pt>
                <c:pt idx="183" formatCode="[$-409]mmmm\ d\,\ yyyy;@">
                  <c:v>45475</c:v>
                </c:pt>
                <c:pt idx="184" formatCode="[$-409]mmmm\ d\,\ yyyy;@">
                  <c:v>45476</c:v>
                </c:pt>
                <c:pt idx="185" formatCode="[$-409]mmmm\ d\,\ yyyy;@">
                  <c:v>45477</c:v>
                </c:pt>
                <c:pt idx="186" formatCode="[$-409]mmmm\ d\,\ yyyy;@">
                  <c:v>45478</c:v>
                </c:pt>
                <c:pt idx="187" formatCode="[$-409]mmmm\ d\,\ yyyy;@">
                  <c:v>45479</c:v>
                </c:pt>
                <c:pt idx="188" formatCode="[$-409]mmmm\ d\,\ yyyy;@">
                  <c:v>45480</c:v>
                </c:pt>
                <c:pt idx="189" formatCode="[$-409]mmmm\ d\,\ yyyy;@">
                  <c:v>45481</c:v>
                </c:pt>
                <c:pt idx="190" formatCode="[$-409]mmmm\ d\,\ yyyy;@">
                  <c:v>45482</c:v>
                </c:pt>
                <c:pt idx="191" formatCode="[$-409]mmmm\ d\,\ yyyy;@">
                  <c:v>45483</c:v>
                </c:pt>
                <c:pt idx="192" formatCode="[$-409]mmmm\ d\,\ yyyy;@">
                  <c:v>45484</c:v>
                </c:pt>
                <c:pt idx="193" formatCode="[$-409]mmmm\ d\,\ yyyy;@">
                  <c:v>45485</c:v>
                </c:pt>
                <c:pt idx="194" formatCode="[$-409]mmmm\ d\,\ yyyy;@">
                  <c:v>45486</c:v>
                </c:pt>
                <c:pt idx="195" formatCode="[$-409]mmmm\ d\,\ yyyy;@">
                  <c:v>45487</c:v>
                </c:pt>
                <c:pt idx="196" formatCode="[$-409]mmmm\ d\,\ yyyy;@">
                  <c:v>45488</c:v>
                </c:pt>
                <c:pt idx="197" formatCode="[$-409]mmmm\ d\,\ yyyy;@">
                  <c:v>45489</c:v>
                </c:pt>
                <c:pt idx="198" formatCode="[$-409]mmmm\ d\,\ yyyy;@">
                  <c:v>45490</c:v>
                </c:pt>
                <c:pt idx="199" formatCode="[$-409]mmmm\ d\,\ yyyy;@">
                  <c:v>45491</c:v>
                </c:pt>
                <c:pt idx="200" formatCode="[$-409]mmmm\ d\,\ yyyy;@">
                  <c:v>45492</c:v>
                </c:pt>
                <c:pt idx="201" formatCode="[$-409]mmmm\ d\,\ yyyy;@">
                  <c:v>45493</c:v>
                </c:pt>
                <c:pt idx="202" formatCode="[$-409]mmmm\ d\,\ yyyy;@">
                  <c:v>45494</c:v>
                </c:pt>
                <c:pt idx="203" formatCode="[$-409]mmmm\ d\,\ yyyy;@">
                  <c:v>45495</c:v>
                </c:pt>
                <c:pt idx="204" formatCode="[$-409]mmmm\ d\,\ yyyy;@">
                  <c:v>45496</c:v>
                </c:pt>
                <c:pt idx="205" formatCode="[$-409]mmmm\ d\,\ yyyy;@">
                  <c:v>45497</c:v>
                </c:pt>
                <c:pt idx="206" formatCode="[$-409]mmmm\ d\,\ yyyy;@">
                  <c:v>45498</c:v>
                </c:pt>
                <c:pt idx="207" formatCode="[$-409]mmmm\ d\,\ yyyy;@">
                  <c:v>45499</c:v>
                </c:pt>
                <c:pt idx="208" formatCode="[$-409]mmmm\ d\,\ yyyy;@">
                  <c:v>45500</c:v>
                </c:pt>
                <c:pt idx="209" formatCode="[$-409]mmmm\ d\,\ yyyy;@">
                  <c:v>45501</c:v>
                </c:pt>
                <c:pt idx="210" formatCode="[$-409]mmmm\ d\,\ yyyy;@">
                  <c:v>45502</c:v>
                </c:pt>
                <c:pt idx="211" formatCode="[$-409]mmmm\ d\,\ yyyy;@">
                  <c:v>45503</c:v>
                </c:pt>
                <c:pt idx="212" formatCode="[$-409]mmmm\ d\,\ yyyy;@">
                  <c:v>45504</c:v>
                </c:pt>
                <c:pt idx="213" formatCode="[$-409]mmmm\ d\,\ yyyy;@">
                  <c:v>45505</c:v>
                </c:pt>
                <c:pt idx="214" formatCode="[$-409]mmmm\ d\,\ yyyy;@">
                  <c:v>45506</c:v>
                </c:pt>
                <c:pt idx="215" formatCode="[$-409]mmmm\ d\,\ yyyy;@">
                  <c:v>45507</c:v>
                </c:pt>
                <c:pt idx="216" formatCode="[$-409]mmmm\ d\,\ yyyy;@">
                  <c:v>45508</c:v>
                </c:pt>
                <c:pt idx="217" formatCode="[$-409]mmmm\ d\,\ yyyy;@">
                  <c:v>45509</c:v>
                </c:pt>
                <c:pt idx="218" formatCode="[$-409]mmmm\ d\,\ yyyy;@">
                  <c:v>45510</c:v>
                </c:pt>
                <c:pt idx="219" formatCode="[$-409]mmmm\ d\,\ yyyy;@">
                  <c:v>45511</c:v>
                </c:pt>
                <c:pt idx="220" formatCode="[$-409]mmmm\ d\,\ yyyy;@">
                  <c:v>45512</c:v>
                </c:pt>
                <c:pt idx="221" formatCode="[$-409]mmmm\ d\,\ yyyy;@">
                  <c:v>45513</c:v>
                </c:pt>
                <c:pt idx="222" formatCode="[$-409]mmmm\ d\,\ yyyy;@">
                  <c:v>45514</c:v>
                </c:pt>
                <c:pt idx="223" formatCode="[$-409]mmmm\ d\,\ yyyy;@">
                  <c:v>45515</c:v>
                </c:pt>
                <c:pt idx="224" formatCode="[$-409]mmmm\ d\,\ yyyy;@">
                  <c:v>45516</c:v>
                </c:pt>
                <c:pt idx="225" formatCode="[$-409]mmmm\ d\,\ yyyy;@">
                  <c:v>45517</c:v>
                </c:pt>
                <c:pt idx="226" formatCode="[$-409]mmmm\ d\,\ yyyy;@">
                  <c:v>45518</c:v>
                </c:pt>
                <c:pt idx="227" formatCode="[$-409]mmmm\ d\,\ yyyy;@">
                  <c:v>45519</c:v>
                </c:pt>
                <c:pt idx="228" formatCode="[$-409]mmmm\ d\,\ yyyy;@">
                  <c:v>45520</c:v>
                </c:pt>
                <c:pt idx="229" formatCode="[$-409]mmmm\ d\,\ yyyy;@">
                  <c:v>45521</c:v>
                </c:pt>
                <c:pt idx="230" formatCode="[$-409]mmmm\ d\,\ yyyy;@">
                  <c:v>45522</c:v>
                </c:pt>
                <c:pt idx="231" formatCode="[$-409]mmmm\ d\,\ yyyy;@">
                  <c:v>45523</c:v>
                </c:pt>
                <c:pt idx="232" formatCode="[$-409]mmmm\ d\,\ yyyy;@">
                  <c:v>45524</c:v>
                </c:pt>
                <c:pt idx="233" formatCode="[$-409]mmmm\ d\,\ yyyy;@">
                  <c:v>45525</c:v>
                </c:pt>
                <c:pt idx="234" formatCode="[$-409]mmmm\ d\,\ yyyy;@">
                  <c:v>45526</c:v>
                </c:pt>
                <c:pt idx="235" formatCode="[$-409]mmmm\ d\,\ yyyy;@">
                  <c:v>45527</c:v>
                </c:pt>
                <c:pt idx="236" formatCode="[$-409]mmmm\ d\,\ yyyy;@">
                  <c:v>45528</c:v>
                </c:pt>
                <c:pt idx="237" formatCode="[$-409]mmmm\ d\,\ yyyy;@">
                  <c:v>45529</c:v>
                </c:pt>
                <c:pt idx="238" formatCode="[$-409]mmmm\ d\,\ yyyy;@">
                  <c:v>45530</c:v>
                </c:pt>
                <c:pt idx="239" formatCode="[$-409]mmmm\ d\,\ yyyy;@">
                  <c:v>45531</c:v>
                </c:pt>
                <c:pt idx="240" formatCode="[$-409]mmmm\ d\,\ yyyy;@">
                  <c:v>45532</c:v>
                </c:pt>
                <c:pt idx="241" formatCode="[$-409]mmmm\ d\,\ yyyy;@">
                  <c:v>45533</c:v>
                </c:pt>
                <c:pt idx="242" formatCode="[$-409]mmmm\ d\,\ yyyy;@">
                  <c:v>45534</c:v>
                </c:pt>
              </c:numCache>
            </c:numRef>
          </c:val>
          <c:smooth val="0"/>
          <c:extLst>
            <c:ext xmlns:c16="http://schemas.microsoft.com/office/drawing/2014/chart" uri="{C3380CC4-5D6E-409C-BE32-E72D297353CC}">
              <c16:uniqueId val="{00000001-3807-43ED-B25A-4611DCF9E8EF}"/>
            </c:ext>
          </c:extLst>
        </c:ser>
        <c:ser>
          <c:idx val="2"/>
          <c:order val="2"/>
          <c:tx>
            <c:strRef>
              <c:f>'Forecasting the sale'!$D$1</c:f>
              <c:strCache>
                <c:ptCount val="1"/>
                <c:pt idx="0">
                  <c:v>Lower Confidence Bound</c:v>
                </c:pt>
              </c:strCache>
            </c:strRef>
          </c:tx>
          <c:spPr>
            <a:ln w="12700" cap="rnd">
              <a:solidFill>
                <a:srgbClr val="ED7D31"/>
              </a:solidFill>
              <a:prstDash val="solid"/>
              <a:round/>
            </a:ln>
            <a:effectLst/>
          </c:spPr>
          <c:marker>
            <c:symbol val="none"/>
          </c:marker>
          <c:cat>
            <c:numRef>
              <c:f>'Forecasting the sale'!$A$2:$A$244</c:f>
              <c:numCache>
                <c:formatCode>[$-409]mmmm\ d\,\ yyyy;@</c:formatCode>
                <c:ptCount val="243"/>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pt idx="16">
                  <c:v>45308</c:v>
                </c:pt>
                <c:pt idx="17">
                  <c:v>45309</c:v>
                </c:pt>
                <c:pt idx="18">
                  <c:v>45310</c:v>
                </c:pt>
                <c:pt idx="19">
                  <c:v>45311</c:v>
                </c:pt>
                <c:pt idx="20">
                  <c:v>45312</c:v>
                </c:pt>
                <c:pt idx="21">
                  <c:v>45313</c:v>
                </c:pt>
                <c:pt idx="22">
                  <c:v>45314</c:v>
                </c:pt>
                <c:pt idx="23">
                  <c:v>45315</c:v>
                </c:pt>
                <c:pt idx="24">
                  <c:v>45316</c:v>
                </c:pt>
                <c:pt idx="25">
                  <c:v>45317</c:v>
                </c:pt>
                <c:pt idx="26">
                  <c:v>45318</c:v>
                </c:pt>
                <c:pt idx="27">
                  <c:v>45319</c:v>
                </c:pt>
                <c:pt idx="28">
                  <c:v>45320</c:v>
                </c:pt>
                <c:pt idx="29">
                  <c:v>45321</c:v>
                </c:pt>
                <c:pt idx="30">
                  <c:v>45322</c:v>
                </c:pt>
                <c:pt idx="31">
                  <c:v>45323</c:v>
                </c:pt>
                <c:pt idx="32">
                  <c:v>45324</c:v>
                </c:pt>
                <c:pt idx="33">
                  <c:v>45325</c:v>
                </c:pt>
                <c:pt idx="34">
                  <c:v>45326</c:v>
                </c:pt>
                <c:pt idx="35">
                  <c:v>45327</c:v>
                </c:pt>
                <c:pt idx="36">
                  <c:v>45328</c:v>
                </c:pt>
                <c:pt idx="37">
                  <c:v>45329</c:v>
                </c:pt>
                <c:pt idx="38">
                  <c:v>45330</c:v>
                </c:pt>
                <c:pt idx="39">
                  <c:v>45331</c:v>
                </c:pt>
                <c:pt idx="40">
                  <c:v>45332</c:v>
                </c:pt>
                <c:pt idx="41">
                  <c:v>45333</c:v>
                </c:pt>
                <c:pt idx="42">
                  <c:v>45334</c:v>
                </c:pt>
                <c:pt idx="43">
                  <c:v>45335</c:v>
                </c:pt>
                <c:pt idx="44">
                  <c:v>45336</c:v>
                </c:pt>
                <c:pt idx="45">
                  <c:v>45337</c:v>
                </c:pt>
                <c:pt idx="46">
                  <c:v>45338</c:v>
                </c:pt>
                <c:pt idx="47">
                  <c:v>45339</c:v>
                </c:pt>
                <c:pt idx="48">
                  <c:v>45340</c:v>
                </c:pt>
                <c:pt idx="49">
                  <c:v>45341</c:v>
                </c:pt>
                <c:pt idx="50">
                  <c:v>45342</c:v>
                </c:pt>
                <c:pt idx="51">
                  <c:v>45343</c:v>
                </c:pt>
                <c:pt idx="52">
                  <c:v>45344</c:v>
                </c:pt>
                <c:pt idx="53">
                  <c:v>45345</c:v>
                </c:pt>
                <c:pt idx="54">
                  <c:v>45346</c:v>
                </c:pt>
                <c:pt idx="55">
                  <c:v>45347</c:v>
                </c:pt>
                <c:pt idx="56">
                  <c:v>45348</c:v>
                </c:pt>
                <c:pt idx="57">
                  <c:v>45349</c:v>
                </c:pt>
                <c:pt idx="58">
                  <c:v>45350</c:v>
                </c:pt>
                <c:pt idx="59">
                  <c:v>45351</c:v>
                </c:pt>
                <c:pt idx="60">
                  <c:v>45352</c:v>
                </c:pt>
                <c:pt idx="61">
                  <c:v>45353</c:v>
                </c:pt>
                <c:pt idx="62">
                  <c:v>45354</c:v>
                </c:pt>
                <c:pt idx="63">
                  <c:v>45355</c:v>
                </c:pt>
                <c:pt idx="64">
                  <c:v>45356</c:v>
                </c:pt>
                <c:pt idx="65">
                  <c:v>45357</c:v>
                </c:pt>
                <c:pt idx="66">
                  <c:v>45358</c:v>
                </c:pt>
                <c:pt idx="67">
                  <c:v>45359</c:v>
                </c:pt>
                <c:pt idx="68">
                  <c:v>45360</c:v>
                </c:pt>
                <c:pt idx="69">
                  <c:v>45361</c:v>
                </c:pt>
                <c:pt idx="70">
                  <c:v>45362</c:v>
                </c:pt>
                <c:pt idx="71">
                  <c:v>45363</c:v>
                </c:pt>
                <c:pt idx="72">
                  <c:v>45364</c:v>
                </c:pt>
                <c:pt idx="73">
                  <c:v>45365</c:v>
                </c:pt>
                <c:pt idx="74">
                  <c:v>45366</c:v>
                </c:pt>
                <c:pt idx="75">
                  <c:v>45367</c:v>
                </c:pt>
                <c:pt idx="76">
                  <c:v>45368</c:v>
                </c:pt>
                <c:pt idx="77">
                  <c:v>45369</c:v>
                </c:pt>
                <c:pt idx="78">
                  <c:v>45370</c:v>
                </c:pt>
                <c:pt idx="79">
                  <c:v>45371</c:v>
                </c:pt>
                <c:pt idx="80">
                  <c:v>45372</c:v>
                </c:pt>
                <c:pt idx="81">
                  <c:v>45373</c:v>
                </c:pt>
                <c:pt idx="82">
                  <c:v>45374</c:v>
                </c:pt>
                <c:pt idx="83">
                  <c:v>45375</c:v>
                </c:pt>
                <c:pt idx="84">
                  <c:v>45376</c:v>
                </c:pt>
                <c:pt idx="85">
                  <c:v>45377</c:v>
                </c:pt>
                <c:pt idx="86">
                  <c:v>45378</c:v>
                </c:pt>
                <c:pt idx="87">
                  <c:v>45379</c:v>
                </c:pt>
                <c:pt idx="88">
                  <c:v>45380</c:v>
                </c:pt>
                <c:pt idx="89">
                  <c:v>45381</c:v>
                </c:pt>
                <c:pt idx="90">
                  <c:v>45382</c:v>
                </c:pt>
                <c:pt idx="91">
                  <c:v>45383</c:v>
                </c:pt>
                <c:pt idx="92">
                  <c:v>45384</c:v>
                </c:pt>
                <c:pt idx="93">
                  <c:v>45385</c:v>
                </c:pt>
                <c:pt idx="94">
                  <c:v>45386</c:v>
                </c:pt>
                <c:pt idx="95">
                  <c:v>45387</c:v>
                </c:pt>
                <c:pt idx="96">
                  <c:v>45388</c:v>
                </c:pt>
                <c:pt idx="97">
                  <c:v>45389</c:v>
                </c:pt>
                <c:pt idx="98">
                  <c:v>45390</c:v>
                </c:pt>
                <c:pt idx="99">
                  <c:v>45391</c:v>
                </c:pt>
                <c:pt idx="100">
                  <c:v>45392</c:v>
                </c:pt>
                <c:pt idx="101">
                  <c:v>45393</c:v>
                </c:pt>
                <c:pt idx="102">
                  <c:v>45394</c:v>
                </c:pt>
                <c:pt idx="103">
                  <c:v>45395</c:v>
                </c:pt>
                <c:pt idx="104">
                  <c:v>45396</c:v>
                </c:pt>
                <c:pt idx="105">
                  <c:v>45397</c:v>
                </c:pt>
                <c:pt idx="106">
                  <c:v>45398</c:v>
                </c:pt>
                <c:pt idx="107">
                  <c:v>45399</c:v>
                </c:pt>
                <c:pt idx="108">
                  <c:v>45400</c:v>
                </c:pt>
                <c:pt idx="109">
                  <c:v>45401</c:v>
                </c:pt>
                <c:pt idx="110">
                  <c:v>45402</c:v>
                </c:pt>
                <c:pt idx="111">
                  <c:v>45403</c:v>
                </c:pt>
                <c:pt idx="112">
                  <c:v>45404</c:v>
                </c:pt>
                <c:pt idx="113">
                  <c:v>45405</c:v>
                </c:pt>
                <c:pt idx="114">
                  <c:v>45406</c:v>
                </c:pt>
                <c:pt idx="115">
                  <c:v>45407</c:v>
                </c:pt>
                <c:pt idx="116">
                  <c:v>45408</c:v>
                </c:pt>
                <c:pt idx="117">
                  <c:v>45409</c:v>
                </c:pt>
                <c:pt idx="118">
                  <c:v>45410</c:v>
                </c:pt>
                <c:pt idx="119">
                  <c:v>45411</c:v>
                </c:pt>
                <c:pt idx="120">
                  <c:v>45412</c:v>
                </c:pt>
                <c:pt idx="121">
                  <c:v>45413</c:v>
                </c:pt>
                <c:pt idx="122">
                  <c:v>45414</c:v>
                </c:pt>
                <c:pt idx="123">
                  <c:v>45415</c:v>
                </c:pt>
                <c:pt idx="124">
                  <c:v>45416</c:v>
                </c:pt>
                <c:pt idx="125">
                  <c:v>45417</c:v>
                </c:pt>
                <c:pt idx="126">
                  <c:v>45418</c:v>
                </c:pt>
                <c:pt idx="127">
                  <c:v>45419</c:v>
                </c:pt>
                <c:pt idx="128">
                  <c:v>45420</c:v>
                </c:pt>
                <c:pt idx="129">
                  <c:v>45421</c:v>
                </c:pt>
                <c:pt idx="130">
                  <c:v>45422</c:v>
                </c:pt>
                <c:pt idx="131">
                  <c:v>45423</c:v>
                </c:pt>
                <c:pt idx="132">
                  <c:v>45424</c:v>
                </c:pt>
                <c:pt idx="133">
                  <c:v>45425</c:v>
                </c:pt>
                <c:pt idx="134">
                  <c:v>45426</c:v>
                </c:pt>
                <c:pt idx="135">
                  <c:v>45427</c:v>
                </c:pt>
                <c:pt idx="136">
                  <c:v>45428</c:v>
                </c:pt>
                <c:pt idx="137">
                  <c:v>45429</c:v>
                </c:pt>
                <c:pt idx="138">
                  <c:v>45430</c:v>
                </c:pt>
                <c:pt idx="139">
                  <c:v>45431</c:v>
                </c:pt>
                <c:pt idx="140">
                  <c:v>45432</c:v>
                </c:pt>
                <c:pt idx="141">
                  <c:v>45433</c:v>
                </c:pt>
                <c:pt idx="142">
                  <c:v>45434</c:v>
                </c:pt>
                <c:pt idx="143">
                  <c:v>45435</c:v>
                </c:pt>
                <c:pt idx="144">
                  <c:v>45436</c:v>
                </c:pt>
                <c:pt idx="145">
                  <c:v>45437</c:v>
                </c:pt>
                <c:pt idx="146">
                  <c:v>45438</c:v>
                </c:pt>
                <c:pt idx="147">
                  <c:v>45439</c:v>
                </c:pt>
                <c:pt idx="148">
                  <c:v>45440</c:v>
                </c:pt>
                <c:pt idx="149">
                  <c:v>45441</c:v>
                </c:pt>
                <c:pt idx="150">
                  <c:v>45442</c:v>
                </c:pt>
                <c:pt idx="151">
                  <c:v>45443</c:v>
                </c:pt>
                <c:pt idx="152">
                  <c:v>45444</c:v>
                </c:pt>
                <c:pt idx="153">
                  <c:v>45445</c:v>
                </c:pt>
                <c:pt idx="154">
                  <c:v>45446</c:v>
                </c:pt>
                <c:pt idx="155">
                  <c:v>45447</c:v>
                </c:pt>
                <c:pt idx="156">
                  <c:v>45448</c:v>
                </c:pt>
                <c:pt idx="157">
                  <c:v>45449</c:v>
                </c:pt>
                <c:pt idx="158">
                  <c:v>45450</c:v>
                </c:pt>
                <c:pt idx="159">
                  <c:v>45451</c:v>
                </c:pt>
                <c:pt idx="160">
                  <c:v>45452</c:v>
                </c:pt>
                <c:pt idx="161">
                  <c:v>45453</c:v>
                </c:pt>
                <c:pt idx="162">
                  <c:v>45454</c:v>
                </c:pt>
                <c:pt idx="163">
                  <c:v>45455</c:v>
                </c:pt>
                <c:pt idx="164">
                  <c:v>45456</c:v>
                </c:pt>
                <c:pt idx="165">
                  <c:v>45457</c:v>
                </c:pt>
                <c:pt idx="166">
                  <c:v>45458</c:v>
                </c:pt>
                <c:pt idx="167">
                  <c:v>45459</c:v>
                </c:pt>
                <c:pt idx="168">
                  <c:v>45460</c:v>
                </c:pt>
                <c:pt idx="169">
                  <c:v>45461</c:v>
                </c:pt>
                <c:pt idx="170">
                  <c:v>45462</c:v>
                </c:pt>
                <c:pt idx="171">
                  <c:v>45463</c:v>
                </c:pt>
                <c:pt idx="172">
                  <c:v>45464</c:v>
                </c:pt>
                <c:pt idx="173">
                  <c:v>45465</c:v>
                </c:pt>
                <c:pt idx="174">
                  <c:v>45466</c:v>
                </c:pt>
                <c:pt idx="175">
                  <c:v>45467</c:v>
                </c:pt>
                <c:pt idx="176">
                  <c:v>45468</c:v>
                </c:pt>
                <c:pt idx="177">
                  <c:v>45469</c:v>
                </c:pt>
                <c:pt idx="178">
                  <c:v>45470</c:v>
                </c:pt>
                <c:pt idx="179">
                  <c:v>45471</c:v>
                </c:pt>
                <c:pt idx="180">
                  <c:v>45472</c:v>
                </c:pt>
                <c:pt idx="181">
                  <c:v>45473</c:v>
                </c:pt>
                <c:pt idx="182">
                  <c:v>45474</c:v>
                </c:pt>
                <c:pt idx="183">
                  <c:v>45475</c:v>
                </c:pt>
                <c:pt idx="184">
                  <c:v>45476</c:v>
                </c:pt>
                <c:pt idx="185">
                  <c:v>45477</c:v>
                </c:pt>
                <c:pt idx="186">
                  <c:v>45478</c:v>
                </c:pt>
                <c:pt idx="187">
                  <c:v>45479</c:v>
                </c:pt>
                <c:pt idx="188">
                  <c:v>45480</c:v>
                </c:pt>
                <c:pt idx="189">
                  <c:v>45481</c:v>
                </c:pt>
                <c:pt idx="190">
                  <c:v>45482</c:v>
                </c:pt>
                <c:pt idx="191">
                  <c:v>45483</c:v>
                </c:pt>
                <c:pt idx="192">
                  <c:v>45484</c:v>
                </c:pt>
                <c:pt idx="193">
                  <c:v>45485</c:v>
                </c:pt>
                <c:pt idx="194">
                  <c:v>45486</c:v>
                </c:pt>
                <c:pt idx="195">
                  <c:v>45487</c:v>
                </c:pt>
                <c:pt idx="196">
                  <c:v>45488</c:v>
                </c:pt>
                <c:pt idx="197">
                  <c:v>45489</c:v>
                </c:pt>
                <c:pt idx="198">
                  <c:v>45490</c:v>
                </c:pt>
                <c:pt idx="199">
                  <c:v>45491</c:v>
                </c:pt>
                <c:pt idx="200">
                  <c:v>45492</c:v>
                </c:pt>
                <c:pt idx="201">
                  <c:v>45493</c:v>
                </c:pt>
                <c:pt idx="202">
                  <c:v>45494</c:v>
                </c:pt>
                <c:pt idx="203">
                  <c:v>45495</c:v>
                </c:pt>
                <c:pt idx="204">
                  <c:v>45496</c:v>
                </c:pt>
                <c:pt idx="205">
                  <c:v>45497</c:v>
                </c:pt>
                <c:pt idx="206">
                  <c:v>45498</c:v>
                </c:pt>
                <c:pt idx="207">
                  <c:v>45499</c:v>
                </c:pt>
                <c:pt idx="208">
                  <c:v>45500</c:v>
                </c:pt>
                <c:pt idx="209">
                  <c:v>45501</c:v>
                </c:pt>
                <c:pt idx="210">
                  <c:v>45502</c:v>
                </c:pt>
                <c:pt idx="211">
                  <c:v>45503</c:v>
                </c:pt>
                <c:pt idx="212">
                  <c:v>45504</c:v>
                </c:pt>
                <c:pt idx="213">
                  <c:v>45505</c:v>
                </c:pt>
                <c:pt idx="214">
                  <c:v>45506</c:v>
                </c:pt>
                <c:pt idx="215">
                  <c:v>45507</c:v>
                </c:pt>
                <c:pt idx="216">
                  <c:v>45508</c:v>
                </c:pt>
                <c:pt idx="217">
                  <c:v>45509</c:v>
                </c:pt>
                <c:pt idx="218">
                  <c:v>45510</c:v>
                </c:pt>
                <c:pt idx="219">
                  <c:v>45511</c:v>
                </c:pt>
                <c:pt idx="220">
                  <c:v>45512</c:v>
                </c:pt>
                <c:pt idx="221">
                  <c:v>45513</c:v>
                </c:pt>
                <c:pt idx="222">
                  <c:v>45514</c:v>
                </c:pt>
                <c:pt idx="223">
                  <c:v>45515</c:v>
                </c:pt>
                <c:pt idx="224">
                  <c:v>45516</c:v>
                </c:pt>
                <c:pt idx="225">
                  <c:v>45517</c:v>
                </c:pt>
                <c:pt idx="226">
                  <c:v>45518</c:v>
                </c:pt>
                <c:pt idx="227">
                  <c:v>45519</c:v>
                </c:pt>
                <c:pt idx="228">
                  <c:v>45520</c:v>
                </c:pt>
                <c:pt idx="229">
                  <c:v>45521</c:v>
                </c:pt>
                <c:pt idx="230">
                  <c:v>45522</c:v>
                </c:pt>
                <c:pt idx="231">
                  <c:v>45523</c:v>
                </c:pt>
                <c:pt idx="232">
                  <c:v>45524</c:v>
                </c:pt>
                <c:pt idx="233">
                  <c:v>45525</c:v>
                </c:pt>
                <c:pt idx="234">
                  <c:v>45526</c:v>
                </c:pt>
                <c:pt idx="235">
                  <c:v>45527</c:v>
                </c:pt>
                <c:pt idx="236">
                  <c:v>45528</c:v>
                </c:pt>
                <c:pt idx="237">
                  <c:v>45529</c:v>
                </c:pt>
                <c:pt idx="238">
                  <c:v>45530</c:v>
                </c:pt>
                <c:pt idx="239">
                  <c:v>45531</c:v>
                </c:pt>
                <c:pt idx="240">
                  <c:v>45532</c:v>
                </c:pt>
                <c:pt idx="241">
                  <c:v>45533</c:v>
                </c:pt>
                <c:pt idx="242">
                  <c:v>45534</c:v>
                </c:pt>
              </c:numCache>
            </c:numRef>
          </c:cat>
          <c:val>
            <c:numRef>
              <c:f>'Forecasting the sale'!$D$2:$D$244</c:f>
              <c:numCache>
                <c:formatCode>General</c:formatCode>
                <c:ptCount val="243"/>
                <c:pt idx="181" formatCode="[$-409]mmmm\ d\,\ yyyy;@">
                  <c:v>45473</c:v>
                </c:pt>
                <c:pt idx="182" formatCode="[$-409]mmmm\ d\,\ yyyy;@">
                  <c:v>45474</c:v>
                </c:pt>
                <c:pt idx="183" formatCode="[$-409]mmmm\ d\,\ yyyy;@">
                  <c:v>45475</c:v>
                </c:pt>
                <c:pt idx="184" formatCode="[$-409]mmmm\ d\,\ yyyy;@">
                  <c:v>45476</c:v>
                </c:pt>
                <c:pt idx="185" formatCode="[$-409]mmmm\ d\,\ yyyy;@">
                  <c:v>45477</c:v>
                </c:pt>
                <c:pt idx="186" formatCode="[$-409]mmmm\ d\,\ yyyy;@">
                  <c:v>45478</c:v>
                </c:pt>
                <c:pt idx="187" formatCode="[$-409]mmmm\ d\,\ yyyy;@">
                  <c:v>45479</c:v>
                </c:pt>
                <c:pt idx="188" formatCode="[$-409]mmmm\ d\,\ yyyy;@">
                  <c:v>45480</c:v>
                </c:pt>
                <c:pt idx="189" formatCode="[$-409]mmmm\ d\,\ yyyy;@">
                  <c:v>45481</c:v>
                </c:pt>
                <c:pt idx="190" formatCode="[$-409]mmmm\ d\,\ yyyy;@">
                  <c:v>45482</c:v>
                </c:pt>
                <c:pt idx="191" formatCode="[$-409]mmmm\ d\,\ yyyy;@">
                  <c:v>45483</c:v>
                </c:pt>
                <c:pt idx="192" formatCode="[$-409]mmmm\ d\,\ yyyy;@">
                  <c:v>45484</c:v>
                </c:pt>
                <c:pt idx="193" formatCode="[$-409]mmmm\ d\,\ yyyy;@">
                  <c:v>45485</c:v>
                </c:pt>
                <c:pt idx="194" formatCode="[$-409]mmmm\ d\,\ yyyy;@">
                  <c:v>45486</c:v>
                </c:pt>
                <c:pt idx="195" formatCode="[$-409]mmmm\ d\,\ yyyy;@">
                  <c:v>45487</c:v>
                </c:pt>
                <c:pt idx="196" formatCode="[$-409]mmmm\ d\,\ yyyy;@">
                  <c:v>45488</c:v>
                </c:pt>
                <c:pt idx="197" formatCode="[$-409]mmmm\ d\,\ yyyy;@">
                  <c:v>45489</c:v>
                </c:pt>
                <c:pt idx="198" formatCode="[$-409]mmmm\ d\,\ yyyy;@">
                  <c:v>45490</c:v>
                </c:pt>
                <c:pt idx="199" formatCode="[$-409]mmmm\ d\,\ yyyy;@">
                  <c:v>45491</c:v>
                </c:pt>
                <c:pt idx="200" formatCode="[$-409]mmmm\ d\,\ yyyy;@">
                  <c:v>45492</c:v>
                </c:pt>
                <c:pt idx="201" formatCode="[$-409]mmmm\ d\,\ yyyy;@">
                  <c:v>45493</c:v>
                </c:pt>
                <c:pt idx="202" formatCode="[$-409]mmmm\ d\,\ yyyy;@">
                  <c:v>45494</c:v>
                </c:pt>
                <c:pt idx="203" formatCode="[$-409]mmmm\ d\,\ yyyy;@">
                  <c:v>45495</c:v>
                </c:pt>
                <c:pt idx="204" formatCode="[$-409]mmmm\ d\,\ yyyy;@">
                  <c:v>45496</c:v>
                </c:pt>
                <c:pt idx="205" formatCode="[$-409]mmmm\ d\,\ yyyy;@">
                  <c:v>45497</c:v>
                </c:pt>
                <c:pt idx="206" formatCode="[$-409]mmmm\ d\,\ yyyy;@">
                  <c:v>45498</c:v>
                </c:pt>
                <c:pt idx="207" formatCode="[$-409]mmmm\ d\,\ yyyy;@">
                  <c:v>45499</c:v>
                </c:pt>
                <c:pt idx="208" formatCode="[$-409]mmmm\ d\,\ yyyy;@">
                  <c:v>45500</c:v>
                </c:pt>
                <c:pt idx="209" formatCode="[$-409]mmmm\ d\,\ yyyy;@">
                  <c:v>45501</c:v>
                </c:pt>
                <c:pt idx="210" formatCode="[$-409]mmmm\ d\,\ yyyy;@">
                  <c:v>45502</c:v>
                </c:pt>
                <c:pt idx="211" formatCode="[$-409]mmmm\ d\,\ yyyy;@">
                  <c:v>45503</c:v>
                </c:pt>
                <c:pt idx="212" formatCode="[$-409]mmmm\ d\,\ yyyy;@">
                  <c:v>45504</c:v>
                </c:pt>
                <c:pt idx="213" formatCode="[$-409]mmmm\ d\,\ yyyy;@">
                  <c:v>45505</c:v>
                </c:pt>
                <c:pt idx="214" formatCode="[$-409]mmmm\ d\,\ yyyy;@">
                  <c:v>45506</c:v>
                </c:pt>
                <c:pt idx="215" formatCode="[$-409]mmmm\ d\,\ yyyy;@">
                  <c:v>45507</c:v>
                </c:pt>
                <c:pt idx="216" formatCode="[$-409]mmmm\ d\,\ yyyy;@">
                  <c:v>45508</c:v>
                </c:pt>
                <c:pt idx="217" formatCode="[$-409]mmmm\ d\,\ yyyy;@">
                  <c:v>45509</c:v>
                </c:pt>
                <c:pt idx="218" formatCode="[$-409]mmmm\ d\,\ yyyy;@">
                  <c:v>45510</c:v>
                </c:pt>
                <c:pt idx="219" formatCode="[$-409]mmmm\ d\,\ yyyy;@">
                  <c:v>45511</c:v>
                </c:pt>
                <c:pt idx="220" formatCode="[$-409]mmmm\ d\,\ yyyy;@">
                  <c:v>45512</c:v>
                </c:pt>
                <c:pt idx="221" formatCode="[$-409]mmmm\ d\,\ yyyy;@">
                  <c:v>45513</c:v>
                </c:pt>
                <c:pt idx="222" formatCode="[$-409]mmmm\ d\,\ yyyy;@">
                  <c:v>45514</c:v>
                </c:pt>
                <c:pt idx="223" formatCode="[$-409]mmmm\ d\,\ yyyy;@">
                  <c:v>45515</c:v>
                </c:pt>
                <c:pt idx="224" formatCode="[$-409]mmmm\ d\,\ yyyy;@">
                  <c:v>45516</c:v>
                </c:pt>
                <c:pt idx="225" formatCode="[$-409]mmmm\ d\,\ yyyy;@">
                  <c:v>45517</c:v>
                </c:pt>
                <c:pt idx="226" formatCode="[$-409]mmmm\ d\,\ yyyy;@">
                  <c:v>45518</c:v>
                </c:pt>
                <c:pt idx="227" formatCode="[$-409]mmmm\ d\,\ yyyy;@">
                  <c:v>45519</c:v>
                </c:pt>
                <c:pt idx="228" formatCode="[$-409]mmmm\ d\,\ yyyy;@">
                  <c:v>45520</c:v>
                </c:pt>
                <c:pt idx="229" formatCode="[$-409]mmmm\ d\,\ yyyy;@">
                  <c:v>45521</c:v>
                </c:pt>
                <c:pt idx="230" formatCode="[$-409]mmmm\ d\,\ yyyy;@">
                  <c:v>45522</c:v>
                </c:pt>
                <c:pt idx="231" formatCode="[$-409]mmmm\ d\,\ yyyy;@">
                  <c:v>45523</c:v>
                </c:pt>
                <c:pt idx="232" formatCode="[$-409]mmmm\ d\,\ yyyy;@">
                  <c:v>45524</c:v>
                </c:pt>
                <c:pt idx="233" formatCode="[$-409]mmmm\ d\,\ yyyy;@">
                  <c:v>45525</c:v>
                </c:pt>
                <c:pt idx="234" formatCode="[$-409]mmmm\ d\,\ yyyy;@">
                  <c:v>45526</c:v>
                </c:pt>
                <c:pt idx="235" formatCode="[$-409]mmmm\ d\,\ yyyy;@">
                  <c:v>45527</c:v>
                </c:pt>
                <c:pt idx="236" formatCode="[$-409]mmmm\ d\,\ yyyy;@">
                  <c:v>45528</c:v>
                </c:pt>
                <c:pt idx="237" formatCode="[$-409]mmmm\ d\,\ yyyy;@">
                  <c:v>45529</c:v>
                </c:pt>
                <c:pt idx="238" formatCode="[$-409]mmmm\ d\,\ yyyy;@">
                  <c:v>45530</c:v>
                </c:pt>
                <c:pt idx="239" formatCode="[$-409]mmmm\ d\,\ yyyy;@">
                  <c:v>45531</c:v>
                </c:pt>
                <c:pt idx="240" formatCode="[$-409]mmmm\ d\,\ yyyy;@">
                  <c:v>45532</c:v>
                </c:pt>
                <c:pt idx="241" formatCode="[$-409]mmmm\ d\,\ yyyy;@">
                  <c:v>45533</c:v>
                </c:pt>
                <c:pt idx="242" formatCode="[$-409]mmmm\ d\,\ yyyy;@">
                  <c:v>45534</c:v>
                </c:pt>
              </c:numCache>
            </c:numRef>
          </c:val>
          <c:smooth val="0"/>
          <c:extLst>
            <c:ext xmlns:c16="http://schemas.microsoft.com/office/drawing/2014/chart" uri="{C3380CC4-5D6E-409C-BE32-E72D297353CC}">
              <c16:uniqueId val="{00000002-3807-43ED-B25A-4611DCF9E8EF}"/>
            </c:ext>
          </c:extLst>
        </c:ser>
        <c:ser>
          <c:idx val="3"/>
          <c:order val="3"/>
          <c:tx>
            <c:strRef>
              <c:f>'Forecasting the sale'!$E$1</c:f>
              <c:strCache>
                <c:ptCount val="1"/>
                <c:pt idx="0">
                  <c:v>Upper Confidence Bound</c:v>
                </c:pt>
              </c:strCache>
            </c:strRef>
          </c:tx>
          <c:spPr>
            <a:ln w="12700" cap="rnd">
              <a:solidFill>
                <a:srgbClr val="ED7D31"/>
              </a:solidFill>
              <a:prstDash val="solid"/>
              <a:round/>
            </a:ln>
            <a:effectLst/>
          </c:spPr>
          <c:marker>
            <c:symbol val="none"/>
          </c:marker>
          <c:cat>
            <c:numRef>
              <c:f>'Forecasting the sale'!$A$2:$A$244</c:f>
              <c:numCache>
                <c:formatCode>[$-409]mmmm\ d\,\ yyyy;@</c:formatCode>
                <c:ptCount val="243"/>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pt idx="16">
                  <c:v>45308</c:v>
                </c:pt>
                <c:pt idx="17">
                  <c:v>45309</c:v>
                </c:pt>
                <c:pt idx="18">
                  <c:v>45310</c:v>
                </c:pt>
                <c:pt idx="19">
                  <c:v>45311</c:v>
                </c:pt>
                <c:pt idx="20">
                  <c:v>45312</c:v>
                </c:pt>
                <c:pt idx="21">
                  <c:v>45313</c:v>
                </c:pt>
                <c:pt idx="22">
                  <c:v>45314</c:v>
                </c:pt>
                <c:pt idx="23">
                  <c:v>45315</c:v>
                </c:pt>
                <c:pt idx="24">
                  <c:v>45316</c:v>
                </c:pt>
                <c:pt idx="25">
                  <c:v>45317</c:v>
                </c:pt>
                <c:pt idx="26">
                  <c:v>45318</c:v>
                </c:pt>
                <c:pt idx="27">
                  <c:v>45319</c:v>
                </c:pt>
                <c:pt idx="28">
                  <c:v>45320</c:v>
                </c:pt>
                <c:pt idx="29">
                  <c:v>45321</c:v>
                </c:pt>
                <c:pt idx="30">
                  <c:v>45322</c:v>
                </c:pt>
                <c:pt idx="31">
                  <c:v>45323</c:v>
                </c:pt>
                <c:pt idx="32">
                  <c:v>45324</c:v>
                </c:pt>
                <c:pt idx="33">
                  <c:v>45325</c:v>
                </c:pt>
                <c:pt idx="34">
                  <c:v>45326</c:v>
                </c:pt>
                <c:pt idx="35">
                  <c:v>45327</c:v>
                </c:pt>
                <c:pt idx="36">
                  <c:v>45328</c:v>
                </c:pt>
                <c:pt idx="37">
                  <c:v>45329</c:v>
                </c:pt>
                <c:pt idx="38">
                  <c:v>45330</c:v>
                </c:pt>
                <c:pt idx="39">
                  <c:v>45331</c:v>
                </c:pt>
                <c:pt idx="40">
                  <c:v>45332</c:v>
                </c:pt>
                <c:pt idx="41">
                  <c:v>45333</c:v>
                </c:pt>
                <c:pt idx="42">
                  <c:v>45334</c:v>
                </c:pt>
                <c:pt idx="43">
                  <c:v>45335</c:v>
                </c:pt>
                <c:pt idx="44">
                  <c:v>45336</c:v>
                </c:pt>
                <c:pt idx="45">
                  <c:v>45337</c:v>
                </c:pt>
                <c:pt idx="46">
                  <c:v>45338</c:v>
                </c:pt>
                <c:pt idx="47">
                  <c:v>45339</c:v>
                </c:pt>
                <c:pt idx="48">
                  <c:v>45340</c:v>
                </c:pt>
                <c:pt idx="49">
                  <c:v>45341</c:v>
                </c:pt>
                <c:pt idx="50">
                  <c:v>45342</c:v>
                </c:pt>
                <c:pt idx="51">
                  <c:v>45343</c:v>
                </c:pt>
                <c:pt idx="52">
                  <c:v>45344</c:v>
                </c:pt>
                <c:pt idx="53">
                  <c:v>45345</c:v>
                </c:pt>
                <c:pt idx="54">
                  <c:v>45346</c:v>
                </c:pt>
                <c:pt idx="55">
                  <c:v>45347</c:v>
                </c:pt>
                <c:pt idx="56">
                  <c:v>45348</c:v>
                </c:pt>
                <c:pt idx="57">
                  <c:v>45349</c:v>
                </c:pt>
                <c:pt idx="58">
                  <c:v>45350</c:v>
                </c:pt>
                <c:pt idx="59">
                  <c:v>45351</c:v>
                </c:pt>
                <c:pt idx="60">
                  <c:v>45352</c:v>
                </c:pt>
                <c:pt idx="61">
                  <c:v>45353</c:v>
                </c:pt>
                <c:pt idx="62">
                  <c:v>45354</c:v>
                </c:pt>
                <c:pt idx="63">
                  <c:v>45355</c:v>
                </c:pt>
                <c:pt idx="64">
                  <c:v>45356</c:v>
                </c:pt>
                <c:pt idx="65">
                  <c:v>45357</c:v>
                </c:pt>
                <c:pt idx="66">
                  <c:v>45358</c:v>
                </c:pt>
                <c:pt idx="67">
                  <c:v>45359</c:v>
                </c:pt>
                <c:pt idx="68">
                  <c:v>45360</c:v>
                </c:pt>
                <c:pt idx="69">
                  <c:v>45361</c:v>
                </c:pt>
                <c:pt idx="70">
                  <c:v>45362</c:v>
                </c:pt>
                <c:pt idx="71">
                  <c:v>45363</c:v>
                </c:pt>
                <c:pt idx="72">
                  <c:v>45364</c:v>
                </c:pt>
                <c:pt idx="73">
                  <c:v>45365</c:v>
                </c:pt>
                <c:pt idx="74">
                  <c:v>45366</c:v>
                </c:pt>
                <c:pt idx="75">
                  <c:v>45367</c:v>
                </c:pt>
                <c:pt idx="76">
                  <c:v>45368</c:v>
                </c:pt>
                <c:pt idx="77">
                  <c:v>45369</c:v>
                </c:pt>
                <c:pt idx="78">
                  <c:v>45370</c:v>
                </c:pt>
                <c:pt idx="79">
                  <c:v>45371</c:v>
                </c:pt>
                <c:pt idx="80">
                  <c:v>45372</c:v>
                </c:pt>
                <c:pt idx="81">
                  <c:v>45373</c:v>
                </c:pt>
                <c:pt idx="82">
                  <c:v>45374</c:v>
                </c:pt>
                <c:pt idx="83">
                  <c:v>45375</c:v>
                </c:pt>
                <c:pt idx="84">
                  <c:v>45376</c:v>
                </c:pt>
                <c:pt idx="85">
                  <c:v>45377</c:v>
                </c:pt>
                <c:pt idx="86">
                  <c:v>45378</c:v>
                </c:pt>
                <c:pt idx="87">
                  <c:v>45379</c:v>
                </c:pt>
                <c:pt idx="88">
                  <c:v>45380</c:v>
                </c:pt>
                <c:pt idx="89">
                  <c:v>45381</c:v>
                </c:pt>
                <c:pt idx="90">
                  <c:v>45382</c:v>
                </c:pt>
                <c:pt idx="91">
                  <c:v>45383</c:v>
                </c:pt>
                <c:pt idx="92">
                  <c:v>45384</c:v>
                </c:pt>
                <c:pt idx="93">
                  <c:v>45385</c:v>
                </c:pt>
                <c:pt idx="94">
                  <c:v>45386</c:v>
                </c:pt>
                <c:pt idx="95">
                  <c:v>45387</c:v>
                </c:pt>
                <c:pt idx="96">
                  <c:v>45388</c:v>
                </c:pt>
                <c:pt idx="97">
                  <c:v>45389</c:v>
                </c:pt>
                <c:pt idx="98">
                  <c:v>45390</c:v>
                </c:pt>
                <c:pt idx="99">
                  <c:v>45391</c:v>
                </c:pt>
                <c:pt idx="100">
                  <c:v>45392</c:v>
                </c:pt>
                <c:pt idx="101">
                  <c:v>45393</c:v>
                </c:pt>
                <c:pt idx="102">
                  <c:v>45394</c:v>
                </c:pt>
                <c:pt idx="103">
                  <c:v>45395</c:v>
                </c:pt>
                <c:pt idx="104">
                  <c:v>45396</c:v>
                </c:pt>
                <c:pt idx="105">
                  <c:v>45397</c:v>
                </c:pt>
                <c:pt idx="106">
                  <c:v>45398</c:v>
                </c:pt>
                <c:pt idx="107">
                  <c:v>45399</c:v>
                </c:pt>
                <c:pt idx="108">
                  <c:v>45400</c:v>
                </c:pt>
                <c:pt idx="109">
                  <c:v>45401</c:v>
                </c:pt>
                <c:pt idx="110">
                  <c:v>45402</c:v>
                </c:pt>
                <c:pt idx="111">
                  <c:v>45403</c:v>
                </c:pt>
                <c:pt idx="112">
                  <c:v>45404</c:v>
                </c:pt>
                <c:pt idx="113">
                  <c:v>45405</c:v>
                </c:pt>
                <c:pt idx="114">
                  <c:v>45406</c:v>
                </c:pt>
                <c:pt idx="115">
                  <c:v>45407</c:v>
                </c:pt>
                <c:pt idx="116">
                  <c:v>45408</c:v>
                </c:pt>
                <c:pt idx="117">
                  <c:v>45409</c:v>
                </c:pt>
                <c:pt idx="118">
                  <c:v>45410</c:v>
                </c:pt>
                <c:pt idx="119">
                  <c:v>45411</c:v>
                </c:pt>
                <c:pt idx="120">
                  <c:v>45412</c:v>
                </c:pt>
                <c:pt idx="121">
                  <c:v>45413</c:v>
                </c:pt>
                <c:pt idx="122">
                  <c:v>45414</c:v>
                </c:pt>
                <c:pt idx="123">
                  <c:v>45415</c:v>
                </c:pt>
                <c:pt idx="124">
                  <c:v>45416</c:v>
                </c:pt>
                <c:pt idx="125">
                  <c:v>45417</c:v>
                </c:pt>
                <c:pt idx="126">
                  <c:v>45418</c:v>
                </c:pt>
                <c:pt idx="127">
                  <c:v>45419</c:v>
                </c:pt>
                <c:pt idx="128">
                  <c:v>45420</c:v>
                </c:pt>
                <c:pt idx="129">
                  <c:v>45421</c:v>
                </c:pt>
                <c:pt idx="130">
                  <c:v>45422</c:v>
                </c:pt>
                <c:pt idx="131">
                  <c:v>45423</c:v>
                </c:pt>
                <c:pt idx="132">
                  <c:v>45424</c:v>
                </c:pt>
                <c:pt idx="133">
                  <c:v>45425</c:v>
                </c:pt>
                <c:pt idx="134">
                  <c:v>45426</c:v>
                </c:pt>
                <c:pt idx="135">
                  <c:v>45427</c:v>
                </c:pt>
                <c:pt idx="136">
                  <c:v>45428</c:v>
                </c:pt>
                <c:pt idx="137">
                  <c:v>45429</c:v>
                </c:pt>
                <c:pt idx="138">
                  <c:v>45430</c:v>
                </c:pt>
                <c:pt idx="139">
                  <c:v>45431</c:v>
                </c:pt>
                <c:pt idx="140">
                  <c:v>45432</c:v>
                </c:pt>
                <c:pt idx="141">
                  <c:v>45433</c:v>
                </c:pt>
                <c:pt idx="142">
                  <c:v>45434</c:v>
                </c:pt>
                <c:pt idx="143">
                  <c:v>45435</c:v>
                </c:pt>
                <c:pt idx="144">
                  <c:v>45436</c:v>
                </c:pt>
                <c:pt idx="145">
                  <c:v>45437</c:v>
                </c:pt>
                <c:pt idx="146">
                  <c:v>45438</c:v>
                </c:pt>
                <c:pt idx="147">
                  <c:v>45439</c:v>
                </c:pt>
                <c:pt idx="148">
                  <c:v>45440</c:v>
                </c:pt>
                <c:pt idx="149">
                  <c:v>45441</c:v>
                </c:pt>
                <c:pt idx="150">
                  <c:v>45442</c:v>
                </c:pt>
                <c:pt idx="151">
                  <c:v>45443</c:v>
                </c:pt>
                <c:pt idx="152">
                  <c:v>45444</c:v>
                </c:pt>
                <c:pt idx="153">
                  <c:v>45445</c:v>
                </c:pt>
                <c:pt idx="154">
                  <c:v>45446</c:v>
                </c:pt>
                <c:pt idx="155">
                  <c:v>45447</c:v>
                </c:pt>
                <c:pt idx="156">
                  <c:v>45448</c:v>
                </c:pt>
                <c:pt idx="157">
                  <c:v>45449</c:v>
                </c:pt>
                <c:pt idx="158">
                  <c:v>45450</c:v>
                </c:pt>
                <c:pt idx="159">
                  <c:v>45451</c:v>
                </c:pt>
                <c:pt idx="160">
                  <c:v>45452</c:v>
                </c:pt>
                <c:pt idx="161">
                  <c:v>45453</c:v>
                </c:pt>
                <c:pt idx="162">
                  <c:v>45454</c:v>
                </c:pt>
                <c:pt idx="163">
                  <c:v>45455</c:v>
                </c:pt>
                <c:pt idx="164">
                  <c:v>45456</c:v>
                </c:pt>
                <c:pt idx="165">
                  <c:v>45457</c:v>
                </c:pt>
                <c:pt idx="166">
                  <c:v>45458</c:v>
                </c:pt>
                <c:pt idx="167">
                  <c:v>45459</c:v>
                </c:pt>
                <c:pt idx="168">
                  <c:v>45460</c:v>
                </c:pt>
                <c:pt idx="169">
                  <c:v>45461</c:v>
                </c:pt>
                <c:pt idx="170">
                  <c:v>45462</c:v>
                </c:pt>
                <c:pt idx="171">
                  <c:v>45463</c:v>
                </c:pt>
                <c:pt idx="172">
                  <c:v>45464</c:v>
                </c:pt>
                <c:pt idx="173">
                  <c:v>45465</c:v>
                </c:pt>
                <c:pt idx="174">
                  <c:v>45466</c:v>
                </c:pt>
                <c:pt idx="175">
                  <c:v>45467</c:v>
                </c:pt>
                <c:pt idx="176">
                  <c:v>45468</c:v>
                </c:pt>
                <c:pt idx="177">
                  <c:v>45469</c:v>
                </c:pt>
                <c:pt idx="178">
                  <c:v>45470</c:v>
                </c:pt>
                <c:pt idx="179">
                  <c:v>45471</c:v>
                </c:pt>
                <c:pt idx="180">
                  <c:v>45472</c:v>
                </c:pt>
                <c:pt idx="181">
                  <c:v>45473</c:v>
                </c:pt>
                <c:pt idx="182">
                  <c:v>45474</c:v>
                </c:pt>
                <c:pt idx="183">
                  <c:v>45475</c:v>
                </c:pt>
                <c:pt idx="184">
                  <c:v>45476</c:v>
                </c:pt>
                <c:pt idx="185">
                  <c:v>45477</c:v>
                </c:pt>
                <c:pt idx="186">
                  <c:v>45478</c:v>
                </c:pt>
                <c:pt idx="187">
                  <c:v>45479</c:v>
                </c:pt>
                <c:pt idx="188">
                  <c:v>45480</c:v>
                </c:pt>
                <c:pt idx="189">
                  <c:v>45481</c:v>
                </c:pt>
                <c:pt idx="190">
                  <c:v>45482</c:v>
                </c:pt>
                <c:pt idx="191">
                  <c:v>45483</c:v>
                </c:pt>
                <c:pt idx="192">
                  <c:v>45484</c:v>
                </c:pt>
                <c:pt idx="193">
                  <c:v>45485</c:v>
                </c:pt>
                <c:pt idx="194">
                  <c:v>45486</c:v>
                </c:pt>
                <c:pt idx="195">
                  <c:v>45487</c:v>
                </c:pt>
                <c:pt idx="196">
                  <c:v>45488</c:v>
                </c:pt>
                <c:pt idx="197">
                  <c:v>45489</c:v>
                </c:pt>
                <c:pt idx="198">
                  <c:v>45490</c:v>
                </c:pt>
                <c:pt idx="199">
                  <c:v>45491</c:v>
                </c:pt>
                <c:pt idx="200">
                  <c:v>45492</c:v>
                </c:pt>
                <c:pt idx="201">
                  <c:v>45493</c:v>
                </c:pt>
                <c:pt idx="202">
                  <c:v>45494</c:v>
                </c:pt>
                <c:pt idx="203">
                  <c:v>45495</c:v>
                </c:pt>
                <c:pt idx="204">
                  <c:v>45496</c:v>
                </c:pt>
                <c:pt idx="205">
                  <c:v>45497</c:v>
                </c:pt>
                <c:pt idx="206">
                  <c:v>45498</c:v>
                </c:pt>
                <c:pt idx="207">
                  <c:v>45499</c:v>
                </c:pt>
                <c:pt idx="208">
                  <c:v>45500</c:v>
                </c:pt>
                <c:pt idx="209">
                  <c:v>45501</c:v>
                </c:pt>
                <c:pt idx="210">
                  <c:v>45502</c:v>
                </c:pt>
                <c:pt idx="211">
                  <c:v>45503</c:v>
                </c:pt>
                <c:pt idx="212">
                  <c:v>45504</c:v>
                </c:pt>
                <c:pt idx="213">
                  <c:v>45505</c:v>
                </c:pt>
                <c:pt idx="214">
                  <c:v>45506</c:v>
                </c:pt>
                <c:pt idx="215">
                  <c:v>45507</c:v>
                </c:pt>
                <c:pt idx="216">
                  <c:v>45508</c:v>
                </c:pt>
                <c:pt idx="217">
                  <c:v>45509</c:v>
                </c:pt>
                <c:pt idx="218">
                  <c:v>45510</c:v>
                </c:pt>
                <c:pt idx="219">
                  <c:v>45511</c:v>
                </c:pt>
                <c:pt idx="220">
                  <c:v>45512</c:v>
                </c:pt>
                <c:pt idx="221">
                  <c:v>45513</c:v>
                </c:pt>
                <c:pt idx="222">
                  <c:v>45514</c:v>
                </c:pt>
                <c:pt idx="223">
                  <c:v>45515</c:v>
                </c:pt>
                <c:pt idx="224">
                  <c:v>45516</c:v>
                </c:pt>
                <c:pt idx="225">
                  <c:v>45517</c:v>
                </c:pt>
                <c:pt idx="226">
                  <c:v>45518</c:v>
                </c:pt>
                <c:pt idx="227">
                  <c:v>45519</c:v>
                </c:pt>
                <c:pt idx="228">
                  <c:v>45520</c:v>
                </c:pt>
                <c:pt idx="229">
                  <c:v>45521</c:v>
                </c:pt>
                <c:pt idx="230">
                  <c:v>45522</c:v>
                </c:pt>
                <c:pt idx="231">
                  <c:v>45523</c:v>
                </c:pt>
                <c:pt idx="232">
                  <c:v>45524</c:v>
                </c:pt>
                <c:pt idx="233">
                  <c:v>45525</c:v>
                </c:pt>
                <c:pt idx="234">
                  <c:v>45526</c:v>
                </c:pt>
                <c:pt idx="235">
                  <c:v>45527</c:v>
                </c:pt>
                <c:pt idx="236">
                  <c:v>45528</c:v>
                </c:pt>
                <c:pt idx="237">
                  <c:v>45529</c:v>
                </c:pt>
                <c:pt idx="238">
                  <c:v>45530</c:v>
                </c:pt>
                <c:pt idx="239">
                  <c:v>45531</c:v>
                </c:pt>
                <c:pt idx="240">
                  <c:v>45532</c:v>
                </c:pt>
                <c:pt idx="241">
                  <c:v>45533</c:v>
                </c:pt>
                <c:pt idx="242">
                  <c:v>45534</c:v>
                </c:pt>
              </c:numCache>
            </c:numRef>
          </c:cat>
          <c:val>
            <c:numRef>
              <c:f>'Forecasting the sale'!$E$2:$E$244</c:f>
              <c:numCache>
                <c:formatCode>General</c:formatCode>
                <c:ptCount val="243"/>
                <c:pt idx="181" formatCode="[$-409]mmmm\ d\,\ yyyy;@">
                  <c:v>45473</c:v>
                </c:pt>
                <c:pt idx="182" formatCode="[$-409]mmmm\ d\,\ yyyy;@">
                  <c:v>45474</c:v>
                </c:pt>
                <c:pt idx="183" formatCode="[$-409]mmmm\ d\,\ yyyy;@">
                  <c:v>45475</c:v>
                </c:pt>
                <c:pt idx="184" formatCode="[$-409]mmmm\ d\,\ yyyy;@">
                  <c:v>45476</c:v>
                </c:pt>
                <c:pt idx="185" formatCode="[$-409]mmmm\ d\,\ yyyy;@">
                  <c:v>45477</c:v>
                </c:pt>
                <c:pt idx="186" formatCode="[$-409]mmmm\ d\,\ yyyy;@">
                  <c:v>45478</c:v>
                </c:pt>
                <c:pt idx="187" formatCode="[$-409]mmmm\ d\,\ yyyy;@">
                  <c:v>45479</c:v>
                </c:pt>
                <c:pt idx="188" formatCode="[$-409]mmmm\ d\,\ yyyy;@">
                  <c:v>45480</c:v>
                </c:pt>
                <c:pt idx="189" formatCode="[$-409]mmmm\ d\,\ yyyy;@">
                  <c:v>45481</c:v>
                </c:pt>
                <c:pt idx="190" formatCode="[$-409]mmmm\ d\,\ yyyy;@">
                  <c:v>45482</c:v>
                </c:pt>
                <c:pt idx="191" formatCode="[$-409]mmmm\ d\,\ yyyy;@">
                  <c:v>45483</c:v>
                </c:pt>
                <c:pt idx="192" formatCode="[$-409]mmmm\ d\,\ yyyy;@">
                  <c:v>45484</c:v>
                </c:pt>
                <c:pt idx="193" formatCode="[$-409]mmmm\ d\,\ yyyy;@">
                  <c:v>45485</c:v>
                </c:pt>
                <c:pt idx="194" formatCode="[$-409]mmmm\ d\,\ yyyy;@">
                  <c:v>45486</c:v>
                </c:pt>
                <c:pt idx="195" formatCode="[$-409]mmmm\ d\,\ yyyy;@">
                  <c:v>45487</c:v>
                </c:pt>
                <c:pt idx="196" formatCode="[$-409]mmmm\ d\,\ yyyy;@">
                  <c:v>45488</c:v>
                </c:pt>
                <c:pt idx="197" formatCode="[$-409]mmmm\ d\,\ yyyy;@">
                  <c:v>45489</c:v>
                </c:pt>
                <c:pt idx="198" formatCode="[$-409]mmmm\ d\,\ yyyy;@">
                  <c:v>45490</c:v>
                </c:pt>
                <c:pt idx="199" formatCode="[$-409]mmmm\ d\,\ yyyy;@">
                  <c:v>45491</c:v>
                </c:pt>
                <c:pt idx="200" formatCode="[$-409]mmmm\ d\,\ yyyy;@">
                  <c:v>45492</c:v>
                </c:pt>
                <c:pt idx="201" formatCode="[$-409]mmmm\ d\,\ yyyy;@">
                  <c:v>45493</c:v>
                </c:pt>
                <c:pt idx="202" formatCode="[$-409]mmmm\ d\,\ yyyy;@">
                  <c:v>45494</c:v>
                </c:pt>
                <c:pt idx="203" formatCode="[$-409]mmmm\ d\,\ yyyy;@">
                  <c:v>45495</c:v>
                </c:pt>
                <c:pt idx="204" formatCode="[$-409]mmmm\ d\,\ yyyy;@">
                  <c:v>45496</c:v>
                </c:pt>
                <c:pt idx="205" formatCode="[$-409]mmmm\ d\,\ yyyy;@">
                  <c:v>45497</c:v>
                </c:pt>
                <c:pt idx="206" formatCode="[$-409]mmmm\ d\,\ yyyy;@">
                  <c:v>45498</c:v>
                </c:pt>
                <c:pt idx="207" formatCode="[$-409]mmmm\ d\,\ yyyy;@">
                  <c:v>45499</c:v>
                </c:pt>
                <c:pt idx="208" formatCode="[$-409]mmmm\ d\,\ yyyy;@">
                  <c:v>45500</c:v>
                </c:pt>
                <c:pt idx="209" formatCode="[$-409]mmmm\ d\,\ yyyy;@">
                  <c:v>45501</c:v>
                </c:pt>
                <c:pt idx="210" formatCode="[$-409]mmmm\ d\,\ yyyy;@">
                  <c:v>45502</c:v>
                </c:pt>
                <c:pt idx="211" formatCode="[$-409]mmmm\ d\,\ yyyy;@">
                  <c:v>45503</c:v>
                </c:pt>
                <c:pt idx="212" formatCode="[$-409]mmmm\ d\,\ yyyy;@">
                  <c:v>45504</c:v>
                </c:pt>
                <c:pt idx="213" formatCode="[$-409]mmmm\ d\,\ yyyy;@">
                  <c:v>45505</c:v>
                </c:pt>
                <c:pt idx="214" formatCode="[$-409]mmmm\ d\,\ yyyy;@">
                  <c:v>45506</c:v>
                </c:pt>
                <c:pt idx="215" formatCode="[$-409]mmmm\ d\,\ yyyy;@">
                  <c:v>45507</c:v>
                </c:pt>
                <c:pt idx="216" formatCode="[$-409]mmmm\ d\,\ yyyy;@">
                  <c:v>45508</c:v>
                </c:pt>
                <c:pt idx="217" formatCode="[$-409]mmmm\ d\,\ yyyy;@">
                  <c:v>45509</c:v>
                </c:pt>
                <c:pt idx="218" formatCode="[$-409]mmmm\ d\,\ yyyy;@">
                  <c:v>45510</c:v>
                </c:pt>
                <c:pt idx="219" formatCode="[$-409]mmmm\ d\,\ yyyy;@">
                  <c:v>45511</c:v>
                </c:pt>
                <c:pt idx="220" formatCode="[$-409]mmmm\ d\,\ yyyy;@">
                  <c:v>45512</c:v>
                </c:pt>
                <c:pt idx="221" formatCode="[$-409]mmmm\ d\,\ yyyy;@">
                  <c:v>45513</c:v>
                </c:pt>
                <c:pt idx="222" formatCode="[$-409]mmmm\ d\,\ yyyy;@">
                  <c:v>45514</c:v>
                </c:pt>
                <c:pt idx="223" formatCode="[$-409]mmmm\ d\,\ yyyy;@">
                  <c:v>45515</c:v>
                </c:pt>
                <c:pt idx="224" formatCode="[$-409]mmmm\ d\,\ yyyy;@">
                  <c:v>45516</c:v>
                </c:pt>
                <c:pt idx="225" formatCode="[$-409]mmmm\ d\,\ yyyy;@">
                  <c:v>45517</c:v>
                </c:pt>
                <c:pt idx="226" formatCode="[$-409]mmmm\ d\,\ yyyy;@">
                  <c:v>45518</c:v>
                </c:pt>
                <c:pt idx="227" formatCode="[$-409]mmmm\ d\,\ yyyy;@">
                  <c:v>45519</c:v>
                </c:pt>
                <c:pt idx="228" formatCode="[$-409]mmmm\ d\,\ yyyy;@">
                  <c:v>45520</c:v>
                </c:pt>
                <c:pt idx="229" formatCode="[$-409]mmmm\ d\,\ yyyy;@">
                  <c:v>45521</c:v>
                </c:pt>
                <c:pt idx="230" formatCode="[$-409]mmmm\ d\,\ yyyy;@">
                  <c:v>45522</c:v>
                </c:pt>
                <c:pt idx="231" formatCode="[$-409]mmmm\ d\,\ yyyy;@">
                  <c:v>45523</c:v>
                </c:pt>
                <c:pt idx="232" formatCode="[$-409]mmmm\ d\,\ yyyy;@">
                  <c:v>45524</c:v>
                </c:pt>
                <c:pt idx="233" formatCode="[$-409]mmmm\ d\,\ yyyy;@">
                  <c:v>45525</c:v>
                </c:pt>
                <c:pt idx="234" formatCode="[$-409]mmmm\ d\,\ yyyy;@">
                  <c:v>45526</c:v>
                </c:pt>
                <c:pt idx="235" formatCode="[$-409]mmmm\ d\,\ yyyy;@">
                  <c:v>45527</c:v>
                </c:pt>
                <c:pt idx="236" formatCode="[$-409]mmmm\ d\,\ yyyy;@">
                  <c:v>45528</c:v>
                </c:pt>
                <c:pt idx="237" formatCode="[$-409]mmmm\ d\,\ yyyy;@">
                  <c:v>45529</c:v>
                </c:pt>
                <c:pt idx="238" formatCode="[$-409]mmmm\ d\,\ yyyy;@">
                  <c:v>45530</c:v>
                </c:pt>
                <c:pt idx="239" formatCode="[$-409]mmmm\ d\,\ yyyy;@">
                  <c:v>45531</c:v>
                </c:pt>
                <c:pt idx="240" formatCode="[$-409]mmmm\ d\,\ yyyy;@">
                  <c:v>45532</c:v>
                </c:pt>
                <c:pt idx="241" formatCode="[$-409]mmmm\ d\,\ yyyy;@">
                  <c:v>45533</c:v>
                </c:pt>
                <c:pt idx="242" formatCode="[$-409]mmmm\ d\,\ yyyy;@">
                  <c:v>45534</c:v>
                </c:pt>
              </c:numCache>
            </c:numRef>
          </c:val>
          <c:smooth val="0"/>
          <c:extLst>
            <c:ext xmlns:c16="http://schemas.microsoft.com/office/drawing/2014/chart" uri="{C3380CC4-5D6E-409C-BE32-E72D297353CC}">
              <c16:uniqueId val="{00000003-3807-43ED-B25A-4611DCF9E8EF}"/>
            </c:ext>
          </c:extLst>
        </c:ser>
        <c:dLbls>
          <c:showLegendKey val="0"/>
          <c:showVal val="0"/>
          <c:showCatName val="0"/>
          <c:showSerName val="0"/>
          <c:showPercent val="0"/>
          <c:showBubbleSize val="0"/>
        </c:dLbls>
        <c:smooth val="0"/>
        <c:axId val="1379412031"/>
        <c:axId val="1379403391"/>
      </c:lineChart>
      <c:catAx>
        <c:axId val="137941203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403391"/>
        <c:crosses val="autoZero"/>
        <c:auto val="1"/>
        <c:lblAlgn val="ctr"/>
        <c:lblOffset val="100"/>
        <c:noMultiLvlLbl val="0"/>
      </c:catAx>
      <c:valAx>
        <c:axId val="1379403391"/>
        <c:scaling>
          <c:orientation val="minMax"/>
        </c:scaling>
        <c:delete val="0"/>
        <c:axPos val="l"/>
        <c:majorGridlines>
          <c:spPr>
            <a:ln w="9525" cap="flat" cmpd="sng" algn="ctr">
              <a:solidFill>
                <a:schemeClr val="tx1">
                  <a:lumMod val="15000"/>
                  <a:lumOff val="85000"/>
                </a:schemeClr>
              </a:solidFill>
              <a:round/>
            </a:ln>
            <a:effectLst/>
          </c:spPr>
        </c:majorGridlines>
        <c:numFmt formatCode="[$-409]mmmm\ d\,\ 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412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parfum.xlsx]last updated Year_revenue!PivotTable7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35485673665791778"/>
          <c:w val="0.46987620297462818"/>
          <c:h val="0.50264545056867893"/>
        </c:manualLayout>
      </c:layout>
      <c:areaChart>
        <c:grouping val="stacked"/>
        <c:varyColors val="0"/>
        <c:ser>
          <c:idx val="2"/>
          <c:order val="2"/>
          <c:tx>
            <c:strRef>
              <c:f>'last updated Year_revenue'!$D$4:$D$8</c:f>
              <c:strCache>
                <c:ptCount val="1"/>
                <c:pt idx="0">
                  <c:v>United States - 2023</c:v>
                </c:pt>
              </c:strCache>
            </c:strRef>
          </c:tx>
          <c:spPr>
            <a:solidFill>
              <a:schemeClr val="accent3"/>
            </a:solidFill>
            <a:ln>
              <a:noFill/>
            </a:ln>
            <a:effectLst/>
          </c:spPr>
          <c:cat>
            <c:strRef>
              <c:f>'last updated Year_revenue'!$A$9:$A$55</c:f>
              <c:strCache>
                <c:ptCount val="46"/>
                <c:pt idx="0">
                  <c:v>Abercrombie &amp; Fitch</c:v>
                </c:pt>
                <c:pt idx="1">
                  <c:v>Al Wataniah</c:v>
                </c:pt>
                <c:pt idx="2">
                  <c:v>Armaf</c:v>
                </c:pt>
                <c:pt idx="3">
                  <c:v>As Picture Show</c:v>
                </c:pt>
                <c:pt idx="4">
                  <c:v>As Shown</c:v>
                </c:pt>
                <c:pt idx="5">
                  <c:v>Avon</c:v>
                </c:pt>
                <c:pt idx="6">
                  <c:v>Bath &amp; BodUnknown Works</c:v>
                </c:pt>
                <c:pt idx="7">
                  <c:v>BUnknown Al Hambra</c:v>
                </c:pt>
                <c:pt idx="8">
                  <c:v>Calvin Klein</c:v>
                </c:pt>
                <c:pt idx="9">
                  <c:v>Carolina Herrera</c:v>
                </c:pt>
                <c:pt idx="10">
                  <c:v>Chanel</c:v>
                </c:pt>
                <c:pt idx="11">
                  <c:v>Claude Marsal</c:v>
                </c:pt>
                <c:pt idx="12">
                  <c:v>Creed</c:v>
                </c:pt>
                <c:pt idx="13">
                  <c:v>Dana</c:v>
                </c:pt>
                <c:pt idx="14">
                  <c:v>Diesel</c:v>
                </c:pt>
                <c:pt idx="15">
                  <c:v>Dior</c:v>
                </c:pt>
                <c:pt idx="16">
                  <c:v>Dolce &amp; Gabbana</c:v>
                </c:pt>
                <c:pt idx="17">
                  <c:v>Dolce&amp;Gabbana</c:v>
                </c:pt>
                <c:pt idx="18">
                  <c:v>Dossier</c:v>
                </c:pt>
                <c:pt idx="19">
                  <c:v>Eau de Cologne</c:v>
                </c:pt>
                <c:pt idx="20">
                  <c:v>Ed HardUnknown</c:v>
                </c:pt>
                <c:pt idx="21">
                  <c:v>Estee Lauder</c:v>
                </c:pt>
                <c:pt idx="22">
                  <c:v>Fc</c:v>
                </c:pt>
                <c:pt idx="23">
                  <c:v>Fragrance Couture</c:v>
                </c:pt>
                <c:pt idx="24">
                  <c:v>Giorgio Armani</c:v>
                </c:pt>
                <c:pt idx="25">
                  <c:v>Guerlain</c:v>
                </c:pt>
                <c:pt idx="26">
                  <c:v>Have A Scent</c:v>
                </c:pt>
                <c:pt idx="27">
                  <c:v>Hermès</c:v>
                </c:pt>
                <c:pt idx="28">
                  <c:v>Hugo Boss</c:v>
                </c:pt>
                <c:pt idx="29">
                  <c:v>Jil Sander</c:v>
                </c:pt>
                <c:pt idx="30">
                  <c:v>Lalique</c:v>
                </c:pt>
                <c:pt idx="31">
                  <c:v>Lapidus</c:v>
                </c:pt>
                <c:pt idx="32">
                  <c:v>Louis Vuitton</c:v>
                </c:pt>
                <c:pt idx="33">
                  <c:v>Macarena</c:v>
                </c:pt>
                <c:pt idx="34">
                  <c:v>Maison Martin Margiela</c:v>
                </c:pt>
                <c:pt idx="35">
                  <c:v>Mancera</c:v>
                </c:pt>
                <c:pt idx="36">
                  <c:v>Mandarin Duck</c:v>
                </c:pt>
                <c:pt idx="37">
                  <c:v>Paco Rabanne</c:v>
                </c:pt>
                <c:pt idx="38">
                  <c:v>Polo Ralph Lauren</c:v>
                </c:pt>
                <c:pt idx="39">
                  <c:v>Prada</c:v>
                </c:pt>
                <c:pt idx="40">
                  <c:v>Ralph Lauren</c:v>
                </c:pt>
                <c:pt idx="41">
                  <c:v>Secertmu</c:v>
                </c:pt>
                <c:pt idx="42">
                  <c:v>The Baron</c:v>
                </c:pt>
                <c:pt idx="43">
                  <c:v>Unbranded</c:v>
                </c:pt>
                <c:pt idx="44">
                  <c:v>Unknownsl</c:v>
                </c:pt>
                <c:pt idx="45">
                  <c:v>Unknownves Saint Laurent</c:v>
                </c:pt>
              </c:strCache>
            </c:strRef>
          </c:cat>
          <c:val>
            <c:numRef>
              <c:f>'last updated Year_revenue'!$D$9:$D$55</c:f>
              <c:numCache>
                <c:formatCode>General</c:formatCode>
                <c:ptCount val="46"/>
                <c:pt idx="19">
                  <c:v>6586.9</c:v>
                </c:pt>
                <c:pt idx="42">
                  <c:v>34.99</c:v>
                </c:pt>
                <c:pt idx="45">
                  <c:v>1169.55</c:v>
                </c:pt>
              </c:numCache>
            </c:numRef>
          </c:val>
          <c:extLst>
            <c:ext xmlns:c16="http://schemas.microsoft.com/office/drawing/2014/chart" uri="{C3380CC4-5D6E-409C-BE32-E72D297353CC}">
              <c16:uniqueId val="{00000000-5E77-4D50-9399-44DDB0F24C9F}"/>
            </c:ext>
          </c:extLst>
        </c:ser>
        <c:ser>
          <c:idx val="3"/>
          <c:order val="3"/>
          <c:tx>
            <c:strRef>
              <c:f>'last updated Year_revenue'!$E$4:$E$8</c:f>
              <c:strCache>
                <c:ptCount val="1"/>
                <c:pt idx="0">
                  <c:v>United States - 2022</c:v>
                </c:pt>
              </c:strCache>
            </c:strRef>
          </c:tx>
          <c:spPr>
            <a:solidFill>
              <a:schemeClr val="accent4"/>
            </a:solidFill>
            <a:ln>
              <a:noFill/>
            </a:ln>
            <a:effectLst/>
          </c:spPr>
          <c:cat>
            <c:strRef>
              <c:f>'last updated Year_revenue'!$A$9:$A$55</c:f>
              <c:strCache>
                <c:ptCount val="46"/>
                <c:pt idx="0">
                  <c:v>Abercrombie &amp; Fitch</c:v>
                </c:pt>
                <c:pt idx="1">
                  <c:v>Al Wataniah</c:v>
                </c:pt>
                <c:pt idx="2">
                  <c:v>Armaf</c:v>
                </c:pt>
                <c:pt idx="3">
                  <c:v>As Picture Show</c:v>
                </c:pt>
                <c:pt idx="4">
                  <c:v>As Shown</c:v>
                </c:pt>
                <c:pt idx="5">
                  <c:v>Avon</c:v>
                </c:pt>
                <c:pt idx="6">
                  <c:v>Bath &amp; BodUnknown Works</c:v>
                </c:pt>
                <c:pt idx="7">
                  <c:v>BUnknown Al Hambra</c:v>
                </c:pt>
                <c:pt idx="8">
                  <c:v>Calvin Klein</c:v>
                </c:pt>
                <c:pt idx="9">
                  <c:v>Carolina Herrera</c:v>
                </c:pt>
                <c:pt idx="10">
                  <c:v>Chanel</c:v>
                </c:pt>
                <c:pt idx="11">
                  <c:v>Claude Marsal</c:v>
                </c:pt>
                <c:pt idx="12">
                  <c:v>Creed</c:v>
                </c:pt>
                <c:pt idx="13">
                  <c:v>Dana</c:v>
                </c:pt>
                <c:pt idx="14">
                  <c:v>Diesel</c:v>
                </c:pt>
                <c:pt idx="15">
                  <c:v>Dior</c:v>
                </c:pt>
                <c:pt idx="16">
                  <c:v>Dolce &amp; Gabbana</c:v>
                </c:pt>
                <c:pt idx="17">
                  <c:v>Dolce&amp;Gabbana</c:v>
                </c:pt>
                <c:pt idx="18">
                  <c:v>Dossier</c:v>
                </c:pt>
                <c:pt idx="19">
                  <c:v>Eau de Cologne</c:v>
                </c:pt>
                <c:pt idx="20">
                  <c:v>Ed HardUnknown</c:v>
                </c:pt>
                <c:pt idx="21">
                  <c:v>Estee Lauder</c:v>
                </c:pt>
                <c:pt idx="22">
                  <c:v>Fc</c:v>
                </c:pt>
                <c:pt idx="23">
                  <c:v>Fragrance Couture</c:v>
                </c:pt>
                <c:pt idx="24">
                  <c:v>Giorgio Armani</c:v>
                </c:pt>
                <c:pt idx="25">
                  <c:v>Guerlain</c:v>
                </c:pt>
                <c:pt idx="26">
                  <c:v>Have A Scent</c:v>
                </c:pt>
                <c:pt idx="27">
                  <c:v>Hermès</c:v>
                </c:pt>
                <c:pt idx="28">
                  <c:v>Hugo Boss</c:v>
                </c:pt>
                <c:pt idx="29">
                  <c:v>Jil Sander</c:v>
                </c:pt>
                <c:pt idx="30">
                  <c:v>Lalique</c:v>
                </c:pt>
                <c:pt idx="31">
                  <c:v>Lapidus</c:v>
                </c:pt>
                <c:pt idx="32">
                  <c:v>Louis Vuitton</c:v>
                </c:pt>
                <c:pt idx="33">
                  <c:v>Macarena</c:v>
                </c:pt>
                <c:pt idx="34">
                  <c:v>Maison Martin Margiela</c:v>
                </c:pt>
                <c:pt idx="35">
                  <c:v>Mancera</c:v>
                </c:pt>
                <c:pt idx="36">
                  <c:v>Mandarin Duck</c:v>
                </c:pt>
                <c:pt idx="37">
                  <c:v>Paco Rabanne</c:v>
                </c:pt>
                <c:pt idx="38">
                  <c:v>Polo Ralph Lauren</c:v>
                </c:pt>
                <c:pt idx="39">
                  <c:v>Prada</c:v>
                </c:pt>
                <c:pt idx="40">
                  <c:v>Ralph Lauren</c:v>
                </c:pt>
                <c:pt idx="41">
                  <c:v>Secertmu</c:v>
                </c:pt>
                <c:pt idx="42">
                  <c:v>The Baron</c:v>
                </c:pt>
                <c:pt idx="43">
                  <c:v>Unbranded</c:v>
                </c:pt>
                <c:pt idx="44">
                  <c:v>Unknownsl</c:v>
                </c:pt>
                <c:pt idx="45">
                  <c:v>Unknownves Saint Laurent</c:v>
                </c:pt>
              </c:strCache>
            </c:strRef>
          </c:cat>
          <c:val>
            <c:numRef>
              <c:f>'last updated Year_revenue'!$E$9:$E$55</c:f>
              <c:numCache>
                <c:formatCode>General</c:formatCode>
                <c:ptCount val="46"/>
                <c:pt idx="36">
                  <c:v>2099.25</c:v>
                </c:pt>
              </c:numCache>
            </c:numRef>
          </c:val>
          <c:extLst>
            <c:ext xmlns:c16="http://schemas.microsoft.com/office/drawing/2014/chart" uri="{C3380CC4-5D6E-409C-BE32-E72D297353CC}">
              <c16:uniqueId val="{00000001-5E77-4D50-9399-44DDB0F24C9F}"/>
            </c:ext>
          </c:extLst>
        </c:ser>
        <c:ser>
          <c:idx val="0"/>
          <c:order val="0"/>
          <c:tx>
            <c:strRef>
              <c:f>'last updated Year_revenue'!$B$4:$B$8</c:f>
              <c:strCache>
                <c:ptCount val="1"/>
                <c:pt idx="0">
                  <c:v>Hong Kong - 2024</c:v>
                </c:pt>
              </c:strCache>
            </c:strRef>
          </c:tx>
          <c:spPr>
            <a:solidFill>
              <a:schemeClr val="accent1"/>
            </a:solidFill>
            <a:ln>
              <a:noFill/>
            </a:ln>
            <a:effectLst/>
          </c:spPr>
          <c:cat>
            <c:strRef>
              <c:f>'last updated Year_revenue'!$A$9:$A$55</c:f>
              <c:strCache>
                <c:ptCount val="46"/>
                <c:pt idx="0">
                  <c:v>Abercrombie &amp; Fitch</c:v>
                </c:pt>
                <c:pt idx="1">
                  <c:v>Al Wataniah</c:v>
                </c:pt>
                <c:pt idx="2">
                  <c:v>Armaf</c:v>
                </c:pt>
                <c:pt idx="3">
                  <c:v>As Picture Show</c:v>
                </c:pt>
                <c:pt idx="4">
                  <c:v>As Shown</c:v>
                </c:pt>
                <c:pt idx="5">
                  <c:v>Avon</c:v>
                </c:pt>
                <c:pt idx="6">
                  <c:v>Bath &amp; BodUnknown Works</c:v>
                </c:pt>
                <c:pt idx="7">
                  <c:v>BUnknown Al Hambra</c:v>
                </c:pt>
                <c:pt idx="8">
                  <c:v>Calvin Klein</c:v>
                </c:pt>
                <c:pt idx="9">
                  <c:v>Carolina Herrera</c:v>
                </c:pt>
                <c:pt idx="10">
                  <c:v>Chanel</c:v>
                </c:pt>
                <c:pt idx="11">
                  <c:v>Claude Marsal</c:v>
                </c:pt>
                <c:pt idx="12">
                  <c:v>Creed</c:v>
                </c:pt>
                <c:pt idx="13">
                  <c:v>Dana</c:v>
                </c:pt>
                <c:pt idx="14">
                  <c:v>Diesel</c:v>
                </c:pt>
                <c:pt idx="15">
                  <c:v>Dior</c:v>
                </c:pt>
                <c:pt idx="16">
                  <c:v>Dolce &amp; Gabbana</c:v>
                </c:pt>
                <c:pt idx="17">
                  <c:v>Dolce&amp;Gabbana</c:v>
                </c:pt>
                <c:pt idx="18">
                  <c:v>Dossier</c:v>
                </c:pt>
                <c:pt idx="19">
                  <c:v>Eau de Cologne</c:v>
                </c:pt>
                <c:pt idx="20">
                  <c:v>Ed HardUnknown</c:v>
                </c:pt>
                <c:pt idx="21">
                  <c:v>Estee Lauder</c:v>
                </c:pt>
                <c:pt idx="22">
                  <c:v>Fc</c:v>
                </c:pt>
                <c:pt idx="23">
                  <c:v>Fragrance Couture</c:v>
                </c:pt>
                <c:pt idx="24">
                  <c:v>Giorgio Armani</c:v>
                </c:pt>
                <c:pt idx="25">
                  <c:v>Guerlain</c:v>
                </c:pt>
                <c:pt idx="26">
                  <c:v>Have A Scent</c:v>
                </c:pt>
                <c:pt idx="27">
                  <c:v>Hermès</c:v>
                </c:pt>
                <c:pt idx="28">
                  <c:v>Hugo Boss</c:v>
                </c:pt>
                <c:pt idx="29">
                  <c:v>Jil Sander</c:v>
                </c:pt>
                <c:pt idx="30">
                  <c:v>Lalique</c:v>
                </c:pt>
                <c:pt idx="31">
                  <c:v>Lapidus</c:v>
                </c:pt>
                <c:pt idx="32">
                  <c:v>Louis Vuitton</c:v>
                </c:pt>
                <c:pt idx="33">
                  <c:v>Macarena</c:v>
                </c:pt>
                <c:pt idx="34">
                  <c:v>Maison Martin Margiela</c:v>
                </c:pt>
                <c:pt idx="35">
                  <c:v>Mancera</c:v>
                </c:pt>
                <c:pt idx="36">
                  <c:v>Mandarin Duck</c:v>
                </c:pt>
                <c:pt idx="37">
                  <c:v>Paco Rabanne</c:v>
                </c:pt>
                <c:pt idx="38">
                  <c:v>Polo Ralph Lauren</c:v>
                </c:pt>
                <c:pt idx="39">
                  <c:v>Prada</c:v>
                </c:pt>
                <c:pt idx="40">
                  <c:v>Ralph Lauren</c:v>
                </c:pt>
                <c:pt idx="41">
                  <c:v>Secertmu</c:v>
                </c:pt>
                <c:pt idx="42">
                  <c:v>The Baron</c:v>
                </c:pt>
                <c:pt idx="43">
                  <c:v>Unbranded</c:v>
                </c:pt>
                <c:pt idx="44">
                  <c:v>Unknownsl</c:v>
                </c:pt>
                <c:pt idx="45">
                  <c:v>Unknownves Saint Laurent</c:v>
                </c:pt>
              </c:strCache>
            </c:strRef>
          </c:cat>
          <c:val>
            <c:numRef>
              <c:f>'last updated Year_revenue'!$B$9:$B$55</c:f>
              <c:numCache>
                <c:formatCode>General</c:formatCode>
                <c:ptCount val="46"/>
                <c:pt idx="4">
                  <c:v>769.89</c:v>
                </c:pt>
                <c:pt idx="34">
                  <c:v>439.89000000000004</c:v>
                </c:pt>
              </c:numCache>
            </c:numRef>
          </c:val>
          <c:extLst>
            <c:ext xmlns:c16="http://schemas.microsoft.com/office/drawing/2014/chart" uri="{C3380CC4-5D6E-409C-BE32-E72D297353CC}">
              <c16:uniqueId val="{00000002-5E77-4D50-9399-44DDB0F24C9F}"/>
            </c:ext>
          </c:extLst>
        </c:ser>
        <c:ser>
          <c:idx val="1"/>
          <c:order val="1"/>
          <c:tx>
            <c:strRef>
              <c:f>'last updated Year_revenue'!$C$4:$C$8</c:f>
              <c:strCache>
                <c:ptCount val="1"/>
                <c:pt idx="0">
                  <c:v>United States - 2024</c:v>
                </c:pt>
              </c:strCache>
            </c:strRef>
          </c:tx>
          <c:spPr>
            <a:solidFill>
              <a:schemeClr val="accent2"/>
            </a:solidFill>
            <a:ln>
              <a:noFill/>
            </a:ln>
            <a:effectLst/>
          </c:spPr>
          <c:cat>
            <c:strRef>
              <c:f>'last updated Year_revenue'!$A$9:$A$55</c:f>
              <c:strCache>
                <c:ptCount val="46"/>
                <c:pt idx="0">
                  <c:v>Abercrombie &amp; Fitch</c:v>
                </c:pt>
                <c:pt idx="1">
                  <c:v>Al Wataniah</c:v>
                </c:pt>
                <c:pt idx="2">
                  <c:v>Armaf</c:v>
                </c:pt>
                <c:pt idx="3">
                  <c:v>As Picture Show</c:v>
                </c:pt>
                <c:pt idx="4">
                  <c:v>As Shown</c:v>
                </c:pt>
                <c:pt idx="5">
                  <c:v>Avon</c:v>
                </c:pt>
                <c:pt idx="6">
                  <c:v>Bath &amp; BodUnknown Works</c:v>
                </c:pt>
                <c:pt idx="7">
                  <c:v>BUnknown Al Hambra</c:v>
                </c:pt>
                <c:pt idx="8">
                  <c:v>Calvin Klein</c:v>
                </c:pt>
                <c:pt idx="9">
                  <c:v>Carolina Herrera</c:v>
                </c:pt>
                <c:pt idx="10">
                  <c:v>Chanel</c:v>
                </c:pt>
                <c:pt idx="11">
                  <c:v>Claude Marsal</c:v>
                </c:pt>
                <c:pt idx="12">
                  <c:v>Creed</c:v>
                </c:pt>
                <c:pt idx="13">
                  <c:v>Dana</c:v>
                </c:pt>
                <c:pt idx="14">
                  <c:v>Diesel</c:v>
                </c:pt>
                <c:pt idx="15">
                  <c:v>Dior</c:v>
                </c:pt>
                <c:pt idx="16">
                  <c:v>Dolce &amp; Gabbana</c:v>
                </c:pt>
                <c:pt idx="17">
                  <c:v>Dolce&amp;Gabbana</c:v>
                </c:pt>
                <c:pt idx="18">
                  <c:v>Dossier</c:v>
                </c:pt>
                <c:pt idx="19">
                  <c:v>Eau de Cologne</c:v>
                </c:pt>
                <c:pt idx="20">
                  <c:v>Ed HardUnknown</c:v>
                </c:pt>
                <c:pt idx="21">
                  <c:v>Estee Lauder</c:v>
                </c:pt>
                <c:pt idx="22">
                  <c:v>Fc</c:v>
                </c:pt>
                <c:pt idx="23">
                  <c:v>Fragrance Couture</c:v>
                </c:pt>
                <c:pt idx="24">
                  <c:v>Giorgio Armani</c:v>
                </c:pt>
                <c:pt idx="25">
                  <c:v>Guerlain</c:v>
                </c:pt>
                <c:pt idx="26">
                  <c:v>Have A Scent</c:v>
                </c:pt>
                <c:pt idx="27">
                  <c:v>Hermès</c:v>
                </c:pt>
                <c:pt idx="28">
                  <c:v>Hugo Boss</c:v>
                </c:pt>
                <c:pt idx="29">
                  <c:v>Jil Sander</c:v>
                </c:pt>
                <c:pt idx="30">
                  <c:v>Lalique</c:v>
                </c:pt>
                <c:pt idx="31">
                  <c:v>Lapidus</c:v>
                </c:pt>
                <c:pt idx="32">
                  <c:v>Louis Vuitton</c:v>
                </c:pt>
                <c:pt idx="33">
                  <c:v>Macarena</c:v>
                </c:pt>
                <c:pt idx="34">
                  <c:v>Maison Martin Margiela</c:v>
                </c:pt>
                <c:pt idx="35">
                  <c:v>Mancera</c:v>
                </c:pt>
                <c:pt idx="36">
                  <c:v>Mandarin Duck</c:v>
                </c:pt>
                <c:pt idx="37">
                  <c:v>Paco Rabanne</c:v>
                </c:pt>
                <c:pt idx="38">
                  <c:v>Polo Ralph Lauren</c:v>
                </c:pt>
                <c:pt idx="39">
                  <c:v>Prada</c:v>
                </c:pt>
                <c:pt idx="40">
                  <c:v>Ralph Lauren</c:v>
                </c:pt>
                <c:pt idx="41">
                  <c:v>Secertmu</c:v>
                </c:pt>
                <c:pt idx="42">
                  <c:v>The Baron</c:v>
                </c:pt>
                <c:pt idx="43">
                  <c:v>Unbranded</c:v>
                </c:pt>
                <c:pt idx="44">
                  <c:v>Unknownsl</c:v>
                </c:pt>
                <c:pt idx="45">
                  <c:v>Unknownves Saint Laurent</c:v>
                </c:pt>
              </c:strCache>
            </c:strRef>
          </c:cat>
          <c:val>
            <c:numRef>
              <c:f>'last updated Year_revenue'!$C$9:$C$55</c:f>
              <c:numCache>
                <c:formatCode>General</c:formatCode>
                <c:ptCount val="46"/>
                <c:pt idx="0">
                  <c:v>19046.190000000002</c:v>
                </c:pt>
                <c:pt idx="1">
                  <c:v>1260</c:v>
                </c:pt>
                <c:pt idx="2">
                  <c:v>850</c:v>
                </c:pt>
                <c:pt idx="3">
                  <c:v>3079.56</c:v>
                </c:pt>
                <c:pt idx="5">
                  <c:v>1905.13</c:v>
                </c:pt>
                <c:pt idx="6">
                  <c:v>2098.9499999999998</c:v>
                </c:pt>
                <c:pt idx="7">
                  <c:v>2002.9999999999998</c:v>
                </c:pt>
                <c:pt idx="8">
                  <c:v>4148.55</c:v>
                </c:pt>
                <c:pt idx="9">
                  <c:v>1121.83</c:v>
                </c:pt>
                <c:pt idx="10">
                  <c:v>6292</c:v>
                </c:pt>
                <c:pt idx="11">
                  <c:v>1620</c:v>
                </c:pt>
                <c:pt idx="12">
                  <c:v>478.5</c:v>
                </c:pt>
                <c:pt idx="13">
                  <c:v>9698.5300000000007</c:v>
                </c:pt>
                <c:pt idx="14">
                  <c:v>475.71999999999997</c:v>
                </c:pt>
                <c:pt idx="15">
                  <c:v>1903.7199999999998</c:v>
                </c:pt>
                <c:pt idx="16">
                  <c:v>8584.5</c:v>
                </c:pt>
                <c:pt idx="17">
                  <c:v>701.91</c:v>
                </c:pt>
                <c:pt idx="18">
                  <c:v>320</c:v>
                </c:pt>
                <c:pt idx="20">
                  <c:v>573.30000000000007</c:v>
                </c:pt>
                <c:pt idx="21">
                  <c:v>419.76</c:v>
                </c:pt>
                <c:pt idx="22">
                  <c:v>1749.3</c:v>
                </c:pt>
                <c:pt idx="23">
                  <c:v>3085.88</c:v>
                </c:pt>
                <c:pt idx="24">
                  <c:v>1455.72</c:v>
                </c:pt>
                <c:pt idx="25">
                  <c:v>2279.7599999999998</c:v>
                </c:pt>
                <c:pt idx="26">
                  <c:v>939.06000000000006</c:v>
                </c:pt>
                <c:pt idx="27">
                  <c:v>7799.43</c:v>
                </c:pt>
                <c:pt idx="28">
                  <c:v>1346.25</c:v>
                </c:pt>
                <c:pt idx="29">
                  <c:v>2366.4</c:v>
                </c:pt>
                <c:pt idx="30">
                  <c:v>12493.59</c:v>
                </c:pt>
                <c:pt idx="31">
                  <c:v>10401.439999999999</c:v>
                </c:pt>
                <c:pt idx="32">
                  <c:v>14848.65</c:v>
                </c:pt>
                <c:pt idx="33">
                  <c:v>2438.7799999999997</c:v>
                </c:pt>
                <c:pt idx="35">
                  <c:v>229.5</c:v>
                </c:pt>
                <c:pt idx="37">
                  <c:v>909.86999999999989</c:v>
                </c:pt>
                <c:pt idx="38">
                  <c:v>3003.9400000000005</c:v>
                </c:pt>
                <c:pt idx="39">
                  <c:v>798.48</c:v>
                </c:pt>
                <c:pt idx="40">
                  <c:v>439.91999999999996</c:v>
                </c:pt>
                <c:pt idx="41">
                  <c:v>302.48</c:v>
                </c:pt>
                <c:pt idx="43">
                  <c:v>1179.7200000000003</c:v>
                </c:pt>
                <c:pt idx="44">
                  <c:v>599.88</c:v>
                </c:pt>
                <c:pt idx="45">
                  <c:v>1443.81</c:v>
                </c:pt>
              </c:numCache>
            </c:numRef>
          </c:val>
          <c:extLst>
            <c:ext xmlns:c16="http://schemas.microsoft.com/office/drawing/2014/chart" uri="{C3380CC4-5D6E-409C-BE32-E72D297353CC}">
              <c16:uniqueId val="{00000003-5E77-4D50-9399-44DDB0F24C9F}"/>
            </c:ext>
          </c:extLst>
        </c:ser>
        <c:dLbls>
          <c:showLegendKey val="0"/>
          <c:showVal val="0"/>
          <c:showCatName val="0"/>
          <c:showSerName val="0"/>
          <c:showPercent val="0"/>
          <c:showBubbleSize val="0"/>
        </c:dLbls>
        <c:axId val="139409488"/>
        <c:axId val="139400848"/>
      </c:areaChart>
      <c:valAx>
        <c:axId val="139400848"/>
        <c:scaling>
          <c:orientation val="minMax"/>
        </c:scaling>
        <c:delete val="1"/>
        <c:axPos val="r"/>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39409488"/>
        <c:crosses val="max"/>
        <c:crossBetween val="between"/>
      </c:valAx>
      <c:catAx>
        <c:axId val="139409488"/>
        <c:scaling>
          <c:orientation val="minMax"/>
        </c:scaling>
        <c:delete val="1"/>
        <c:axPos val="b"/>
        <c:numFmt formatCode="General" sourceLinked="1"/>
        <c:majorTickMark val="out"/>
        <c:minorTickMark val="none"/>
        <c:tickLblPos val="nextTo"/>
        <c:crossAx val="1394008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parfum.xlsx]last updated Year_revenue!PivotTable7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'last updated Year_revenue'!$B$4:$B$8</c:f>
              <c:strCache>
                <c:ptCount val="1"/>
                <c:pt idx="0">
                  <c:v>Hong Kong - 2024</c:v>
                </c:pt>
              </c:strCache>
            </c:strRef>
          </c:tx>
          <c:spPr>
            <a:solidFill>
              <a:schemeClr val="accent1"/>
            </a:solidFill>
            <a:ln>
              <a:noFill/>
            </a:ln>
            <a:effectLst/>
          </c:spPr>
          <c:invertIfNegative val="0"/>
          <c:cat>
            <c:strRef>
              <c:f>'last updated Year_revenue'!$A$9:$A$55</c:f>
              <c:strCache>
                <c:ptCount val="46"/>
                <c:pt idx="0">
                  <c:v>Abercrombie &amp; Fitch</c:v>
                </c:pt>
                <c:pt idx="1">
                  <c:v>Al Wataniah</c:v>
                </c:pt>
                <c:pt idx="2">
                  <c:v>Armaf</c:v>
                </c:pt>
                <c:pt idx="3">
                  <c:v>As Picture Show</c:v>
                </c:pt>
                <c:pt idx="4">
                  <c:v>As Shown</c:v>
                </c:pt>
                <c:pt idx="5">
                  <c:v>Avon</c:v>
                </c:pt>
                <c:pt idx="6">
                  <c:v>Bath &amp; BodUnknown Works</c:v>
                </c:pt>
                <c:pt idx="7">
                  <c:v>BUnknown Al Hambra</c:v>
                </c:pt>
                <c:pt idx="8">
                  <c:v>Calvin Klein</c:v>
                </c:pt>
                <c:pt idx="9">
                  <c:v>Carolina Herrera</c:v>
                </c:pt>
                <c:pt idx="10">
                  <c:v>Chanel</c:v>
                </c:pt>
                <c:pt idx="11">
                  <c:v>Claude Marsal</c:v>
                </c:pt>
                <c:pt idx="12">
                  <c:v>Creed</c:v>
                </c:pt>
                <c:pt idx="13">
                  <c:v>Dana</c:v>
                </c:pt>
                <c:pt idx="14">
                  <c:v>Diesel</c:v>
                </c:pt>
                <c:pt idx="15">
                  <c:v>Dior</c:v>
                </c:pt>
                <c:pt idx="16">
                  <c:v>Dolce &amp; Gabbana</c:v>
                </c:pt>
                <c:pt idx="17">
                  <c:v>Dolce&amp;Gabbana</c:v>
                </c:pt>
                <c:pt idx="18">
                  <c:v>Dossier</c:v>
                </c:pt>
                <c:pt idx="19">
                  <c:v>Eau de Cologne</c:v>
                </c:pt>
                <c:pt idx="20">
                  <c:v>Ed HardUnknown</c:v>
                </c:pt>
                <c:pt idx="21">
                  <c:v>Estee Lauder</c:v>
                </c:pt>
                <c:pt idx="22">
                  <c:v>Fc</c:v>
                </c:pt>
                <c:pt idx="23">
                  <c:v>Fragrance Couture</c:v>
                </c:pt>
                <c:pt idx="24">
                  <c:v>Giorgio Armani</c:v>
                </c:pt>
                <c:pt idx="25">
                  <c:v>Guerlain</c:v>
                </c:pt>
                <c:pt idx="26">
                  <c:v>Have A Scent</c:v>
                </c:pt>
                <c:pt idx="27">
                  <c:v>Hermès</c:v>
                </c:pt>
                <c:pt idx="28">
                  <c:v>Hugo Boss</c:v>
                </c:pt>
                <c:pt idx="29">
                  <c:v>Jil Sander</c:v>
                </c:pt>
                <c:pt idx="30">
                  <c:v>Lalique</c:v>
                </c:pt>
                <c:pt idx="31">
                  <c:v>Lapidus</c:v>
                </c:pt>
                <c:pt idx="32">
                  <c:v>Louis Vuitton</c:v>
                </c:pt>
                <c:pt idx="33">
                  <c:v>Macarena</c:v>
                </c:pt>
                <c:pt idx="34">
                  <c:v>Maison Martin Margiela</c:v>
                </c:pt>
                <c:pt idx="35">
                  <c:v>Mancera</c:v>
                </c:pt>
                <c:pt idx="36">
                  <c:v>Mandarin Duck</c:v>
                </c:pt>
                <c:pt idx="37">
                  <c:v>Paco Rabanne</c:v>
                </c:pt>
                <c:pt idx="38">
                  <c:v>Polo Ralph Lauren</c:v>
                </c:pt>
                <c:pt idx="39">
                  <c:v>Prada</c:v>
                </c:pt>
                <c:pt idx="40">
                  <c:v>Ralph Lauren</c:v>
                </c:pt>
                <c:pt idx="41">
                  <c:v>Secertmu</c:v>
                </c:pt>
                <c:pt idx="42">
                  <c:v>The Baron</c:v>
                </c:pt>
                <c:pt idx="43">
                  <c:v>Unbranded</c:v>
                </c:pt>
                <c:pt idx="44">
                  <c:v>Unknownsl</c:v>
                </c:pt>
                <c:pt idx="45">
                  <c:v>Unknownves Saint Laurent</c:v>
                </c:pt>
              </c:strCache>
            </c:strRef>
          </c:cat>
          <c:val>
            <c:numRef>
              <c:f>'last updated Year_revenue'!$B$9:$B$55</c:f>
              <c:numCache>
                <c:formatCode>General</c:formatCode>
                <c:ptCount val="46"/>
                <c:pt idx="4">
                  <c:v>769.89</c:v>
                </c:pt>
                <c:pt idx="34">
                  <c:v>439.89000000000004</c:v>
                </c:pt>
              </c:numCache>
            </c:numRef>
          </c:val>
          <c:extLst>
            <c:ext xmlns:c16="http://schemas.microsoft.com/office/drawing/2014/chart" uri="{C3380CC4-5D6E-409C-BE32-E72D297353CC}">
              <c16:uniqueId val="{00000000-9CEE-43FE-9C22-6A38F7C11976}"/>
            </c:ext>
          </c:extLst>
        </c:ser>
        <c:ser>
          <c:idx val="1"/>
          <c:order val="1"/>
          <c:tx>
            <c:strRef>
              <c:f>'last updated Year_revenue'!$C$4:$C$8</c:f>
              <c:strCache>
                <c:ptCount val="1"/>
                <c:pt idx="0">
                  <c:v>United States - 2024</c:v>
                </c:pt>
              </c:strCache>
            </c:strRef>
          </c:tx>
          <c:spPr>
            <a:solidFill>
              <a:schemeClr val="accent2"/>
            </a:solidFill>
            <a:ln>
              <a:noFill/>
            </a:ln>
            <a:effectLst/>
          </c:spPr>
          <c:invertIfNegative val="0"/>
          <c:cat>
            <c:strRef>
              <c:f>'last updated Year_revenue'!$A$9:$A$55</c:f>
              <c:strCache>
                <c:ptCount val="46"/>
                <c:pt idx="0">
                  <c:v>Abercrombie &amp; Fitch</c:v>
                </c:pt>
                <c:pt idx="1">
                  <c:v>Al Wataniah</c:v>
                </c:pt>
                <c:pt idx="2">
                  <c:v>Armaf</c:v>
                </c:pt>
                <c:pt idx="3">
                  <c:v>As Picture Show</c:v>
                </c:pt>
                <c:pt idx="4">
                  <c:v>As Shown</c:v>
                </c:pt>
                <c:pt idx="5">
                  <c:v>Avon</c:v>
                </c:pt>
                <c:pt idx="6">
                  <c:v>Bath &amp; BodUnknown Works</c:v>
                </c:pt>
                <c:pt idx="7">
                  <c:v>BUnknown Al Hambra</c:v>
                </c:pt>
                <c:pt idx="8">
                  <c:v>Calvin Klein</c:v>
                </c:pt>
                <c:pt idx="9">
                  <c:v>Carolina Herrera</c:v>
                </c:pt>
                <c:pt idx="10">
                  <c:v>Chanel</c:v>
                </c:pt>
                <c:pt idx="11">
                  <c:v>Claude Marsal</c:v>
                </c:pt>
                <c:pt idx="12">
                  <c:v>Creed</c:v>
                </c:pt>
                <c:pt idx="13">
                  <c:v>Dana</c:v>
                </c:pt>
                <c:pt idx="14">
                  <c:v>Diesel</c:v>
                </c:pt>
                <c:pt idx="15">
                  <c:v>Dior</c:v>
                </c:pt>
                <c:pt idx="16">
                  <c:v>Dolce &amp; Gabbana</c:v>
                </c:pt>
                <c:pt idx="17">
                  <c:v>Dolce&amp;Gabbana</c:v>
                </c:pt>
                <c:pt idx="18">
                  <c:v>Dossier</c:v>
                </c:pt>
                <c:pt idx="19">
                  <c:v>Eau de Cologne</c:v>
                </c:pt>
                <c:pt idx="20">
                  <c:v>Ed HardUnknown</c:v>
                </c:pt>
                <c:pt idx="21">
                  <c:v>Estee Lauder</c:v>
                </c:pt>
                <c:pt idx="22">
                  <c:v>Fc</c:v>
                </c:pt>
                <c:pt idx="23">
                  <c:v>Fragrance Couture</c:v>
                </c:pt>
                <c:pt idx="24">
                  <c:v>Giorgio Armani</c:v>
                </c:pt>
                <c:pt idx="25">
                  <c:v>Guerlain</c:v>
                </c:pt>
                <c:pt idx="26">
                  <c:v>Have A Scent</c:v>
                </c:pt>
                <c:pt idx="27">
                  <c:v>Hermès</c:v>
                </c:pt>
                <c:pt idx="28">
                  <c:v>Hugo Boss</c:v>
                </c:pt>
                <c:pt idx="29">
                  <c:v>Jil Sander</c:v>
                </c:pt>
                <c:pt idx="30">
                  <c:v>Lalique</c:v>
                </c:pt>
                <c:pt idx="31">
                  <c:v>Lapidus</c:v>
                </c:pt>
                <c:pt idx="32">
                  <c:v>Louis Vuitton</c:v>
                </c:pt>
                <c:pt idx="33">
                  <c:v>Macarena</c:v>
                </c:pt>
                <c:pt idx="34">
                  <c:v>Maison Martin Margiela</c:v>
                </c:pt>
                <c:pt idx="35">
                  <c:v>Mancera</c:v>
                </c:pt>
                <c:pt idx="36">
                  <c:v>Mandarin Duck</c:v>
                </c:pt>
                <c:pt idx="37">
                  <c:v>Paco Rabanne</c:v>
                </c:pt>
                <c:pt idx="38">
                  <c:v>Polo Ralph Lauren</c:v>
                </c:pt>
                <c:pt idx="39">
                  <c:v>Prada</c:v>
                </c:pt>
                <c:pt idx="40">
                  <c:v>Ralph Lauren</c:v>
                </c:pt>
                <c:pt idx="41">
                  <c:v>Secertmu</c:v>
                </c:pt>
                <c:pt idx="42">
                  <c:v>The Baron</c:v>
                </c:pt>
                <c:pt idx="43">
                  <c:v>Unbranded</c:v>
                </c:pt>
                <c:pt idx="44">
                  <c:v>Unknownsl</c:v>
                </c:pt>
                <c:pt idx="45">
                  <c:v>Unknownves Saint Laurent</c:v>
                </c:pt>
              </c:strCache>
            </c:strRef>
          </c:cat>
          <c:val>
            <c:numRef>
              <c:f>'last updated Year_revenue'!$C$9:$C$55</c:f>
              <c:numCache>
                <c:formatCode>General</c:formatCode>
                <c:ptCount val="46"/>
                <c:pt idx="0">
                  <c:v>19046.190000000002</c:v>
                </c:pt>
                <c:pt idx="1">
                  <c:v>1260</c:v>
                </c:pt>
                <c:pt idx="2">
                  <c:v>850</c:v>
                </c:pt>
                <c:pt idx="3">
                  <c:v>3079.56</c:v>
                </c:pt>
                <c:pt idx="5">
                  <c:v>1905.13</c:v>
                </c:pt>
                <c:pt idx="6">
                  <c:v>2098.9499999999998</c:v>
                </c:pt>
                <c:pt idx="7">
                  <c:v>2002.9999999999998</c:v>
                </c:pt>
                <c:pt idx="8">
                  <c:v>4148.55</c:v>
                </c:pt>
                <c:pt idx="9">
                  <c:v>1121.83</c:v>
                </c:pt>
                <c:pt idx="10">
                  <c:v>6292</c:v>
                </c:pt>
                <c:pt idx="11">
                  <c:v>1620</c:v>
                </c:pt>
                <c:pt idx="12">
                  <c:v>478.5</c:v>
                </c:pt>
                <c:pt idx="13">
                  <c:v>9698.5300000000007</c:v>
                </c:pt>
                <c:pt idx="14">
                  <c:v>475.71999999999997</c:v>
                </c:pt>
                <c:pt idx="15">
                  <c:v>1903.7199999999998</c:v>
                </c:pt>
                <c:pt idx="16">
                  <c:v>8584.5</c:v>
                </c:pt>
                <c:pt idx="17">
                  <c:v>701.91</c:v>
                </c:pt>
                <c:pt idx="18">
                  <c:v>320</c:v>
                </c:pt>
                <c:pt idx="20">
                  <c:v>573.30000000000007</c:v>
                </c:pt>
                <c:pt idx="21">
                  <c:v>419.76</c:v>
                </c:pt>
                <c:pt idx="22">
                  <c:v>1749.3</c:v>
                </c:pt>
                <c:pt idx="23">
                  <c:v>3085.88</c:v>
                </c:pt>
                <c:pt idx="24">
                  <c:v>1455.72</c:v>
                </c:pt>
                <c:pt idx="25">
                  <c:v>2279.7599999999998</c:v>
                </c:pt>
                <c:pt idx="26">
                  <c:v>939.06000000000006</c:v>
                </c:pt>
                <c:pt idx="27">
                  <c:v>7799.43</c:v>
                </c:pt>
                <c:pt idx="28">
                  <c:v>1346.25</c:v>
                </c:pt>
                <c:pt idx="29">
                  <c:v>2366.4</c:v>
                </c:pt>
                <c:pt idx="30">
                  <c:v>12493.59</c:v>
                </c:pt>
                <c:pt idx="31">
                  <c:v>10401.439999999999</c:v>
                </c:pt>
                <c:pt idx="32">
                  <c:v>14848.65</c:v>
                </c:pt>
                <c:pt idx="33">
                  <c:v>2438.7799999999997</c:v>
                </c:pt>
                <c:pt idx="35">
                  <c:v>229.5</c:v>
                </c:pt>
                <c:pt idx="37">
                  <c:v>909.86999999999989</c:v>
                </c:pt>
                <c:pt idx="38">
                  <c:v>3003.9400000000005</c:v>
                </c:pt>
                <c:pt idx="39">
                  <c:v>798.48</c:v>
                </c:pt>
                <c:pt idx="40">
                  <c:v>439.91999999999996</c:v>
                </c:pt>
                <c:pt idx="41">
                  <c:v>302.48</c:v>
                </c:pt>
                <c:pt idx="43">
                  <c:v>1179.7200000000003</c:v>
                </c:pt>
                <c:pt idx="44">
                  <c:v>599.88</c:v>
                </c:pt>
                <c:pt idx="45">
                  <c:v>1443.81</c:v>
                </c:pt>
              </c:numCache>
            </c:numRef>
          </c:val>
          <c:extLst>
            <c:ext xmlns:c16="http://schemas.microsoft.com/office/drawing/2014/chart" uri="{C3380CC4-5D6E-409C-BE32-E72D297353CC}">
              <c16:uniqueId val="{00000001-9CEE-43FE-9C22-6A38F7C11976}"/>
            </c:ext>
          </c:extLst>
        </c:ser>
        <c:ser>
          <c:idx val="2"/>
          <c:order val="2"/>
          <c:tx>
            <c:strRef>
              <c:f>'last updated Year_revenue'!$D$4:$D$8</c:f>
              <c:strCache>
                <c:ptCount val="1"/>
                <c:pt idx="0">
                  <c:v>United States - 2023</c:v>
                </c:pt>
              </c:strCache>
            </c:strRef>
          </c:tx>
          <c:spPr>
            <a:solidFill>
              <a:schemeClr val="accent3"/>
            </a:solidFill>
            <a:ln>
              <a:noFill/>
            </a:ln>
            <a:effectLst/>
          </c:spPr>
          <c:invertIfNegative val="0"/>
          <c:cat>
            <c:strRef>
              <c:f>'last updated Year_revenue'!$A$9:$A$55</c:f>
              <c:strCache>
                <c:ptCount val="46"/>
                <c:pt idx="0">
                  <c:v>Abercrombie &amp; Fitch</c:v>
                </c:pt>
                <c:pt idx="1">
                  <c:v>Al Wataniah</c:v>
                </c:pt>
                <c:pt idx="2">
                  <c:v>Armaf</c:v>
                </c:pt>
                <c:pt idx="3">
                  <c:v>As Picture Show</c:v>
                </c:pt>
                <c:pt idx="4">
                  <c:v>As Shown</c:v>
                </c:pt>
                <c:pt idx="5">
                  <c:v>Avon</c:v>
                </c:pt>
                <c:pt idx="6">
                  <c:v>Bath &amp; BodUnknown Works</c:v>
                </c:pt>
                <c:pt idx="7">
                  <c:v>BUnknown Al Hambra</c:v>
                </c:pt>
                <c:pt idx="8">
                  <c:v>Calvin Klein</c:v>
                </c:pt>
                <c:pt idx="9">
                  <c:v>Carolina Herrera</c:v>
                </c:pt>
                <c:pt idx="10">
                  <c:v>Chanel</c:v>
                </c:pt>
                <c:pt idx="11">
                  <c:v>Claude Marsal</c:v>
                </c:pt>
                <c:pt idx="12">
                  <c:v>Creed</c:v>
                </c:pt>
                <c:pt idx="13">
                  <c:v>Dana</c:v>
                </c:pt>
                <c:pt idx="14">
                  <c:v>Diesel</c:v>
                </c:pt>
                <c:pt idx="15">
                  <c:v>Dior</c:v>
                </c:pt>
                <c:pt idx="16">
                  <c:v>Dolce &amp; Gabbana</c:v>
                </c:pt>
                <c:pt idx="17">
                  <c:v>Dolce&amp;Gabbana</c:v>
                </c:pt>
                <c:pt idx="18">
                  <c:v>Dossier</c:v>
                </c:pt>
                <c:pt idx="19">
                  <c:v>Eau de Cologne</c:v>
                </c:pt>
                <c:pt idx="20">
                  <c:v>Ed HardUnknown</c:v>
                </c:pt>
                <c:pt idx="21">
                  <c:v>Estee Lauder</c:v>
                </c:pt>
                <c:pt idx="22">
                  <c:v>Fc</c:v>
                </c:pt>
                <c:pt idx="23">
                  <c:v>Fragrance Couture</c:v>
                </c:pt>
                <c:pt idx="24">
                  <c:v>Giorgio Armani</c:v>
                </c:pt>
                <c:pt idx="25">
                  <c:v>Guerlain</c:v>
                </c:pt>
                <c:pt idx="26">
                  <c:v>Have A Scent</c:v>
                </c:pt>
                <c:pt idx="27">
                  <c:v>Hermès</c:v>
                </c:pt>
                <c:pt idx="28">
                  <c:v>Hugo Boss</c:v>
                </c:pt>
                <c:pt idx="29">
                  <c:v>Jil Sander</c:v>
                </c:pt>
                <c:pt idx="30">
                  <c:v>Lalique</c:v>
                </c:pt>
                <c:pt idx="31">
                  <c:v>Lapidus</c:v>
                </c:pt>
                <c:pt idx="32">
                  <c:v>Louis Vuitton</c:v>
                </c:pt>
                <c:pt idx="33">
                  <c:v>Macarena</c:v>
                </c:pt>
                <c:pt idx="34">
                  <c:v>Maison Martin Margiela</c:v>
                </c:pt>
                <c:pt idx="35">
                  <c:v>Mancera</c:v>
                </c:pt>
                <c:pt idx="36">
                  <c:v>Mandarin Duck</c:v>
                </c:pt>
                <c:pt idx="37">
                  <c:v>Paco Rabanne</c:v>
                </c:pt>
                <c:pt idx="38">
                  <c:v>Polo Ralph Lauren</c:v>
                </c:pt>
                <c:pt idx="39">
                  <c:v>Prada</c:v>
                </c:pt>
                <c:pt idx="40">
                  <c:v>Ralph Lauren</c:v>
                </c:pt>
                <c:pt idx="41">
                  <c:v>Secertmu</c:v>
                </c:pt>
                <c:pt idx="42">
                  <c:v>The Baron</c:v>
                </c:pt>
                <c:pt idx="43">
                  <c:v>Unbranded</c:v>
                </c:pt>
                <c:pt idx="44">
                  <c:v>Unknownsl</c:v>
                </c:pt>
                <c:pt idx="45">
                  <c:v>Unknownves Saint Laurent</c:v>
                </c:pt>
              </c:strCache>
            </c:strRef>
          </c:cat>
          <c:val>
            <c:numRef>
              <c:f>'last updated Year_revenue'!$D$9:$D$55</c:f>
              <c:numCache>
                <c:formatCode>General</c:formatCode>
                <c:ptCount val="46"/>
                <c:pt idx="19">
                  <c:v>6586.9</c:v>
                </c:pt>
                <c:pt idx="42">
                  <c:v>34.99</c:v>
                </c:pt>
                <c:pt idx="45">
                  <c:v>1169.55</c:v>
                </c:pt>
              </c:numCache>
            </c:numRef>
          </c:val>
          <c:extLst>
            <c:ext xmlns:c16="http://schemas.microsoft.com/office/drawing/2014/chart" uri="{C3380CC4-5D6E-409C-BE32-E72D297353CC}">
              <c16:uniqueId val="{00000002-9CEE-43FE-9C22-6A38F7C11976}"/>
            </c:ext>
          </c:extLst>
        </c:ser>
        <c:ser>
          <c:idx val="3"/>
          <c:order val="3"/>
          <c:tx>
            <c:strRef>
              <c:f>'last updated Year_revenue'!$E$4:$E$8</c:f>
              <c:strCache>
                <c:ptCount val="1"/>
                <c:pt idx="0">
                  <c:v>United States - 2022</c:v>
                </c:pt>
              </c:strCache>
            </c:strRef>
          </c:tx>
          <c:spPr>
            <a:solidFill>
              <a:schemeClr val="accent4"/>
            </a:solidFill>
            <a:ln>
              <a:noFill/>
            </a:ln>
            <a:effectLst/>
          </c:spPr>
          <c:invertIfNegative val="0"/>
          <c:cat>
            <c:strRef>
              <c:f>'last updated Year_revenue'!$A$9:$A$55</c:f>
              <c:strCache>
                <c:ptCount val="46"/>
                <c:pt idx="0">
                  <c:v>Abercrombie &amp; Fitch</c:v>
                </c:pt>
                <c:pt idx="1">
                  <c:v>Al Wataniah</c:v>
                </c:pt>
                <c:pt idx="2">
                  <c:v>Armaf</c:v>
                </c:pt>
                <c:pt idx="3">
                  <c:v>As Picture Show</c:v>
                </c:pt>
                <c:pt idx="4">
                  <c:v>As Shown</c:v>
                </c:pt>
                <c:pt idx="5">
                  <c:v>Avon</c:v>
                </c:pt>
                <c:pt idx="6">
                  <c:v>Bath &amp; BodUnknown Works</c:v>
                </c:pt>
                <c:pt idx="7">
                  <c:v>BUnknown Al Hambra</c:v>
                </c:pt>
                <c:pt idx="8">
                  <c:v>Calvin Klein</c:v>
                </c:pt>
                <c:pt idx="9">
                  <c:v>Carolina Herrera</c:v>
                </c:pt>
                <c:pt idx="10">
                  <c:v>Chanel</c:v>
                </c:pt>
                <c:pt idx="11">
                  <c:v>Claude Marsal</c:v>
                </c:pt>
                <c:pt idx="12">
                  <c:v>Creed</c:v>
                </c:pt>
                <c:pt idx="13">
                  <c:v>Dana</c:v>
                </c:pt>
                <c:pt idx="14">
                  <c:v>Diesel</c:v>
                </c:pt>
                <c:pt idx="15">
                  <c:v>Dior</c:v>
                </c:pt>
                <c:pt idx="16">
                  <c:v>Dolce &amp; Gabbana</c:v>
                </c:pt>
                <c:pt idx="17">
                  <c:v>Dolce&amp;Gabbana</c:v>
                </c:pt>
                <c:pt idx="18">
                  <c:v>Dossier</c:v>
                </c:pt>
                <c:pt idx="19">
                  <c:v>Eau de Cologne</c:v>
                </c:pt>
                <c:pt idx="20">
                  <c:v>Ed HardUnknown</c:v>
                </c:pt>
                <c:pt idx="21">
                  <c:v>Estee Lauder</c:v>
                </c:pt>
                <c:pt idx="22">
                  <c:v>Fc</c:v>
                </c:pt>
                <c:pt idx="23">
                  <c:v>Fragrance Couture</c:v>
                </c:pt>
                <c:pt idx="24">
                  <c:v>Giorgio Armani</c:v>
                </c:pt>
                <c:pt idx="25">
                  <c:v>Guerlain</c:v>
                </c:pt>
                <c:pt idx="26">
                  <c:v>Have A Scent</c:v>
                </c:pt>
                <c:pt idx="27">
                  <c:v>Hermès</c:v>
                </c:pt>
                <c:pt idx="28">
                  <c:v>Hugo Boss</c:v>
                </c:pt>
                <c:pt idx="29">
                  <c:v>Jil Sander</c:v>
                </c:pt>
                <c:pt idx="30">
                  <c:v>Lalique</c:v>
                </c:pt>
                <c:pt idx="31">
                  <c:v>Lapidus</c:v>
                </c:pt>
                <c:pt idx="32">
                  <c:v>Louis Vuitton</c:v>
                </c:pt>
                <c:pt idx="33">
                  <c:v>Macarena</c:v>
                </c:pt>
                <c:pt idx="34">
                  <c:v>Maison Martin Margiela</c:v>
                </c:pt>
                <c:pt idx="35">
                  <c:v>Mancera</c:v>
                </c:pt>
                <c:pt idx="36">
                  <c:v>Mandarin Duck</c:v>
                </c:pt>
                <c:pt idx="37">
                  <c:v>Paco Rabanne</c:v>
                </c:pt>
                <c:pt idx="38">
                  <c:v>Polo Ralph Lauren</c:v>
                </c:pt>
                <c:pt idx="39">
                  <c:v>Prada</c:v>
                </c:pt>
                <c:pt idx="40">
                  <c:v>Ralph Lauren</c:v>
                </c:pt>
                <c:pt idx="41">
                  <c:v>Secertmu</c:v>
                </c:pt>
                <c:pt idx="42">
                  <c:v>The Baron</c:v>
                </c:pt>
                <c:pt idx="43">
                  <c:v>Unbranded</c:v>
                </c:pt>
                <c:pt idx="44">
                  <c:v>Unknownsl</c:v>
                </c:pt>
                <c:pt idx="45">
                  <c:v>Unknownves Saint Laurent</c:v>
                </c:pt>
              </c:strCache>
            </c:strRef>
          </c:cat>
          <c:val>
            <c:numRef>
              <c:f>'last updated Year_revenue'!$E$9:$E$55</c:f>
              <c:numCache>
                <c:formatCode>General</c:formatCode>
                <c:ptCount val="46"/>
                <c:pt idx="36">
                  <c:v>2099.25</c:v>
                </c:pt>
              </c:numCache>
            </c:numRef>
          </c:val>
          <c:extLst>
            <c:ext xmlns:c16="http://schemas.microsoft.com/office/drawing/2014/chart" uri="{C3380CC4-5D6E-409C-BE32-E72D297353CC}">
              <c16:uniqueId val="{00000003-9CEE-43FE-9C22-6A38F7C11976}"/>
            </c:ext>
          </c:extLst>
        </c:ser>
        <c:dLbls>
          <c:showLegendKey val="0"/>
          <c:showVal val="0"/>
          <c:showCatName val="0"/>
          <c:showSerName val="0"/>
          <c:showPercent val="0"/>
          <c:showBubbleSize val="0"/>
        </c:dLbls>
        <c:gapWidth val="150"/>
        <c:overlap val="100"/>
        <c:axId val="1379379871"/>
        <c:axId val="1379400991"/>
      </c:barChart>
      <c:catAx>
        <c:axId val="137937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400991"/>
        <c:crosses val="autoZero"/>
        <c:auto val="1"/>
        <c:lblAlgn val="ctr"/>
        <c:lblOffset val="100"/>
        <c:noMultiLvlLbl val="0"/>
      </c:catAx>
      <c:valAx>
        <c:axId val="1379400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37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parfum.xlsx]last updated Year_revenue!PivotTable7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35485673665791778"/>
          <c:w val="0.46987620297462818"/>
          <c:h val="0.50264545056867893"/>
        </c:manualLayout>
      </c:layout>
      <c:areaChart>
        <c:grouping val="stacked"/>
        <c:varyColors val="0"/>
        <c:ser>
          <c:idx val="2"/>
          <c:order val="2"/>
          <c:tx>
            <c:strRef>
              <c:f>'last updated Year_revenue'!$D$4:$D$8</c:f>
              <c:strCache>
                <c:ptCount val="1"/>
                <c:pt idx="0">
                  <c:v>United States - 2023</c:v>
                </c:pt>
              </c:strCache>
            </c:strRef>
          </c:tx>
          <c:spPr>
            <a:solidFill>
              <a:schemeClr val="accent3"/>
            </a:solidFill>
            <a:ln>
              <a:noFill/>
            </a:ln>
            <a:effectLst/>
          </c:spPr>
          <c:cat>
            <c:strRef>
              <c:f>'last updated Year_revenue'!$A$9:$A$55</c:f>
              <c:strCache>
                <c:ptCount val="46"/>
                <c:pt idx="0">
                  <c:v>Abercrombie &amp; Fitch</c:v>
                </c:pt>
                <c:pt idx="1">
                  <c:v>Al Wataniah</c:v>
                </c:pt>
                <c:pt idx="2">
                  <c:v>Armaf</c:v>
                </c:pt>
                <c:pt idx="3">
                  <c:v>As Picture Show</c:v>
                </c:pt>
                <c:pt idx="4">
                  <c:v>As Shown</c:v>
                </c:pt>
                <c:pt idx="5">
                  <c:v>Avon</c:v>
                </c:pt>
                <c:pt idx="6">
                  <c:v>Bath &amp; BodUnknown Works</c:v>
                </c:pt>
                <c:pt idx="7">
                  <c:v>BUnknown Al Hambra</c:v>
                </c:pt>
                <c:pt idx="8">
                  <c:v>Calvin Klein</c:v>
                </c:pt>
                <c:pt idx="9">
                  <c:v>Carolina Herrera</c:v>
                </c:pt>
                <c:pt idx="10">
                  <c:v>Chanel</c:v>
                </c:pt>
                <c:pt idx="11">
                  <c:v>Claude Marsal</c:v>
                </c:pt>
                <c:pt idx="12">
                  <c:v>Creed</c:v>
                </c:pt>
                <c:pt idx="13">
                  <c:v>Dana</c:v>
                </c:pt>
                <c:pt idx="14">
                  <c:v>Diesel</c:v>
                </c:pt>
                <c:pt idx="15">
                  <c:v>Dior</c:v>
                </c:pt>
                <c:pt idx="16">
                  <c:v>Dolce &amp; Gabbana</c:v>
                </c:pt>
                <c:pt idx="17">
                  <c:v>Dolce&amp;Gabbana</c:v>
                </c:pt>
                <c:pt idx="18">
                  <c:v>Dossier</c:v>
                </c:pt>
                <c:pt idx="19">
                  <c:v>Eau de Cologne</c:v>
                </c:pt>
                <c:pt idx="20">
                  <c:v>Ed HardUnknown</c:v>
                </c:pt>
                <c:pt idx="21">
                  <c:v>Estee Lauder</c:v>
                </c:pt>
                <c:pt idx="22">
                  <c:v>Fc</c:v>
                </c:pt>
                <c:pt idx="23">
                  <c:v>Fragrance Couture</c:v>
                </c:pt>
                <c:pt idx="24">
                  <c:v>Giorgio Armani</c:v>
                </c:pt>
                <c:pt idx="25">
                  <c:v>Guerlain</c:v>
                </c:pt>
                <c:pt idx="26">
                  <c:v>Have A Scent</c:v>
                </c:pt>
                <c:pt idx="27">
                  <c:v>Hermès</c:v>
                </c:pt>
                <c:pt idx="28">
                  <c:v>Hugo Boss</c:v>
                </c:pt>
                <c:pt idx="29">
                  <c:v>Jil Sander</c:v>
                </c:pt>
                <c:pt idx="30">
                  <c:v>Lalique</c:v>
                </c:pt>
                <c:pt idx="31">
                  <c:v>Lapidus</c:v>
                </c:pt>
                <c:pt idx="32">
                  <c:v>Louis Vuitton</c:v>
                </c:pt>
                <c:pt idx="33">
                  <c:v>Macarena</c:v>
                </c:pt>
                <c:pt idx="34">
                  <c:v>Maison Martin Margiela</c:v>
                </c:pt>
                <c:pt idx="35">
                  <c:v>Mancera</c:v>
                </c:pt>
                <c:pt idx="36">
                  <c:v>Mandarin Duck</c:v>
                </c:pt>
                <c:pt idx="37">
                  <c:v>Paco Rabanne</c:v>
                </c:pt>
                <c:pt idx="38">
                  <c:v>Polo Ralph Lauren</c:v>
                </c:pt>
                <c:pt idx="39">
                  <c:v>Prada</c:v>
                </c:pt>
                <c:pt idx="40">
                  <c:v>Ralph Lauren</c:v>
                </c:pt>
                <c:pt idx="41">
                  <c:v>Secertmu</c:v>
                </c:pt>
                <c:pt idx="42">
                  <c:v>The Baron</c:v>
                </c:pt>
                <c:pt idx="43">
                  <c:v>Unbranded</c:v>
                </c:pt>
                <c:pt idx="44">
                  <c:v>Unknownsl</c:v>
                </c:pt>
                <c:pt idx="45">
                  <c:v>Unknownves Saint Laurent</c:v>
                </c:pt>
              </c:strCache>
            </c:strRef>
          </c:cat>
          <c:val>
            <c:numRef>
              <c:f>'last updated Year_revenue'!$D$9:$D$55</c:f>
              <c:numCache>
                <c:formatCode>General</c:formatCode>
                <c:ptCount val="46"/>
                <c:pt idx="19">
                  <c:v>6586.9</c:v>
                </c:pt>
                <c:pt idx="42">
                  <c:v>34.99</c:v>
                </c:pt>
                <c:pt idx="45">
                  <c:v>1169.55</c:v>
                </c:pt>
              </c:numCache>
            </c:numRef>
          </c:val>
          <c:extLst>
            <c:ext xmlns:c16="http://schemas.microsoft.com/office/drawing/2014/chart" uri="{C3380CC4-5D6E-409C-BE32-E72D297353CC}">
              <c16:uniqueId val="{00000002-64B5-4A11-B67C-4F5715B33896}"/>
            </c:ext>
          </c:extLst>
        </c:ser>
        <c:ser>
          <c:idx val="3"/>
          <c:order val="3"/>
          <c:tx>
            <c:strRef>
              <c:f>'last updated Year_revenue'!$E$4:$E$8</c:f>
              <c:strCache>
                <c:ptCount val="1"/>
                <c:pt idx="0">
                  <c:v>United States - 2022</c:v>
                </c:pt>
              </c:strCache>
            </c:strRef>
          </c:tx>
          <c:spPr>
            <a:solidFill>
              <a:schemeClr val="accent4"/>
            </a:solidFill>
            <a:ln>
              <a:noFill/>
            </a:ln>
            <a:effectLst/>
          </c:spPr>
          <c:cat>
            <c:strRef>
              <c:f>'last updated Year_revenue'!$A$9:$A$55</c:f>
              <c:strCache>
                <c:ptCount val="46"/>
                <c:pt idx="0">
                  <c:v>Abercrombie &amp; Fitch</c:v>
                </c:pt>
                <c:pt idx="1">
                  <c:v>Al Wataniah</c:v>
                </c:pt>
                <c:pt idx="2">
                  <c:v>Armaf</c:v>
                </c:pt>
                <c:pt idx="3">
                  <c:v>As Picture Show</c:v>
                </c:pt>
                <c:pt idx="4">
                  <c:v>As Shown</c:v>
                </c:pt>
                <c:pt idx="5">
                  <c:v>Avon</c:v>
                </c:pt>
                <c:pt idx="6">
                  <c:v>Bath &amp; BodUnknown Works</c:v>
                </c:pt>
                <c:pt idx="7">
                  <c:v>BUnknown Al Hambra</c:v>
                </c:pt>
                <c:pt idx="8">
                  <c:v>Calvin Klein</c:v>
                </c:pt>
                <c:pt idx="9">
                  <c:v>Carolina Herrera</c:v>
                </c:pt>
                <c:pt idx="10">
                  <c:v>Chanel</c:v>
                </c:pt>
                <c:pt idx="11">
                  <c:v>Claude Marsal</c:v>
                </c:pt>
                <c:pt idx="12">
                  <c:v>Creed</c:v>
                </c:pt>
                <c:pt idx="13">
                  <c:v>Dana</c:v>
                </c:pt>
                <c:pt idx="14">
                  <c:v>Diesel</c:v>
                </c:pt>
                <c:pt idx="15">
                  <c:v>Dior</c:v>
                </c:pt>
                <c:pt idx="16">
                  <c:v>Dolce &amp; Gabbana</c:v>
                </c:pt>
                <c:pt idx="17">
                  <c:v>Dolce&amp;Gabbana</c:v>
                </c:pt>
                <c:pt idx="18">
                  <c:v>Dossier</c:v>
                </c:pt>
                <c:pt idx="19">
                  <c:v>Eau de Cologne</c:v>
                </c:pt>
                <c:pt idx="20">
                  <c:v>Ed HardUnknown</c:v>
                </c:pt>
                <c:pt idx="21">
                  <c:v>Estee Lauder</c:v>
                </c:pt>
                <c:pt idx="22">
                  <c:v>Fc</c:v>
                </c:pt>
                <c:pt idx="23">
                  <c:v>Fragrance Couture</c:v>
                </c:pt>
                <c:pt idx="24">
                  <c:v>Giorgio Armani</c:v>
                </c:pt>
                <c:pt idx="25">
                  <c:v>Guerlain</c:v>
                </c:pt>
                <c:pt idx="26">
                  <c:v>Have A Scent</c:v>
                </c:pt>
                <c:pt idx="27">
                  <c:v>Hermès</c:v>
                </c:pt>
                <c:pt idx="28">
                  <c:v>Hugo Boss</c:v>
                </c:pt>
                <c:pt idx="29">
                  <c:v>Jil Sander</c:v>
                </c:pt>
                <c:pt idx="30">
                  <c:v>Lalique</c:v>
                </c:pt>
                <c:pt idx="31">
                  <c:v>Lapidus</c:v>
                </c:pt>
                <c:pt idx="32">
                  <c:v>Louis Vuitton</c:v>
                </c:pt>
                <c:pt idx="33">
                  <c:v>Macarena</c:v>
                </c:pt>
                <c:pt idx="34">
                  <c:v>Maison Martin Margiela</c:v>
                </c:pt>
                <c:pt idx="35">
                  <c:v>Mancera</c:v>
                </c:pt>
                <c:pt idx="36">
                  <c:v>Mandarin Duck</c:v>
                </c:pt>
                <c:pt idx="37">
                  <c:v>Paco Rabanne</c:v>
                </c:pt>
                <c:pt idx="38">
                  <c:v>Polo Ralph Lauren</c:v>
                </c:pt>
                <c:pt idx="39">
                  <c:v>Prada</c:v>
                </c:pt>
                <c:pt idx="40">
                  <c:v>Ralph Lauren</c:v>
                </c:pt>
                <c:pt idx="41">
                  <c:v>Secertmu</c:v>
                </c:pt>
                <c:pt idx="42">
                  <c:v>The Baron</c:v>
                </c:pt>
                <c:pt idx="43">
                  <c:v>Unbranded</c:v>
                </c:pt>
                <c:pt idx="44">
                  <c:v>Unknownsl</c:v>
                </c:pt>
                <c:pt idx="45">
                  <c:v>Unknownves Saint Laurent</c:v>
                </c:pt>
              </c:strCache>
            </c:strRef>
          </c:cat>
          <c:val>
            <c:numRef>
              <c:f>'last updated Year_revenue'!$E$9:$E$55</c:f>
              <c:numCache>
                <c:formatCode>General</c:formatCode>
                <c:ptCount val="46"/>
                <c:pt idx="36">
                  <c:v>2099.25</c:v>
                </c:pt>
              </c:numCache>
            </c:numRef>
          </c:val>
          <c:extLst>
            <c:ext xmlns:c16="http://schemas.microsoft.com/office/drawing/2014/chart" uri="{C3380CC4-5D6E-409C-BE32-E72D297353CC}">
              <c16:uniqueId val="{00000003-64B5-4A11-B67C-4F5715B33896}"/>
            </c:ext>
          </c:extLst>
        </c:ser>
        <c:ser>
          <c:idx val="0"/>
          <c:order val="0"/>
          <c:tx>
            <c:strRef>
              <c:f>'last updated Year_revenue'!$B$4:$B$8</c:f>
              <c:strCache>
                <c:ptCount val="1"/>
                <c:pt idx="0">
                  <c:v>Hong Kong - 2024</c:v>
                </c:pt>
              </c:strCache>
            </c:strRef>
          </c:tx>
          <c:spPr>
            <a:solidFill>
              <a:schemeClr val="accent1"/>
            </a:solidFill>
            <a:ln>
              <a:noFill/>
            </a:ln>
            <a:effectLst/>
          </c:spPr>
          <c:cat>
            <c:strRef>
              <c:f>'last updated Year_revenue'!$A$9:$A$55</c:f>
              <c:strCache>
                <c:ptCount val="46"/>
                <c:pt idx="0">
                  <c:v>Abercrombie &amp; Fitch</c:v>
                </c:pt>
                <c:pt idx="1">
                  <c:v>Al Wataniah</c:v>
                </c:pt>
                <c:pt idx="2">
                  <c:v>Armaf</c:v>
                </c:pt>
                <c:pt idx="3">
                  <c:v>As Picture Show</c:v>
                </c:pt>
                <c:pt idx="4">
                  <c:v>As Shown</c:v>
                </c:pt>
                <c:pt idx="5">
                  <c:v>Avon</c:v>
                </c:pt>
                <c:pt idx="6">
                  <c:v>Bath &amp; BodUnknown Works</c:v>
                </c:pt>
                <c:pt idx="7">
                  <c:v>BUnknown Al Hambra</c:v>
                </c:pt>
                <c:pt idx="8">
                  <c:v>Calvin Klein</c:v>
                </c:pt>
                <c:pt idx="9">
                  <c:v>Carolina Herrera</c:v>
                </c:pt>
                <c:pt idx="10">
                  <c:v>Chanel</c:v>
                </c:pt>
                <c:pt idx="11">
                  <c:v>Claude Marsal</c:v>
                </c:pt>
                <c:pt idx="12">
                  <c:v>Creed</c:v>
                </c:pt>
                <c:pt idx="13">
                  <c:v>Dana</c:v>
                </c:pt>
                <c:pt idx="14">
                  <c:v>Diesel</c:v>
                </c:pt>
                <c:pt idx="15">
                  <c:v>Dior</c:v>
                </c:pt>
                <c:pt idx="16">
                  <c:v>Dolce &amp; Gabbana</c:v>
                </c:pt>
                <c:pt idx="17">
                  <c:v>Dolce&amp;Gabbana</c:v>
                </c:pt>
                <c:pt idx="18">
                  <c:v>Dossier</c:v>
                </c:pt>
                <c:pt idx="19">
                  <c:v>Eau de Cologne</c:v>
                </c:pt>
                <c:pt idx="20">
                  <c:v>Ed HardUnknown</c:v>
                </c:pt>
                <c:pt idx="21">
                  <c:v>Estee Lauder</c:v>
                </c:pt>
                <c:pt idx="22">
                  <c:v>Fc</c:v>
                </c:pt>
                <c:pt idx="23">
                  <c:v>Fragrance Couture</c:v>
                </c:pt>
                <c:pt idx="24">
                  <c:v>Giorgio Armani</c:v>
                </c:pt>
                <c:pt idx="25">
                  <c:v>Guerlain</c:v>
                </c:pt>
                <c:pt idx="26">
                  <c:v>Have A Scent</c:v>
                </c:pt>
                <c:pt idx="27">
                  <c:v>Hermès</c:v>
                </c:pt>
                <c:pt idx="28">
                  <c:v>Hugo Boss</c:v>
                </c:pt>
                <c:pt idx="29">
                  <c:v>Jil Sander</c:v>
                </c:pt>
                <c:pt idx="30">
                  <c:v>Lalique</c:v>
                </c:pt>
                <c:pt idx="31">
                  <c:v>Lapidus</c:v>
                </c:pt>
                <c:pt idx="32">
                  <c:v>Louis Vuitton</c:v>
                </c:pt>
                <c:pt idx="33">
                  <c:v>Macarena</c:v>
                </c:pt>
                <c:pt idx="34">
                  <c:v>Maison Martin Margiela</c:v>
                </c:pt>
                <c:pt idx="35">
                  <c:v>Mancera</c:v>
                </c:pt>
                <c:pt idx="36">
                  <c:v>Mandarin Duck</c:v>
                </c:pt>
                <c:pt idx="37">
                  <c:v>Paco Rabanne</c:v>
                </c:pt>
                <c:pt idx="38">
                  <c:v>Polo Ralph Lauren</c:v>
                </c:pt>
                <c:pt idx="39">
                  <c:v>Prada</c:v>
                </c:pt>
                <c:pt idx="40">
                  <c:v>Ralph Lauren</c:v>
                </c:pt>
                <c:pt idx="41">
                  <c:v>Secertmu</c:v>
                </c:pt>
                <c:pt idx="42">
                  <c:v>The Baron</c:v>
                </c:pt>
                <c:pt idx="43">
                  <c:v>Unbranded</c:v>
                </c:pt>
                <c:pt idx="44">
                  <c:v>Unknownsl</c:v>
                </c:pt>
                <c:pt idx="45">
                  <c:v>Unknownves Saint Laurent</c:v>
                </c:pt>
              </c:strCache>
            </c:strRef>
          </c:cat>
          <c:val>
            <c:numRef>
              <c:f>'last updated Year_revenue'!$B$9:$B$55</c:f>
              <c:numCache>
                <c:formatCode>General</c:formatCode>
                <c:ptCount val="46"/>
                <c:pt idx="4">
                  <c:v>769.89</c:v>
                </c:pt>
                <c:pt idx="34">
                  <c:v>439.89000000000004</c:v>
                </c:pt>
              </c:numCache>
            </c:numRef>
          </c:val>
          <c:extLst>
            <c:ext xmlns:c16="http://schemas.microsoft.com/office/drawing/2014/chart" uri="{C3380CC4-5D6E-409C-BE32-E72D297353CC}">
              <c16:uniqueId val="{00000000-64B5-4A11-B67C-4F5715B33896}"/>
            </c:ext>
          </c:extLst>
        </c:ser>
        <c:ser>
          <c:idx val="1"/>
          <c:order val="1"/>
          <c:tx>
            <c:strRef>
              <c:f>'last updated Year_revenue'!$C$4:$C$8</c:f>
              <c:strCache>
                <c:ptCount val="1"/>
                <c:pt idx="0">
                  <c:v>United States - 2024</c:v>
                </c:pt>
              </c:strCache>
            </c:strRef>
          </c:tx>
          <c:spPr>
            <a:solidFill>
              <a:schemeClr val="accent2"/>
            </a:solidFill>
            <a:ln>
              <a:noFill/>
            </a:ln>
            <a:effectLst/>
          </c:spPr>
          <c:cat>
            <c:strRef>
              <c:f>'last updated Year_revenue'!$A$9:$A$55</c:f>
              <c:strCache>
                <c:ptCount val="46"/>
                <c:pt idx="0">
                  <c:v>Abercrombie &amp; Fitch</c:v>
                </c:pt>
                <c:pt idx="1">
                  <c:v>Al Wataniah</c:v>
                </c:pt>
                <c:pt idx="2">
                  <c:v>Armaf</c:v>
                </c:pt>
                <c:pt idx="3">
                  <c:v>As Picture Show</c:v>
                </c:pt>
                <c:pt idx="4">
                  <c:v>As Shown</c:v>
                </c:pt>
                <c:pt idx="5">
                  <c:v>Avon</c:v>
                </c:pt>
                <c:pt idx="6">
                  <c:v>Bath &amp; BodUnknown Works</c:v>
                </c:pt>
                <c:pt idx="7">
                  <c:v>BUnknown Al Hambra</c:v>
                </c:pt>
                <c:pt idx="8">
                  <c:v>Calvin Klein</c:v>
                </c:pt>
                <c:pt idx="9">
                  <c:v>Carolina Herrera</c:v>
                </c:pt>
                <c:pt idx="10">
                  <c:v>Chanel</c:v>
                </c:pt>
                <c:pt idx="11">
                  <c:v>Claude Marsal</c:v>
                </c:pt>
                <c:pt idx="12">
                  <c:v>Creed</c:v>
                </c:pt>
                <c:pt idx="13">
                  <c:v>Dana</c:v>
                </c:pt>
                <c:pt idx="14">
                  <c:v>Diesel</c:v>
                </c:pt>
                <c:pt idx="15">
                  <c:v>Dior</c:v>
                </c:pt>
                <c:pt idx="16">
                  <c:v>Dolce &amp; Gabbana</c:v>
                </c:pt>
                <c:pt idx="17">
                  <c:v>Dolce&amp;Gabbana</c:v>
                </c:pt>
                <c:pt idx="18">
                  <c:v>Dossier</c:v>
                </c:pt>
                <c:pt idx="19">
                  <c:v>Eau de Cologne</c:v>
                </c:pt>
                <c:pt idx="20">
                  <c:v>Ed HardUnknown</c:v>
                </c:pt>
                <c:pt idx="21">
                  <c:v>Estee Lauder</c:v>
                </c:pt>
                <c:pt idx="22">
                  <c:v>Fc</c:v>
                </c:pt>
                <c:pt idx="23">
                  <c:v>Fragrance Couture</c:v>
                </c:pt>
                <c:pt idx="24">
                  <c:v>Giorgio Armani</c:v>
                </c:pt>
                <c:pt idx="25">
                  <c:v>Guerlain</c:v>
                </c:pt>
                <c:pt idx="26">
                  <c:v>Have A Scent</c:v>
                </c:pt>
                <c:pt idx="27">
                  <c:v>Hermès</c:v>
                </c:pt>
                <c:pt idx="28">
                  <c:v>Hugo Boss</c:v>
                </c:pt>
                <c:pt idx="29">
                  <c:v>Jil Sander</c:v>
                </c:pt>
                <c:pt idx="30">
                  <c:v>Lalique</c:v>
                </c:pt>
                <c:pt idx="31">
                  <c:v>Lapidus</c:v>
                </c:pt>
                <c:pt idx="32">
                  <c:v>Louis Vuitton</c:v>
                </c:pt>
                <c:pt idx="33">
                  <c:v>Macarena</c:v>
                </c:pt>
                <c:pt idx="34">
                  <c:v>Maison Martin Margiela</c:v>
                </c:pt>
                <c:pt idx="35">
                  <c:v>Mancera</c:v>
                </c:pt>
                <c:pt idx="36">
                  <c:v>Mandarin Duck</c:v>
                </c:pt>
                <c:pt idx="37">
                  <c:v>Paco Rabanne</c:v>
                </c:pt>
                <c:pt idx="38">
                  <c:v>Polo Ralph Lauren</c:v>
                </c:pt>
                <c:pt idx="39">
                  <c:v>Prada</c:v>
                </c:pt>
                <c:pt idx="40">
                  <c:v>Ralph Lauren</c:v>
                </c:pt>
                <c:pt idx="41">
                  <c:v>Secertmu</c:v>
                </c:pt>
                <c:pt idx="42">
                  <c:v>The Baron</c:v>
                </c:pt>
                <c:pt idx="43">
                  <c:v>Unbranded</c:v>
                </c:pt>
                <c:pt idx="44">
                  <c:v>Unknownsl</c:v>
                </c:pt>
                <c:pt idx="45">
                  <c:v>Unknownves Saint Laurent</c:v>
                </c:pt>
              </c:strCache>
            </c:strRef>
          </c:cat>
          <c:val>
            <c:numRef>
              <c:f>'last updated Year_revenue'!$C$9:$C$55</c:f>
              <c:numCache>
                <c:formatCode>General</c:formatCode>
                <c:ptCount val="46"/>
                <c:pt idx="0">
                  <c:v>19046.190000000002</c:v>
                </c:pt>
                <c:pt idx="1">
                  <c:v>1260</c:v>
                </c:pt>
                <c:pt idx="2">
                  <c:v>850</c:v>
                </c:pt>
                <c:pt idx="3">
                  <c:v>3079.56</c:v>
                </c:pt>
                <c:pt idx="5">
                  <c:v>1905.13</c:v>
                </c:pt>
                <c:pt idx="6">
                  <c:v>2098.9499999999998</c:v>
                </c:pt>
                <c:pt idx="7">
                  <c:v>2002.9999999999998</c:v>
                </c:pt>
                <c:pt idx="8">
                  <c:v>4148.55</c:v>
                </c:pt>
                <c:pt idx="9">
                  <c:v>1121.83</c:v>
                </c:pt>
                <c:pt idx="10">
                  <c:v>6292</c:v>
                </c:pt>
                <c:pt idx="11">
                  <c:v>1620</c:v>
                </c:pt>
                <c:pt idx="12">
                  <c:v>478.5</c:v>
                </c:pt>
                <c:pt idx="13">
                  <c:v>9698.5300000000007</c:v>
                </c:pt>
                <c:pt idx="14">
                  <c:v>475.71999999999997</c:v>
                </c:pt>
                <c:pt idx="15">
                  <c:v>1903.7199999999998</c:v>
                </c:pt>
                <c:pt idx="16">
                  <c:v>8584.5</c:v>
                </c:pt>
                <c:pt idx="17">
                  <c:v>701.91</c:v>
                </c:pt>
                <c:pt idx="18">
                  <c:v>320</c:v>
                </c:pt>
                <c:pt idx="20">
                  <c:v>573.30000000000007</c:v>
                </c:pt>
                <c:pt idx="21">
                  <c:v>419.76</c:v>
                </c:pt>
                <c:pt idx="22">
                  <c:v>1749.3</c:v>
                </c:pt>
                <c:pt idx="23">
                  <c:v>3085.88</c:v>
                </c:pt>
                <c:pt idx="24">
                  <c:v>1455.72</c:v>
                </c:pt>
                <c:pt idx="25">
                  <c:v>2279.7599999999998</c:v>
                </c:pt>
                <c:pt idx="26">
                  <c:v>939.06000000000006</c:v>
                </c:pt>
                <c:pt idx="27">
                  <c:v>7799.43</c:v>
                </c:pt>
                <c:pt idx="28">
                  <c:v>1346.25</c:v>
                </c:pt>
                <c:pt idx="29">
                  <c:v>2366.4</c:v>
                </c:pt>
                <c:pt idx="30">
                  <c:v>12493.59</c:v>
                </c:pt>
                <c:pt idx="31">
                  <c:v>10401.439999999999</c:v>
                </c:pt>
                <c:pt idx="32">
                  <c:v>14848.65</c:v>
                </c:pt>
                <c:pt idx="33">
                  <c:v>2438.7799999999997</c:v>
                </c:pt>
                <c:pt idx="35">
                  <c:v>229.5</c:v>
                </c:pt>
                <c:pt idx="37">
                  <c:v>909.86999999999989</c:v>
                </c:pt>
                <c:pt idx="38">
                  <c:v>3003.9400000000005</c:v>
                </c:pt>
                <c:pt idx="39">
                  <c:v>798.48</c:v>
                </c:pt>
                <c:pt idx="40">
                  <c:v>439.91999999999996</c:v>
                </c:pt>
                <c:pt idx="41">
                  <c:v>302.48</c:v>
                </c:pt>
                <c:pt idx="43">
                  <c:v>1179.7200000000003</c:v>
                </c:pt>
                <c:pt idx="44">
                  <c:v>599.88</c:v>
                </c:pt>
                <c:pt idx="45">
                  <c:v>1443.81</c:v>
                </c:pt>
              </c:numCache>
            </c:numRef>
          </c:val>
          <c:extLst>
            <c:ext xmlns:c16="http://schemas.microsoft.com/office/drawing/2014/chart" uri="{C3380CC4-5D6E-409C-BE32-E72D297353CC}">
              <c16:uniqueId val="{00000001-64B5-4A11-B67C-4F5715B33896}"/>
            </c:ext>
          </c:extLst>
        </c:ser>
        <c:dLbls>
          <c:showLegendKey val="0"/>
          <c:showVal val="0"/>
          <c:showCatName val="0"/>
          <c:showSerName val="0"/>
          <c:showPercent val="0"/>
          <c:showBubbleSize val="0"/>
        </c:dLbls>
        <c:axId val="139409488"/>
        <c:axId val="139400848"/>
      </c:areaChart>
      <c:valAx>
        <c:axId val="139400848"/>
        <c:scaling>
          <c:orientation val="minMax"/>
        </c:scaling>
        <c:delete val="1"/>
        <c:axPos val="r"/>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39409488"/>
        <c:crosses val="max"/>
        <c:crossBetween val="between"/>
      </c:valAx>
      <c:catAx>
        <c:axId val="139409488"/>
        <c:scaling>
          <c:orientation val="minMax"/>
        </c:scaling>
        <c:delete val="1"/>
        <c:axPos val="b"/>
        <c:numFmt formatCode="General" sourceLinked="1"/>
        <c:majorTickMark val="out"/>
        <c:minorTickMark val="none"/>
        <c:tickLblPos val="nextTo"/>
        <c:crossAx val="1394008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parfum.xlsx]Country vs Available stock!PivotTable8</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Country and its</a:t>
            </a:r>
            <a:r>
              <a:rPr lang="en-US" baseline="0"/>
              <a:t> stock</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'Country vs Available stock'!$B$3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trendline>
            <c:spPr>
              <a:ln w="25400" cap="rnd">
                <a:solidFill>
                  <a:schemeClr val="accent2">
                    <a:alpha val="50000"/>
                  </a:schemeClr>
                </a:solidFill>
              </a:ln>
              <a:effectLst/>
            </c:spPr>
            <c:trendlineType val="linear"/>
            <c:dispRSqr val="0"/>
            <c:dispEq val="0"/>
          </c:trendline>
          <c:cat>
            <c:strRef>
              <c:f>'Country vs Available stock'!$A$4:$A$7</c:f>
              <c:strCache>
                <c:ptCount val="3"/>
                <c:pt idx="0">
                  <c:v>China</c:v>
                </c:pt>
                <c:pt idx="1">
                  <c:v>Hong Kong</c:v>
                </c:pt>
                <c:pt idx="2">
                  <c:v>United States</c:v>
                </c:pt>
              </c:strCache>
            </c:strRef>
          </c:cat>
          <c:val>
            <c:numRef>
              <c:f>'Country vs Available stock'!$B$4:$B$7</c:f>
              <c:numCache>
                <c:formatCode>General</c:formatCode>
                <c:ptCount val="3"/>
                <c:pt idx="0">
                  <c:v>6</c:v>
                </c:pt>
                <c:pt idx="1">
                  <c:v>10</c:v>
                </c:pt>
                <c:pt idx="2">
                  <c:v>1688</c:v>
                </c:pt>
              </c:numCache>
            </c:numRef>
          </c:val>
          <c:smooth val="0"/>
          <c:extLst>
            <c:ext xmlns:c16="http://schemas.microsoft.com/office/drawing/2014/chart" uri="{C3380CC4-5D6E-409C-BE32-E72D297353CC}">
              <c16:uniqueId val="{00000000-DF7C-4F70-99E1-6476B8EA8AF6}"/>
            </c:ext>
          </c:extLst>
        </c:ser>
        <c:dLbls>
          <c:dLblPos val="t"/>
          <c:showLegendKey val="0"/>
          <c:showVal val="1"/>
          <c:showCatName val="0"/>
          <c:showSerName val="0"/>
          <c:showPercent val="0"/>
          <c:showBubbleSize val="0"/>
        </c:dLbls>
        <c:marker val="1"/>
        <c:smooth val="0"/>
        <c:axId val="598946528"/>
        <c:axId val="598941248"/>
      </c:lineChart>
      <c:catAx>
        <c:axId val="598946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8941248"/>
        <c:crosses val="autoZero"/>
        <c:auto val="1"/>
        <c:lblAlgn val="ctr"/>
        <c:lblOffset val="100"/>
        <c:noMultiLvlLbl val="0"/>
      </c:catAx>
      <c:valAx>
        <c:axId val="5989412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8946528"/>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parfum.xlsx]Month vs revenue!PivotTable1</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 vs Revenue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 vs revenue'!$B$3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'Month vs revenue'!$A$4:$A$9</c:f>
              <c:strCache>
                <c:ptCount val="5"/>
                <c:pt idx="0">
                  <c:v>Jan</c:v>
                </c:pt>
                <c:pt idx="1">
                  <c:v>Feb</c:v>
                </c:pt>
                <c:pt idx="2">
                  <c:v>Apr</c:v>
                </c:pt>
                <c:pt idx="3">
                  <c:v>Sep</c:v>
                </c:pt>
                <c:pt idx="4">
                  <c:v>Nov</c:v>
                </c:pt>
              </c:strCache>
            </c:strRef>
          </c:cat>
          <c:val>
            <c:numRef>
              <c:f>'Month vs revenue'!$B$4:$B$9</c:f>
              <c:numCache>
                <c:formatCode>General</c:formatCode>
                <c:ptCount val="5"/>
                <c:pt idx="0">
                  <c:v>4098.5650000000005</c:v>
                </c:pt>
                <c:pt idx="1">
                  <c:v>2146.962857142857</c:v>
                </c:pt>
                <c:pt idx="2">
                  <c:v>2826.532093023256</c:v>
                </c:pt>
                <c:pt idx="3">
                  <c:v>1169.55</c:v>
                </c:pt>
                <c:pt idx="4">
                  <c:v>2907.0466666666666</c:v>
                </c:pt>
              </c:numCache>
            </c:numRef>
          </c:val>
          <c:extLst>
            <c:ext xmlns:c16="http://schemas.microsoft.com/office/drawing/2014/chart" uri="{C3380CC4-5D6E-409C-BE32-E72D297353CC}">
              <c16:uniqueId val="{00000000-58AA-4F1E-AA94-7F557F16330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98959968"/>
        <c:axId val="598922528"/>
      </c:areaChart>
      <c:catAx>
        <c:axId val="598959968"/>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98922528"/>
        <c:crosses val="autoZero"/>
        <c:auto val="1"/>
        <c:lblAlgn val="ctr"/>
        <c:lblOffset val="100"/>
        <c:noMultiLvlLbl val="0"/>
      </c:catAx>
      <c:valAx>
        <c:axId val="598922528"/>
        <c:scaling>
          <c:orientation val="minMax"/>
        </c:scaling>
        <c:delete val="1"/>
        <c:axPos val="l"/>
        <c:numFmt formatCode="General" sourceLinked="1"/>
        <c:majorTickMark val="out"/>
        <c:minorTickMark val="none"/>
        <c:tickLblPos val="nextTo"/>
        <c:crossAx val="5989599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138640278660821"/>
          <c:y val="4.0404040404040407E-2"/>
          <c:w val="0.86210582372855571"/>
          <c:h val="0.67531444933019735"/>
        </c:manualLayout>
      </c:layout>
      <c:lineChart>
        <c:grouping val="standard"/>
        <c:varyColors val="0"/>
        <c:ser>
          <c:idx val="0"/>
          <c:order val="0"/>
          <c:tx>
            <c:strRef>
              <c:f>'Forecasting the sale'!$B$1</c:f>
              <c:strCache>
                <c:ptCount val="1"/>
                <c:pt idx="0">
                  <c:v>Values</c:v>
                </c:pt>
              </c:strCache>
            </c:strRef>
          </c:tx>
          <c:spPr>
            <a:ln w="28575" cap="rnd">
              <a:solidFill>
                <a:schemeClr val="accent1"/>
              </a:solidFill>
              <a:round/>
            </a:ln>
            <a:effectLst/>
          </c:spPr>
          <c:marker>
            <c:symbol val="none"/>
          </c:marker>
          <c:val>
            <c:numRef>
              <c:f>'Forecasting the sale'!$B$2:$B$244</c:f>
              <c:numCache>
                <c:formatCode>[$-409]mmmm\ d\,\ yyyy;@</c:formatCode>
                <c:ptCount val="243"/>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pt idx="16">
                  <c:v>45308</c:v>
                </c:pt>
                <c:pt idx="17">
                  <c:v>45309</c:v>
                </c:pt>
                <c:pt idx="18">
                  <c:v>45310</c:v>
                </c:pt>
                <c:pt idx="19">
                  <c:v>45311</c:v>
                </c:pt>
                <c:pt idx="20">
                  <c:v>45312</c:v>
                </c:pt>
                <c:pt idx="21">
                  <c:v>45313</c:v>
                </c:pt>
                <c:pt idx="22">
                  <c:v>45314</c:v>
                </c:pt>
                <c:pt idx="23">
                  <c:v>45315</c:v>
                </c:pt>
                <c:pt idx="24">
                  <c:v>45316</c:v>
                </c:pt>
                <c:pt idx="25">
                  <c:v>45317</c:v>
                </c:pt>
                <c:pt idx="26">
                  <c:v>45318</c:v>
                </c:pt>
                <c:pt idx="27">
                  <c:v>45319</c:v>
                </c:pt>
                <c:pt idx="28">
                  <c:v>45320</c:v>
                </c:pt>
                <c:pt idx="29">
                  <c:v>45321</c:v>
                </c:pt>
                <c:pt idx="30">
                  <c:v>45322</c:v>
                </c:pt>
                <c:pt idx="31">
                  <c:v>45323</c:v>
                </c:pt>
                <c:pt idx="32">
                  <c:v>45324</c:v>
                </c:pt>
                <c:pt idx="33">
                  <c:v>45325</c:v>
                </c:pt>
                <c:pt idx="34">
                  <c:v>45326</c:v>
                </c:pt>
                <c:pt idx="35">
                  <c:v>45327</c:v>
                </c:pt>
                <c:pt idx="36">
                  <c:v>45328</c:v>
                </c:pt>
                <c:pt idx="37">
                  <c:v>45329</c:v>
                </c:pt>
                <c:pt idx="38">
                  <c:v>45330</c:v>
                </c:pt>
                <c:pt idx="39">
                  <c:v>45331</c:v>
                </c:pt>
                <c:pt idx="40">
                  <c:v>45332</c:v>
                </c:pt>
                <c:pt idx="41">
                  <c:v>45333</c:v>
                </c:pt>
                <c:pt idx="42">
                  <c:v>45334</c:v>
                </c:pt>
                <c:pt idx="43">
                  <c:v>45335</c:v>
                </c:pt>
                <c:pt idx="44">
                  <c:v>45336</c:v>
                </c:pt>
                <c:pt idx="45">
                  <c:v>45337</c:v>
                </c:pt>
                <c:pt idx="46">
                  <c:v>45338</c:v>
                </c:pt>
                <c:pt idx="47">
                  <c:v>45339</c:v>
                </c:pt>
                <c:pt idx="48">
                  <c:v>45340</c:v>
                </c:pt>
                <c:pt idx="49">
                  <c:v>45341</c:v>
                </c:pt>
                <c:pt idx="50">
                  <c:v>45342</c:v>
                </c:pt>
                <c:pt idx="51">
                  <c:v>45343</c:v>
                </c:pt>
                <c:pt idx="52">
                  <c:v>45344</c:v>
                </c:pt>
                <c:pt idx="53">
                  <c:v>45345</c:v>
                </c:pt>
                <c:pt idx="54">
                  <c:v>45346</c:v>
                </c:pt>
                <c:pt idx="55">
                  <c:v>45347</c:v>
                </c:pt>
                <c:pt idx="56">
                  <c:v>45348</c:v>
                </c:pt>
                <c:pt idx="57">
                  <c:v>45349</c:v>
                </c:pt>
                <c:pt idx="58">
                  <c:v>45350</c:v>
                </c:pt>
                <c:pt idx="59">
                  <c:v>45351</c:v>
                </c:pt>
                <c:pt idx="60">
                  <c:v>45352</c:v>
                </c:pt>
                <c:pt idx="61">
                  <c:v>45353</c:v>
                </c:pt>
                <c:pt idx="62">
                  <c:v>45354</c:v>
                </c:pt>
                <c:pt idx="63">
                  <c:v>45355</c:v>
                </c:pt>
                <c:pt idx="64">
                  <c:v>45356</c:v>
                </c:pt>
                <c:pt idx="65">
                  <c:v>45357</c:v>
                </c:pt>
                <c:pt idx="66">
                  <c:v>45358</c:v>
                </c:pt>
                <c:pt idx="67">
                  <c:v>45359</c:v>
                </c:pt>
                <c:pt idx="68">
                  <c:v>45360</c:v>
                </c:pt>
                <c:pt idx="69">
                  <c:v>45361</c:v>
                </c:pt>
                <c:pt idx="70">
                  <c:v>45362</c:v>
                </c:pt>
                <c:pt idx="71">
                  <c:v>45363</c:v>
                </c:pt>
                <c:pt idx="72">
                  <c:v>45364</c:v>
                </c:pt>
                <c:pt idx="73">
                  <c:v>45365</c:v>
                </c:pt>
                <c:pt idx="74">
                  <c:v>45366</c:v>
                </c:pt>
                <c:pt idx="75">
                  <c:v>45367</c:v>
                </c:pt>
                <c:pt idx="76">
                  <c:v>45368</c:v>
                </c:pt>
                <c:pt idx="77">
                  <c:v>45369</c:v>
                </c:pt>
                <c:pt idx="78">
                  <c:v>45370</c:v>
                </c:pt>
                <c:pt idx="79">
                  <c:v>45371</c:v>
                </c:pt>
                <c:pt idx="80">
                  <c:v>45372</c:v>
                </c:pt>
                <c:pt idx="81">
                  <c:v>45373</c:v>
                </c:pt>
                <c:pt idx="82">
                  <c:v>45374</c:v>
                </c:pt>
                <c:pt idx="83">
                  <c:v>45375</c:v>
                </c:pt>
                <c:pt idx="84">
                  <c:v>45376</c:v>
                </c:pt>
                <c:pt idx="85">
                  <c:v>45377</c:v>
                </c:pt>
                <c:pt idx="86">
                  <c:v>45378</c:v>
                </c:pt>
                <c:pt idx="87">
                  <c:v>45379</c:v>
                </c:pt>
                <c:pt idx="88">
                  <c:v>45380</c:v>
                </c:pt>
                <c:pt idx="89">
                  <c:v>45381</c:v>
                </c:pt>
                <c:pt idx="90">
                  <c:v>45382</c:v>
                </c:pt>
                <c:pt idx="91">
                  <c:v>45383</c:v>
                </c:pt>
                <c:pt idx="92">
                  <c:v>45384</c:v>
                </c:pt>
                <c:pt idx="93">
                  <c:v>45385</c:v>
                </c:pt>
                <c:pt idx="94">
                  <c:v>45386</c:v>
                </c:pt>
                <c:pt idx="95">
                  <c:v>45387</c:v>
                </c:pt>
                <c:pt idx="96">
                  <c:v>45388</c:v>
                </c:pt>
                <c:pt idx="97">
                  <c:v>45389</c:v>
                </c:pt>
                <c:pt idx="98">
                  <c:v>45390</c:v>
                </c:pt>
                <c:pt idx="99">
                  <c:v>45391</c:v>
                </c:pt>
                <c:pt idx="100">
                  <c:v>45392</c:v>
                </c:pt>
                <c:pt idx="101">
                  <c:v>45393</c:v>
                </c:pt>
                <c:pt idx="102">
                  <c:v>45394</c:v>
                </c:pt>
                <c:pt idx="103">
                  <c:v>45395</c:v>
                </c:pt>
                <c:pt idx="104">
                  <c:v>45396</c:v>
                </c:pt>
                <c:pt idx="105">
                  <c:v>45397</c:v>
                </c:pt>
                <c:pt idx="106">
                  <c:v>45398</c:v>
                </c:pt>
                <c:pt idx="107">
                  <c:v>45399</c:v>
                </c:pt>
                <c:pt idx="108">
                  <c:v>45400</c:v>
                </c:pt>
                <c:pt idx="109">
                  <c:v>45401</c:v>
                </c:pt>
                <c:pt idx="110">
                  <c:v>45402</c:v>
                </c:pt>
                <c:pt idx="111">
                  <c:v>45403</c:v>
                </c:pt>
                <c:pt idx="112">
                  <c:v>45404</c:v>
                </c:pt>
                <c:pt idx="113">
                  <c:v>45405</c:v>
                </c:pt>
                <c:pt idx="114">
                  <c:v>45406</c:v>
                </c:pt>
                <c:pt idx="115">
                  <c:v>45407</c:v>
                </c:pt>
                <c:pt idx="116">
                  <c:v>45408</c:v>
                </c:pt>
                <c:pt idx="117">
                  <c:v>45409</c:v>
                </c:pt>
                <c:pt idx="118">
                  <c:v>45410</c:v>
                </c:pt>
                <c:pt idx="119">
                  <c:v>45411</c:v>
                </c:pt>
                <c:pt idx="120">
                  <c:v>45412</c:v>
                </c:pt>
                <c:pt idx="121">
                  <c:v>45413</c:v>
                </c:pt>
                <c:pt idx="122">
                  <c:v>45414</c:v>
                </c:pt>
                <c:pt idx="123">
                  <c:v>45415</c:v>
                </c:pt>
                <c:pt idx="124">
                  <c:v>45416</c:v>
                </c:pt>
                <c:pt idx="125">
                  <c:v>45417</c:v>
                </c:pt>
                <c:pt idx="126">
                  <c:v>45418</c:v>
                </c:pt>
                <c:pt idx="127">
                  <c:v>45419</c:v>
                </c:pt>
                <c:pt idx="128">
                  <c:v>45420</c:v>
                </c:pt>
                <c:pt idx="129">
                  <c:v>45421</c:v>
                </c:pt>
                <c:pt idx="130">
                  <c:v>45422</c:v>
                </c:pt>
                <c:pt idx="131">
                  <c:v>45423</c:v>
                </c:pt>
                <c:pt idx="132">
                  <c:v>45424</c:v>
                </c:pt>
                <c:pt idx="133">
                  <c:v>45425</c:v>
                </c:pt>
                <c:pt idx="134">
                  <c:v>45426</c:v>
                </c:pt>
                <c:pt idx="135">
                  <c:v>45427</c:v>
                </c:pt>
                <c:pt idx="136">
                  <c:v>45428</c:v>
                </c:pt>
                <c:pt idx="137">
                  <c:v>45429</c:v>
                </c:pt>
                <c:pt idx="138">
                  <c:v>45430</c:v>
                </c:pt>
                <c:pt idx="139">
                  <c:v>45431</c:v>
                </c:pt>
                <c:pt idx="140">
                  <c:v>45432</c:v>
                </c:pt>
                <c:pt idx="141">
                  <c:v>45433</c:v>
                </c:pt>
                <c:pt idx="142">
                  <c:v>45434</c:v>
                </c:pt>
                <c:pt idx="143">
                  <c:v>45435</c:v>
                </c:pt>
                <c:pt idx="144">
                  <c:v>45436</c:v>
                </c:pt>
                <c:pt idx="145">
                  <c:v>45437</c:v>
                </c:pt>
                <c:pt idx="146">
                  <c:v>45438</c:v>
                </c:pt>
                <c:pt idx="147">
                  <c:v>45439</c:v>
                </c:pt>
                <c:pt idx="148">
                  <c:v>45440</c:v>
                </c:pt>
                <c:pt idx="149">
                  <c:v>45441</c:v>
                </c:pt>
                <c:pt idx="150">
                  <c:v>45442</c:v>
                </c:pt>
                <c:pt idx="151">
                  <c:v>45443</c:v>
                </c:pt>
                <c:pt idx="152">
                  <c:v>45444</c:v>
                </c:pt>
                <c:pt idx="153">
                  <c:v>45445</c:v>
                </c:pt>
                <c:pt idx="154">
                  <c:v>45446</c:v>
                </c:pt>
                <c:pt idx="155">
                  <c:v>45447</c:v>
                </c:pt>
                <c:pt idx="156">
                  <c:v>45448</c:v>
                </c:pt>
                <c:pt idx="157">
                  <c:v>45449</c:v>
                </c:pt>
                <c:pt idx="158">
                  <c:v>45450</c:v>
                </c:pt>
                <c:pt idx="159">
                  <c:v>45451</c:v>
                </c:pt>
                <c:pt idx="160">
                  <c:v>45452</c:v>
                </c:pt>
                <c:pt idx="161">
                  <c:v>45453</c:v>
                </c:pt>
                <c:pt idx="162">
                  <c:v>45454</c:v>
                </c:pt>
                <c:pt idx="163">
                  <c:v>45455</c:v>
                </c:pt>
                <c:pt idx="164">
                  <c:v>45456</c:v>
                </c:pt>
                <c:pt idx="165">
                  <c:v>45457</c:v>
                </c:pt>
                <c:pt idx="166">
                  <c:v>45458</c:v>
                </c:pt>
                <c:pt idx="167">
                  <c:v>45459</c:v>
                </c:pt>
                <c:pt idx="168">
                  <c:v>45460</c:v>
                </c:pt>
                <c:pt idx="169">
                  <c:v>45461</c:v>
                </c:pt>
                <c:pt idx="170">
                  <c:v>45462</c:v>
                </c:pt>
                <c:pt idx="171">
                  <c:v>45463</c:v>
                </c:pt>
                <c:pt idx="172">
                  <c:v>45464</c:v>
                </c:pt>
                <c:pt idx="173">
                  <c:v>45465</c:v>
                </c:pt>
                <c:pt idx="174">
                  <c:v>45466</c:v>
                </c:pt>
                <c:pt idx="175">
                  <c:v>45467</c:v>
                </c:pt>
                <c:pt idx="176">
                  <c:v>45468</c:v>
                </c:pt>
                <c:pt idx="177">
                  <c:v>45469</c:v>
                </c:pt>
                <c:pt idx="178">
                  <c:v>45470</c:v>
                </c:pt>
                <c:pt idx="179">
                  <c:v>45471</c:v>
                </c:pt>
                <c:pt idx="180">
                  <c:v>45472</c:v>
                </c:pt>
                <c:pt idx="181">
                  <c:v>45473</c:v>
                </c:pt>
              </c:numCache>
            </c:numRef>
          </c:val>
          <c:smooth val="0"/>
          <c:extLst>
            <c:ext xmlns:c16="http://schemas.microsoft.com/office/drawing/2014/chart" uri="{C3380CC4-5D6E-409C-BE32-E72D297353CC}">
              <c16:uniqueId val="{00000000-9B3C-48EF-BAAB-1CA9295AE5D5}"/>
            </c:ext>
          </c:extLst>
        </c:ser>
        <c:ser>
          <c:idx val="1"/>
          <c:order val="1"/>
          <c:tx>
            <c:strRef>
              <c:f>'Forecasting the sale'!$C$1</c:f>
              <c:strCache>
                <c:ptCount val="1"/>
                <c:pt idx="0">
                  <c:v>Forecast</c:v>
                </c:pt>
              </c:strCache>
            </c:strRef>
          </c:tx>
          <c:spPr>
            <a:ln w="25400" cap="rnd">
              <a:solidFill>
                <a:schemeClr val="accent2"/>
              </a:solidFill>
              <a:round/>
            </a:ln>
            <a:effectLst/>
          </c:spPr>
          <c:marker>
            <c:symbol val="none"/>
          </c:marker>
          <c:cat>
            <c:numRef>
              <c:f>'Forecasting the sale'!$A$2:$A$244</c:f>
              <c:numCache>
                <c:formatCode>[$-409]mmmm\ d\,\ yyyy;@</c:formatCode>
                <c:ptCount val="243"/>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pt idx="16">
                  <c:v>45308</c:v>
                </c:pt>
                <c:pt idx="17">
                  <c:v>45309</c:v>
                </c:pt>
                <c:pt idx="18">
                  <c:v>45310</c:v>
                </c:pt>
                <c:pt idx="19">
                  <c:v>45311</c:v>
                </c:pt>
                <c:pt idx="20">
                  <c:v>45312</c:v>
                </c:pt>
                <c:pt idx="21">
                  <c:v>45313</c:v>
                </c:pt>
                <c:pt idx="22">
                  <c:v>45314</c:v>
                </c:pt>
                <c:pt idx="23">
                  <c:v>45315</c:v>
                </c:pt>
                <c:pt idx="24">
                  <c:v>45316</c:v>
                </c:pt>
                <c:pt idx="25">
                  <c:v>45317</c:v>
                </c:pt>
                <c:pt idx="26">
                  <c:v>45318</c:v>
                </c:pt>
                <c:pt idx="27">
                  <c:v>45319</c:v>
                </c:pt>
                <c:pt idx="28">
                  <c:v>45320</c:v>
                </c:pt>
                <c:pt idx="29">
                  <c:v>45321</c:v>
                </c:pt>
                <c:pt idx="30">
                  <c:v>45322</c:v>
                </c:pt>
                <c:pt idx="31">
                  <c:v>45323</c:v>
                </c:pt>
                <c:pt idx="32">
                  <c:v>45324</c:v>
                </c:pt>
                <c:pt idx="33">
                  <c:v>45325</c:v>
                </c:pt>
                <c:pt idx="34">
                  <c:v>45326</c:v>
                </c:pt>
                <c:pt idx="35">
                  <c:v>45327</c:v>
                </c:pt>
                <c:pt idx="36">
                  <c:v>45328</c:v>
                </c:pt>
                <c:pt idx="37">
                  <c:v>45329</c:v>
                </c:pt>
                <c:pt idx="38">
                  <c:v>45330</c:v>
                </c:pt>
                <c:pt idx="39">
                  <c:v>45331</c:v>
                </c:pt>
                <c:pt idx="40">
                  <c:v>45332</c:v>
                </c:pt>
                <c:pt idx="41">
                  <c:v>45333</c:v>
                </c:pt>
                <c:pt idx="42">
                  <c:v>45334</c:v>
                </c:pt>
                <c:pt idx="43">
                  <c:v>45335</c:v>
                </c:pt>
                <c:pt idx="44">
                  <c:v>45336</c:v>
                </c:pt>
                <c:pt idx="45">
                  <c:v>45337</c:v>
                </c:pt>
                <c:pt idx="46">
                  <c:v>45338</c:v>
                </c:pt>
                <c:pt idx="47">
                  <c:v>45339</c:v>
                </c:pt>
                <c:pt idx="48">
                  <c:v>45340</c:v>
                </c:pt>
                <c:pt idx="49">
                  <c:v>45341</c:v>
                </c:pt>
                <c:pt idx="50">
                  <c:v>45342</c:v>
                </c:pt>
                <c:pt idx="51">
                  <c:v>45343</c:v>
                </c:pt>
                <c:pt idx="52">
                  <c:v>45344</c:v>
                </c:pt>
                <c:pt idx="53">
                  <c:v>45345</c:v>
                </c:pt>
                <c:pt idx="54">
                  <c:v>45346</c:v>
                </c:pt>
                <c:pt idx="55">
                  <c:v>45347</c:v>
                </c:pt>
                <c:pt idx="56">
                  <c:v>45348</c:v>
                </c:pt>
                <c:pt idx="57">
                  <c:v>45349</c:v>
                </c:pt>
                <c:pt idx="58">
                  <c:v>45350</c:v>
                </c:pt>
                <c:pt idx="59">
                  <c:v>45351</c:v>
                </c:pt>
                <c:pt idx="60">
                  <c:v>45352</c:v>
                </c:pt>
                <c:pt idx="61">
                  <c:v>45353</c:v>
                </c:pt>
                <c:pt idx="62">
                  <c:v>45354</c:v>
                </c:pt>
                <c:pt idx="63">
                  <c:v>45355</c:v>
                </c:pt>
                <c:pt idx="64">
                  <c:v>45356</c:v>
                </c:pt>
                <c:pt idx="65">
                  <c:v>45357</c:v>
                </c:pt>
                <c:pt idx="66">
                  <c:v>45358</c:v>
                </c:pt>
                <c:pt idx="67">
                  <c:v>45359</c:v>
                </c:pt>
                <c:pt idx="68">
                  <c:v>45360</c:v>
                </c:pt>
                <c:pt idx="69">
                  <c:v>45361</c:v>
                </c:pt>
                <c:pt idx="70">
                  <c:v>45362</c:v>
                </c:pt>
                <c:pt idx="71">
                  <c:v>45363</c:v>
                </c:pt>
                <c:pt idx="72">
                  <c:v>45364</c:v>
                </c:pt>
                <c:pt idx="73">
                  <c:v>45365</c:v>
                </c:pt>
                <c:pt idx="74">
                  <c:v>45366</c:v>
                </c:pt>
                <c:pt idx="75">
                  <c:v>45367</c:v>
                </c:pt>
                <c:pt idx="76">
                  <c:v>45368</c:v>
                </c:pt>
                <c:pt idx="77">
                  <c:v>45369</c:v>
                </c:pt>
                <c:pt idx="78">
                  <c:v>45370</c:v>
                </c:pt>
                <c:pt idx="79">
                  <c:v>45371</c:v>
                </c:pt>
                <c:pt idx="80">
                  <c:v>45372</c:v>
                </c:pt>
                <c:pt idx="81">
                  <c:v>45373</c:v>
                </c:pt>
                <c:pt idx="82">
                  <c:v>45374</c:v>
                </c:pt>
                <c:pt idx="83">
                  <c:v>45375</c:v>
                </c:pt>
                <c:pt idx="84">
                  <c:v>45376</c:v>
                </c:pt>
                <c:pt idx="85">
                  <c:v>45377</c:v>
                </c:pt>
                <c:pt idx="86">
                  <c:v>45378</c:v>
                </c:pt>
                <c:pt idx="87">
                  <c:v>45379</c:v>
                </c:pt>
                <c:pt idx="88">
                  <c:v>45380</c:v>
                </c:pt>
                <c:pt idx="89">
                  <c:v>45381</c:v>
                </c:pt>
                <c:pt idx="90">
                  <c:v>45382</c:v>
                </c:pt>
                <c:pt idx="91">
                  <c:v>45383</c:v>
                </c:pt>
                <c:pt idx="92">
                  <c:v>45384</c:v>
                </c:pt>
                <c:pt idx="93">
                  <c:v>45385</c:v>
                </c:pt>
                <c:pt idx="94">
                  <c:v>45386</c:v>
                </c:pt>
                <c:pt idx="95">
                  <c:v>45387</c:v>
                </c:pt>
                <c:pt idx="96">
                  <c:v>45388</c:v>
                </c:pt>
                <c:pt idx="97">
                  <c:v>45389</c:v>
                </c:pt>
                <c:pt idx="98">
                  <c:v>45390</c:v>
                </c:pt>
                <c:pt idx="99">
                  <c:v>45391</c:v>
                </c:pt>
                <c:pt idx="100">
                  <c:v>45392</c:v>
                </c:pt>
                <c:pt idx="101">
                  <c:v>45393</c:v>
                </c:pt>
                <c:pt idx="102">
                  <c:v>45394</c:v>
                </c:pt>
                <c:pt idx="103">
                  <c:v>45395</c:v>
                </c:pt>
                <c:pt idx="104">
                  <c:v>45396</c:v>
                </c:pt>
                <c:pt idx="105">
                  <c:v>45397</c:v>
                </c:pt>
                <c:pt idx="106">
                  <c:v>45398</c:v>
                </c:pt>
                <c:pt idx="107">
                  <c:v>45399</c:v>
                </c:pt>
                <c:pt idx="108">
                  <c:v>45400</c:v>
                </c:pt>
                <c:pt idx="109">
                  <c:v>45401</c:v>
                </c:pt>
                <c:pt idx="110">
                  <c:v>45402</c:v>
                </c:pt>
                <c:pt idx="111">
                  <c:v>45403</c:v>
                </c:pt>
                <c:pt idx="112">
                  <c:v>45404</c:v>
                </c:pt>
                <c:pt idx="113">
                  <c:v>45405</c:v>
                </c:pt>
                <c:pt idx="114">
                  <c:v>45406</c:v>
                </c:pt>
                <c:pt idx="115">
                  <c:v>45407</c:v>
                </c:pt>
                <c:pt idx="116">
                  <c:v>45408</c:v>
                </c:pt>
                <c:pt idx="117">
                  <c:v>45409</c:v>
                </c:pt>
                <c:pt idx="118">
                  <c:v>45410</c:v>
                </c:pt>
                <c:pt idx="119">
                  <c:v>45411</c:v>
                </c:pt>
                <c:pt idx="120">
                  <c:v>45412</c:v>
                </c:pt>
                <c:pt idx="121">
                  <c:v>45413</c:v>
                </c:pt>
                <c:pt idx="122">
                  <c:v>45414</c:v>
                </c:pt>
                <c:pt idx="123">
                  <c:v>45415</c:v>
                </c:pt>
                <c:pt idx="124">
                  <c:v>45416</c:v>
                </c:pt>
                <c:pt idx="125">
                  <c:v>45417</c:v>
                </c:pt>
                <c:pt idx="126">
                  <c:v>45418</c:v>
                </c:pt>
                <c:pt idx="127">
                  <c:v>45419</c:v>
                </c:pt>
                <c:pt idx="128">
                  <c:v>45420</c:v>
                </c:pt>
                <c:pt idx="129">
                  <c:v>45421</c:v>
                </c:pt>
                <c:pt idx="130">
                  <c:v>45422</c:v>
                </c:pt>
                <c:pt idx="131">
                  <c:v>45423</c:v>
                </c:pt>
                <c:pt idx="132">
                  <c:v>45424</c:v>
                </c:pt>
                <c:pt idx="133">
                  <c:v>45425</c:v>
                </c:pt>
                <c:pt idx="134">
                  <c:v>45426</c:v>
                </c:pt>
                <c:pt idx="135">
                  <c:v>45427</c:v>
                </c:pt>
                <c:pt idx="136">
                  <c:v>45428</c:v>
                </c:pt>
                <c:pt idx="137">
                  <c:v>45429</c:v>
                </c:pt>
                <c:pt idx="138">
                  <c:v>45430</c:v>
                </c:pt>
                <c:pt idx="139">
                  <c:v>45431</c:v>
                </c:pt>
                <c:pt idx="140">
                  <c:v>45432</c:v>
                </c:pt>
                <c:pt idx="141">
                  <c:v>45433</c:v>
                </c:pt>
                <c:pt idx="142">
                  <c:v>45434</c:v>
                </c:pt>
                <c:pt idx="143">
                  <c:v>45435</c:v>
                </c:pt>
                <c:pt idx="144">
                  <c:v>45436</c:v>
                </c:pt>
                <c:pt idx="145">
                  <c:v>45437</c:v>
                </c:pt>
                <c:pt idx="146">
                  <c:v>45438</c:v>
                </c:pt>
                <c:pt idx="147">
                  <c:v>45439</c:v>
                </c:pt>
                <c:pt idx="148">
                  <c:v>45440</c:v>
                </c:pt>
                <c:pt idx="149">
                  <c:v>45441</c:v>
                </c:pt>
                <c:pt idx="150">
                  <c:v>45442</c:v>
                </c:pt>
                <c:pt idx="151">
                  <c:v>45443</c:v>
                </c:pt>
                <c:pt idx="152">
                  <c:v>45444</c:v>
                </c:pt>
                <c:pt idx="153">
                  <c:v>45445</c:v>
                </c:pt>
                <c:pt idx="154">
                  <c:v>45446</c:v>
                </c:pt>
                <c:pt idx="155">
                  <c:v>45447</c:v>
                </c:pt>
                <c:pt idx="156">
                  <c:v>45448</c:v>
                </c:pt>
                <c:pt idx="157">
                  <c:v>45449</c:v>
                </c:pt>
                <c:pt idx="158">
                  <c:v>45450</c:v>
                </c:pt>
                <c:pt idx="159">
                  <c:v>45451</c:v>
                </c:pt>
                <c:pt idx="160">
                  <c:v>45452</c:v>
                </c:pt>
                <c:pt idx="161">
                  <c:v>45453</c:v>
                </c:pt>
                <c:pt idx="162">
                  <c:v>45454</c:v>
                </c:pt>
                <c:pt idx="163">
                  <c:v>45455</c:v>
                </c:pt>
                <c:pt idx="164">
                  <c:v>45456</c:v>
                </c:pt>
                <c:pt idx="165">
                  <c:v>45457</c:v>
                </c:pt>
                <c:pt idx="166">
                  <c:v>45458</c:v>
                </c:pt>
                <c:pt idx="167">
                  <c:v>45459</c:v>
                </c:pt>
                <c:pt idx="168">
                  <c:v>45460</c:v>
                </c:pt>
                <c:pt idx="169">
                  <c:v>45461</c:v>
                </c:pt>
                <c:pt idx="170">
                  <c:v>45462</c:v>
                </c:pt>
                <c:pt idx="171">
                  <c:v>45463</c:v>
                </c:pt>
                <c:pt idx="172">
                  <c:v>45464</c:v>
                </c:pt>
                <c:pt idx="173">
                  <c:v>45465</c:v>
                </c:pt>
                <c:pt idx="174">
                  <c:v>45466</c:v>
                </c:pt>
                <c:pt idx="175">
                  <c:v>45467</c:v>
                </c:pt>
                <c:pt idx="176">
                  <c:v>45468</c:v>
                </c:pt>
                <c:pt idx="177">
                  <c:v>45469</c:v>
                </c:pt>
                <c:pt idx="178">
                  <c:v>45470</c:v>
                </c:pt>
                <c:pt idx="179">
                  <c:v>45471</c:v>
                </c:pt>
                <c:pt idx="180">
                  <c:v>45472</c:v>
                </c:pt>
                <c:pt idx="181">
                  <c:v>45473</c:v>
                </c:pt>
                <c:pt idx="182">
                  <c:v>45474</c:v>
                </c:pt>
                <c:pt idx="183">
                  <c:v>45475</c:v>
                </c:pt>
                <c:pt idx="184">
                  <c:v>45476</c:v>
                </c:pt>
                <c:pt idx="185">
                  <c:v>45477</c:v>
                </c:pt>
                <c:pt idx="186">
                  <c:v>45478</c:v>
                </c:pt>
                <c:pt idx="187">
                  <c:v>45479</c:v>
                </c:pt>
                <c:pt idx="188">
                  <c:v>45480</c:v>
                </c:pt>
                <c:pt idx="189">
                  <c:v>45481</c:v>
                </c:pt>
                <c:pt idx="190">
                  <c:v>45482</c:v>
                </c:pt>
                <c:pt idx="191">
                  <c:v>45483</c:v>
                </c:pt>
                <c:pt idx="192">
                  <c:v>45484</c:v>
                </c:pt>
                <c:pt idx="193">
                  <c:v>45485</c:v>
                </c:pt>
                <c:pt idx="194">
                  <c:v>45486</c:v>
                </c:pt>
                <c:pt idx="195">
                  <c:v>45487</c:v>
                </c:pt>
                <c:pt idx="196">
                  <c:v>45488</c:v>
                </c:pt>
                <c:pt idx="197">
                  <c:v>45489</c:v>
                </c:pt>
                <c:pt idx="198">
                  <c:v>45490</c:v>
                </c:pt>
                <c:pt idx="199">
                  <c:v>45491</c:v>
                </c:pt>
                <c:pt idx="200">
                  <c:v>45492</c:v>
                </c:pt>
                <c:pt idx="201">
                  <c:v>45493</c:v>
                </c:pt>
                <c:pt idx="202">
                  <c:v>45494</c:v>
                </c:pt>
                <c:pt idx="203">
                  <c:v>45495</c:v>
                </c:pt>
                <c:pt idx="204">
                  <c:v>45496</c:v>
                </c:pt>
                <c:pt idx="205">
                  <c:v>45497</c:v>
                </c:pt>
                <c:pt idx="206">
                  <c:v>45498</c:v>
                </c:pt>
                <c:pt idx="207">
                  <c:v>45499</c:v>
                </c:pt>
                <c:pt idx="208">
                  <c:v>45500</c:v>
                </c:pt>
                <c:pt idx="209">
                  <c:v>45501</c:v>
                </c:pt>
                <c:pt idx="210">
                  <c:v>45502</c:v>
                </c:pt>
                <c:pt idx="211">
                  <c:v>45503</c:v>
                </c:pt>
                <c:pt idx="212">
                  <c:v>45504</c:v>
                </c:pt>
                <c:pt idx="213">
                  <c:v>45505</c:v>
                </c:pt>
                <c:pt idx="214">
                  <c:v>45506</c:v>
                </c:pt>
                <c:pt idx="215">
                  <c:v>45507</c:v>
                </c:pt>
                <c:pt idx="216">
                  <c:v>45508</c:v>
                </c:pt>
                <c:pt idx="217">
                  <c:v>45509</c:v>
                </c:pt>
                <c:pt idx="218">
                  <c:v>45510</c:v>
                </c:pt>
                <c:pt idx="219">
                  <c:v>45511</c:v>
                </c:pt>
                <c:pt idx="220">
                  <c:v>45512</c:v>
                </c:pt>
                <c:pt idx="221">
                  <c:v>45513</c:v>
                </c:pt>
                <c:pt idx="222">
                  <c:v>45514</c:v>
                </c:pt>
                <c:pt idx="223">
                  <c:v>45515</c:v>
                </c:pt>
                <c:pt idx="224">
                  <c:v>45516</c:v>
                </c:pt>
                <c:pt idx="225">
                  <c:v>45517</c:v>
                </c:pt>
                <c:pt idx="226">
                  <c:v>45518</c:v>
                </c:pt>
                <c:pt idx="227">
                  <c:v>45519</c:v>
                </c:pt>
                <c:pt idx="228">
                  <c:v>45520</c:v>
                </c:pt>
                <c:pt idx="229">
                  <c:v>45521</c:v>
                </c:pt>
                <c:pt idx="230">
                  <c:v>45522</c:v>
                </c:pt>
                <c:pt idx="231">
                  <c:v>45523</c:v>
                </c:pt>
                <c:pt idx="232">
                  <c:v>45524</c:v>
                </c:pt>
                <c:pt idx="233">
                  <c:v>45525</c:v>
                </c:pt>
                <c:pt idx="234">
                  <c:v>45526</c:v>
                </c:pt>
                <c:pt idx="235">
                  <c:v>45527</c:v>
                </c:pt>
                <c:pt idx="236">
                  <c:v>45528</c:v>
                </c:pt>
                <c:pt idx="237">
                  <c:v>45529</c:v>
                </c:pt>
                <c:pt idx="238">
                  <c:v>45530</c:v>
                </c:pt>
                <c:pt idx="239">
                  <c:v>45531</c:v>
                </c:pt>
                <c:pt idx="240">
                  <c:v>45532</c:v>
                </c:pt>
                <c:pt idx="241">
                  <c:v>45533</c:v>
                </c:pt>
                <c:pt idx="242">
                  <c:v>45534</c:v>
                </c:pt>
              </c:numCache>
            </c:numRef>
          </c:cat>
          <c:val>
            <c:numRef>
              <c:f>'Forecasting the sale'!$C$2:$C$244</c:f>
              <c:numCache>
                <c:formatCode>General</c:formatCode>
                <c:ptCount val="243"/>
                <c:pt idx="181" formatCode="[$-409]mmmm\ d\,\ yyyy;@">
                  <c:v>45473</c:v>
                </c:pt>
                <c:pt idx="182" formatCode="[$-409]mmmm\ d\,\ yyyy;@">
                  <c:v>45474</c:v>
                </c:pt>
                <c:pt idx="183" formatCode="[$-409]mmmm\ d\,\ yyyy;@">
                  <c:v>45475</c:v>
                </c:pt>
                <c:pt idx="184" formatCode="[$-409]mmmm\ d\,\ yyyy;@">
                  <c:v>45476</c:v>
                </c:pt>
                <c:pt idx="185" formatCode="[$-409]mmmm\ d\,\ yyyy;@">
                  <c:v>45477</c:v>
                </c:pt>
                <c:pt idx="186" formatCode="[$-409]mmmm\ d\,\ yyyy;@">
                  <c:v>45478</c:v>
                </c:pt>
                <c:pt idx="187" formatCode="[$-409]mmmm\ d\,\ yyyy;@">
                  <c:v>45479</c:v>
                </c:pt>
                <c:pt idx="188" formatCode="[$-409]mmmm\ d\,\ yyyy;@">
                  <c:v>45480</c:v>
                </c:pt>
                <c:pt idx="189" formatCode="[$-409]mmmm\ d\,\ yyyy;@">
                  <c:v>45481</c:v>
                </c:pt>
                <c:pt idx="190" formatCode="[$-409]mmmm\ d\,\ yyyy;@">
                  <c:v>45482</c:v>
                </c:pt>
                <c:pt idx="191" formatCode="[$-409]mmmm\ d\,\ yyyy;@">
                  <c:v>45483</c:v>
                </c:pt>
                <c:pt idx="192" formatCode="[$-409]mmmm\ d\,\ yyyy;@">
                  <c:v>45484</c:v>
                </c:pt>
                <c:pt idx="193" formatCode="[$-409]mmmm\ d\,\ yyyy;@">
                  <c:v>45485</c:v>
                </c:pt>
                <c:pt idx="194" formatCode="[$-409]mmmm\ d\,\ yyyy;@">
                  <c:v>45486</c:v>
                </c:pt>
                <c:pt idx="195" formatCode="[$-409]mmmm\ d\,\ yyyy;@">
                  <c:v>45487</c:v>
                </c:pt>
                <c:pt idx="196" formatCode="[$-409]mmmm\ d\,\ yyyy;@">
                  <c:v>45488</c:v>
                </c:pt>
                <c:pt idx="197" formatCode="[$-409]mmmm\ d\,\ yyyy;@">
                  <c:v>45489</c:v>
                </c:pt>
                <c:pt idx="198" formatCode="[$-409]mmmm\ d\,\ yyyy;@">
                  <c:v>45490</c:v>
                </c:pt>
                <c:pt idx="199" formatCode="[$-409]mmmm\ d\,\ yyyy;@">
                  <c:v>45491</c:v>
                </c:pt>
                <c:pt idx="200" formatCode="[$-409]mmmm\ d\,\ yyyy;@">
                  <c:v>45492</c:v>
                </c:pt>
                <c:pt idx="201" formatCode="[$-409]mmmm\ d\,\ yyyy;@">
                  <c:v>45493</c:v>
                </c:pt>
                <c:pt idx="202" formatCode="[$-409]mmmm\ d\,\ yyyy;@">
                  <c:v>45494</c:v>
                </c:pt>
                <c:pt idx="203" formatCode="[$-409]mmmm\ d\,\ yyyy;@">
                  <c:v>45495</c:v>
                </c:pt>
                <c:pt idx="204" formatCode="[$-409]mmmm\ d\,\ yyyy;@">
                  <c:v>45496</c:v>
                </c:pt>
                <c:pt idx="205" formatCode="[$-409]mmmm\ d\,\ yyyy;@">
                  <c:v>45497</c:v>
                </c:pt>
                <c:pt idx="206" formatCode="[$-409]mmmm\ d\,\ yyyy;@">
                  <c:v>45498</c:v>
                </c:pt>
                <c:pt idx="207" formatCode="[$-409]mmmm\ d\,\ yyyy;@">
                  <c:v>45499</c:v>
                </c:pt>
                <c:pt idx="208" formatCode="[$-409]mmmm\ d\,\ yyyy;@">
                  <c:v>45500</c:v>
                </c:pt>
                <c:pt idx="209" formatCode="[$-409]mmmm\ d\,\ yyyy;@">
                  <c:v>45501</c:v>
                </c:pt>
                <c:pt idx="210" formatCode="[$-409]mmmm\ d\,\ yyyy;@">
                  <c:v>45502</c:v>
                </c:pt>
                <c:pt idx="211" formatCode="[$-409]mmmm\ d\,\ yyyy;@">
                  <c:v>45503</c:v>
                </c:pt>
                <c:pt idx="212" formatCode="[$-409]mmmm\ d\,\ yyyy;@">
                  <c:v>45504</c:v>
                </c:pt>
                <c:pt idx="213" formatCode="[$-409]mmmm\ d\,\ yyyy;@">
                  <c:v>45505</c:v>
                </c:pt>
                <c:pt idx="214" formatCode="[$-409]mmmm\ d\,\ yyyy;@">
                  <c:v>45506</c:v>
                </c:pt>
                <c:pt idx="215" formatCode="[$-409]mmmm\ d\,\ yyyy;@">
                  <c:v>45507</c:v>
                </c:pt>
                <c:pt idx="216" formatCode="[$-409]mmmm\ d\,\ yyyy;@">
                  <c:v>45508</c:v>
                </c:pt>
                <c:pt idx="217" formatCode="[$-409]mmmm\ d\,\ yyyy;@">
                  <c:v>45509</c:v>
                </c:pt>
                <c:pt idx="218" formatCode="[$-409]mmmm\ d\,\ yyyy;@">
                  <c:v>45510</c:v>
                </c:pt>
                <c:pt idx="219" formatCode="[$-409]mmmm\ d\,\ yyyy;@">
                  <c:v>45511</c:v>
                </c:pt>
                <c:pt idx="220" formatCode="[$-409]mmmm\ d\,\ yyyy;@">
                  <c:v>45512</c:v>
                </c:pt>
                <c:pt idx="221" formatCode="[$-409]mmmm\ d\,\ yyyy;@">
                  <c:v>45513</c:v>
                </c:pt>
                <c:pt idx="222" formatCode="[$-409]mmmm\ d\,\ yyyy;@">
                  <c:v>45514</c:v>
                </c:pt>
                <c:pt idx="223" formatCode="[$-409]mmmm\ d\,\ yyyy;@">
                  <c:v>45515</c:v>
                </c:pt>
                <c:pt idx="224" formatCode="[$-409]mmmm\ d\,\ yyyy;@">
                  <c:v>45516</c:v>
                </c:pt>
                <c:pt idx="225" formatCode="[$-409]mmmm\ d\,\ yyyy;@">
                  <c:v>45517</c:v>
                </c:pt>
                <c:pt idx="226" formatCode="[$-409]mmmm\ d\,\ yyyy;@">
                  <c:v>45518</c:v>
                </c:pt>
                <c:pt idx="227" formatCode="[$-409]mmmm\ d\,\ yyyy;@">
                  <c:v>45519</c:v>
                </c:pt>
                <c:pt idx="228" formatCode="[$-409]mmmm\ d\,\ yyyy;@">
                  <c:v>45520</c:v>
                </c:pt>
                <c:pt idx="229" formatCode="[$-409]mmmm\ d\,\ yyyy;@">
                  <c:v>45521</c:v>
                </c:pt>
                <c:pt idx="230" formatCode="[$-409]mmmm\ d\,\ yyyy;@">
                  <c:v>45522</c:v>
                </c:pt>
                <c:pt idx="231" formatCode="[$-409]mmmm\ d\,\ yyyy;@">
                  <c:v>45523</c:v>
                </c:pt>
                <c:pt idx="232" formatCode="[$-409]mmmm\ d\,\ yyyy;@">
                  <c:v>45524</c:v>
                </c:pt>
                <c:pt idx="233" formatCode="[$-409]mmmm\ d\,\ yyyy;@">
                  <c:v>45525</c:v>
                </c:pt>
                <c:pt idx="234" formatCode="[$-409]mmmm\ d\,\ yyyy;@">
                  <c:v>45526</c:v>
                </c:pt>
                <c:pt idx="235" formatCode="[$-409]mmmm\ d\,\ yyyy;@">
                  <c:v>45527</c:v>
                </c:pt>
                <c:pt idx="236" formatCode="[$-409]mmmm\ d\,\ yyyy;@">
                  <c:v>45528</c:v>
                </c:pt>
                <c:pt idx="237" formatCode="[$-409]mmmm\ d\,\ yyyy;@">
                  <c:v>45529</c:v>
                </c:pt>
                <c:pt idx="238" formatCode="[$-409]mmmm\ d\,\ yyyy;@">
                  <c:v>45530</c:v>
                </c:pt>
                <c:pt idx="239" formatCode="[$-409]mmmm\ d\,\ yyyy;@">
                  <c:v>45531</c:v>
                </c:pt>
                <c:pt idx="240" formatCode="[$-409]mmmm\ d\,\ yyyy;@">
                  <c:v>45532</c:v>
                </c:pt>
                <c:pt idx="241" formatCode="[$-409]mmmm\ d\,\ yyyy;@">
                  <c:v>45533</c:v>
                </c:pt>
                <c:pt idx="242" formatCode="[$-409]mmmm\ d\,\ yyyy;@">
                  <c:v>45534</c:v>
                </c:pt>
              </c:numCache>
            </c:numRef>
          </c:val>
          <c:smooth val="0"/>
          <c:extLst>
            <c:ext xmlns:c16="http://schemas.microsoft.com/office/drawing/2014/chart" uri="{C3380CC4-5D6E-409C-BE32-E72D297353CC}">
              <c16:uniqueId val="{00000001-9B3C-48EF-BAAB-1CA9295AE5D5}"/>
            </c:ext>
          </c:extLst>
        </c:ser>
        <c:ser>
          <c:idx val="2"/>
          <c:order val="2"/>
          <c:tx>
            <c:strRef>
              <c:f>'Forecasting the sale'!$D$1</c:f>
              <c:strCache>
                <c:ptCount val="1"/>
                <c:pt idx="0">
                  <c:v>Lower Confidence Bound</c:v>
                </c:pt>
              </c:strCache>
            </c:strRef>
          </c:tx>
          <c:spPr>
            <a:ln w="12700" cap="rnd">
              <a:solidFill>
                <a:srgbClr val="ED7D31"/>
              </a:solidFill>
              <a:prstDash val="solid"/>
              <a:round/>
            </a:ln>
            <a:effectLst/>
          </c:spPr>
          <c:marker>
            <c:symbol val="none"/>
          </c:marker>
          <c:cat>
            <c:numRef>
              <c:f>'Forecasting the sale'!$A$2:$A$244</c:f>
              <c:numCache>
                <c:formatCode>[$-409]mmmm\ d\,\ yyyy;@</c:formatCode>
                <c:ptCount val="243"/>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pt idx="16">
                  <c:v>45308</c:v>
                </c:pt>
                <c:pt idx="17">
                  <c:v>45309</c:v>
                </c:pt>
                <c:pt idx="18">
                  <c:v>45310</c:v>
                </c:pt>
                <c:pt idx="19">
                  <c:v>45311</c:v>
                </c:pt>
                <c:pt idx="20">
                  <c:v>45312</c:v>
                </c:pt>
                <c:pt idx="21">
                  <c:v>45313</c:v>
                </c:pt>
                <c:pt idx="22">
                  <c:v>45314</c:v>
                </c:pt>
                <c:pt idx="23">
                  <c:v>45315</c:v>
                </c:pt>
                <c:pt idx="24">
                  <c:v>45316</c:v>
                </c:pt>
                <c:pt idx="25">
                  <c:v>45317</c:v>
                </c:pt>
                <c:pt idx="26">
                  <c:v>45318</c:v>
                </c:pt>
                <c:pt idx="27">
                  <c:v>45319</c:v>
                </c:pt>
                <c:pt idx="28">
                  <c:v>45320</c:v>
                </c:pt>
                <c:pt idx="29">
                  <c:v>45321</c:v>
                </c:pt>
                <c:pt idx="30">
                  <c:v>45322</c:v>
                </c:pt>
                <c:pt idx="31">
                  <c:v>45323</c:v>
                </c:pt>
                <c:pt idx="32">
                  <c:v>45324</c:v>
                </c:pt>
                <c:pt idx="33">
                  <c:v>45325</c:v>
                </c:pt>
                <c:pt idx="34">
                  <c:v>45326</c:v>
                </c:pt>
                <c:pt idx="35">
                  <c:v>45327</c:v>
                </c:pt>
                <c:pt idx="36">
                  <c:v>45328</c:v>
                </c:pt>
                <c:pt idx="37">
                  <c:v>45329</c:v>
                </c:pt>
                <c:pt idx="38">
                  <c:v>45330</c:v>
                </c:pt>
                <c:pt idx="39">
                  <c:v>45331</c:v>
                </c:pt>
                <c:pt idx="40">
                  <c:v>45332</c:v>
                </c:pt>
                <c:pt idx="41">
                  <c:v>45333</c:v>
                </c:pt>
                <c:pt idx="42">
                  <c:v>45334</c:v>
                </c:pt>
                <c:pt idx="43">
                  <c:v>45335</c:v>
                </c:pt>
                <c:pt idx="44">
                  <c:v>45336</c:v>
                </c:pt>
                <c:pt idx="45">
                  <c:v>45337</c:v>
                </c:pt>
                <c:pt idx="46">
                  <c:v>45338</c:v>
                </c:pt>
                <c:pt idx="47">
                  <c:v>45339</c:v>
                </c:pt>
                <c:pt idx="48">
                  <c:v>45340</c:v>
                </c:pt>
                <c:pt idx="49">
                  <c:v>45341</c:v>
                </c:pt>
                <c:pt idx="50">
                  <c:v>45342</c:v>
                </c:pt>
                <c:pt idx="51">
                  <c:v>45343</c:v>
                </c:pt>
                <c:pt idx="52">
                  <c:v>45344</c:v>
                </c:pt>
                <c:pt idx="53">
                  <c:v>45345</c:v>
                </c:pt>
                <c:pt idx="54">
                  <c:v>45346</c:v>
                </c:pt>
                <c:pt idx="55">
                  <c:v>45347</c:v>
                </c:pt>
                <c:pt idx="56">
                  <c:v>45348</c:v>
                </c:pt>
                <c:pt idx="57">
                  <c:v>45349</c:v>
                </c:pt>
                <c:pt idx="58">
                  <c:v>45350</c:v>
                </c:pt>
                <c:pt idx="59">
                  <c:v>45351</c:v>
                </c:pt>
                <c:pt idx="60">
                  <c:v>45352</c:v>
                </c:pt>
                <c:pt idx="61">
                  <c:v>45353</c:v>
                </c:pt>
                <c:pt idx="62">
                  <c:v>45354</c:v>
                </c:pt>
                <c:pt idx="63">
                  <c:v>45355</c:v>
                </c:pt>
                <c:pt idx="64">
                  <c:v>45356</c:v>
                </c:pt>
                <c:pt idx="65">
                  <c:v>45357</c:v>
                </c:pt>
                <c:pt idx="66">
                  <c:v>45358</c:v>
                </c:pt>
                <c:pt idx="67">
                  <c:v>45359</c:v>
                </c:pt>
                <c:pt idx="68">
                  <c:v>45360</c:v>
                </c:pt>
                <c:pt idx="69">
                  <c:v>45361</c:v>
                </c:pt>
                <c:pt idx="70">
                  <c:v>45362</c:v>
                </c:pt>
                <c:pt idx="71">
                  <c:v>45363</c:v>
                </c:pt>
                <c:pt idx="72">
                  <c:v>45364</c:v>
                </c:pt>
                <c:pt idx="73">
                  <c:v>45365</c:v>
                </c:pt>
                <c:pt idx="74">
                  <c:v>45366</c:v>
                </c:pt>
                <c:pt idx="75">
                  <c:v>45367</c:v>
                </c:pt>
                <c:pt idx="76">
                  <c:v>45368</c:v>
                </c:pt>
                <c:pt idx="77">
                  <c:v>45369</c:v>
                </c:pt>
                <c:pt idx="78">
                  <c:v>45370</c:v>
                </c:pt>
                <c:pt idx="79">
                  <c:v>45371</c:v>
                </c:pt>
                <c:pt idx="80">
                  <c:v>45372</c:v>
                </c:pt>
                <c:pt idx="81">
                  <c:v>45373</c:v>
                </c:pt>
                <c:pt idx="82">
                  <c:v>45374</c:v>
                </c:pt>
                <c:pt idx="83">
                  <c:v>45375</c:v>
                </c:pt>
                <c:pt idx="84">
                  <c:v>45376</c:v>
                </c:pt>
                <c:pt idx="85">
                  <c:v>45377</c:v>
                </c:pt>
                <c:pt idx="86">
                  <c:v>45378</c:v>
                </c:pt>
                <c:pt idx="87">
                  <c:v>45379</c:v>
                </c:pt>
                <c:pt idx="88">
                  <c:v>45380</c:v>
                </c:pt>
                <c:pt idx="89">
                  <c:v>45381</c:v>
                </c:pt>
                <c:pt idx="90">
                  <c:v>45382</c:v>
                </c:pt>
                <c:pt idx="91">
                  <c:v>45383</c:v>
                </c:pt>
                <c:pt idx="92">
                  <c:v>45384</c:v>
                </c:pt>
                <c:pt idx="93">
                  <c:v>45385</c:v>
                </c:pt>
                <c:pt idx="94">
                  <c:v>45386</c:v>
                </c:pt>
                <c:pt idx="95">
                  <c:v>45387</c:v>
                </c:pt>
                <c:pt idx="96">
                  <c:v>45388</c:v>
                </c:pt>
                <c:pt idx="97">
                  <c:v>45389</c:v>
                </c:pt>
                <c:pt idx="98">
                  <c:v>45390</c:v>
                </c:pt>
                <c:pt idx="99">
                  <c:v>45391</c:v>
                </c:pt>
                <c:pt idx="100">
                  <c:v>45392</c:v>
                </c:pt>
                <c:pt idx="101">
                  <c:v>45393</c:v>
                </c:pt>
                <c:pt idx="102">
                  <c:v>45394</c:v>
                </c:pt>
                <c:pt idx="103">
                  <c:v>45395</c:v>
                </c:pt>
                <c:pt idx="104">
                  <c:v>45396</c:v>
                </c:pt>
                <c:pt idx="105">
                  <c:v>45397</c:v>
                </c:pt>
                <c:pt idx="106">
                  <c:v>45398</c:v>
                </c:pt>
                <c:pt idx="107">
                  <c:v>45399</c:v>
                </c:pt>
                <c:pt idx="108">
                  <c:v>45400</c:v>
                </c:pt>
                <c:pt idx="109">
                  <c:v>45401</c:v>
                </c:pt>
                <c:pt idx="110">
                  <c:v>45402</c:v>
                </c:pt>
                <c:pt idx="111">
                  <c:v>45403</c:v>
                </c:pt>
                <c:pt idx="112">
                  <c:v>45404</c:v>
                </c:pt>
                <c:pt idx="113">
                  <c:v>45405</c:v>
                </c:pt>
                <c:pt idx="114">
                  <c:v>45406</c:v>
                </c:pt>
                <c:pt idx="115">
                  <c:v>45407</c:v>
                </c:pt>
                <c:pt idx="116">
                  <c:v>45408</c:v>
                </c:pt>
                <c:pt idx="117">
                  <c:v>45409</c:v>
                </c:pt>
                <c:pt idx="118">
                  <c:v>45410</c:v>
                </c:pt>
                <c:pt idx="119">
                  <c:v>45411</c:v>
                </c:pt>
                <c:pt idx="120">
                  <c:v>45412</c:v>
                </c:pt>
                <c:pt idx="121">
                  <c:v>45413</c:v>
                </c:pt>
                <c:pt idx="122">
                  <c:v>45414</c:v>
                </c:pt>
                <c:pt idx="123">
                  <c:v>45415</c:v>
                </c:pt>
                <c:pt idx="124">
                  <c:v>45416</c:v>
                </c:pt>
                <c:pt idx="125">
                  <c:v>45417</c:v>
                </c:pt>
                <c:pt idx="126">
                  <c:v>45418</c:v>
                </c:pt>
                <c:pt idx="127">
                  <c:v>45419</c:v>
                </c:pt>
                <c:pt idx="128">
                  <c:v>45420</c:v>
                </c:pt>
                <c:pt idx="129">
                  <c:v>45421</c:v>
                </c:pt>
                <c:pt idx="130">
                  <c:v>45422</c:v>
                </c:pt>
                <c:pt idx="131">
                  <c:v>45423</c:v>
                </c:pt>
                <c:pt idx="132">
                  <c:v>45424</c:v>
                </c:pt>
                <c:pt idx="133">
                  <c:v>45425</c:v>
                </c:pt>
                <c:pt idx="134">
                  <c:v>45426</c:v>
                </c:pt>
                <c:pt idx="135">
                  <c:v>45427</c:v>
                </c:pt>
                <c:pt idx="136">
                  <c:v>45428</c:v>
                </c:pt>
                <c:pt idx="137">
                  <c:v>45429</c:v>
                </c:pt>
                <c:pt idx="138">
                  <c:v>45430</c:v>
                </c:pt>
                <c:pt idx="139">
                  <c:v>45431</c:v>
                </c:pt>
                <c:pt idx="140">
                  <c:v>45432</c:v>
                </c:pt>
                <c:pt idx="141">
                  <c:v>45433</c:v>
                </c:pt>
                <c:pt idx="142">
                  <c:v>45434</c:v>
                </c:pt>
                <c:pt idx="143">
                  <c:v>45435</c:v>
                </c:pt>
                <c:pt idx="144">
                  <c:v>45436</c:v>
                </c:pt>
                <c:pt idx="145">
                  <c:v>45437</c:v>
                </c:pt>
                <c:pt idx="146">
                  <c:v>45438</c:v>
                </c:pt>
                <c:pt idx="147">
                  <c:v>45439</c:v>
                </c:pt>
                <c:pt idx="148">
                  <c:v>45440</c:v>
                </c:pt>
                <c:pt idx="149">
                  <c:v>45441</c:v>
                </c:pt>
                <c:pt idx="150">
                  <c:v>45442</c:v>
                </c:pt>
                <c:pt idx="151">
                  <c:v>45443</c:v>
                </c:pt>
                <c:pt idx="152">
                  <c:v>45444</c:v>
                </c:pt>
                <c:pt idx="153">
                  <c:v>45445</c:v>
                </c:pt>
                <c:pt idx="154">
                  <c:v>45446</c:v>
                </c:pt>
                <c:pt idx="155">
                  <c:v>45447</c:v>
                </c:pt>
                <c:pt idx="156">
                  <c:v>45448</c:v>
                </c:pt>
                <c:pt idx="157">
                  <c:v>45449</c:v>
                </c:pt>
                <c:pt idx="158">
                  <c:v>45450</c:v>
                </c:pt>
                <c:pt idx="159">
                  <c:v>45451</c:v>
                </c:pt>
                <c:pt idx="160">
                  <c:v>45452</c:v>
                </c:pt>
                <c:pt idx="161">
                  <c:v>45453</c:v>
                </c:pt>
                <c:pt idx="162">
                  <c:v>45454</c:v>
                </c:pt>
                <c:pt idx="163">
                  <c:v>45455</c:v>
                </c:pt>
                <c:pt idx="164">
                  <c:v>45456</c:v>
                </c:pt>
                <c:pt idx="165">
                  <c:v>45457</c:v>
                </c:pt>
                <c:pt idx="166">
                  <c:v>45458</c:v>
                </c:pt>
                <c:pt idx="167">
                  <c:v>45459</c:v>
                </c:pt>
                <c:pt idx="168">
                  <c:v>45460</c:v>
                </c:pt>
                <c:pt idx="169">
                  <c:v>45461</c:v>
                </c:pt>
                <c:pt idx="170">
                  <c:v>45462</c:v>
                </c:pt>
                <c:pt idx="171">
                  <c:v>45463</c:v>
                </c:pt>
                <c:pt idx="172">
                  <c:v>45464</c:v>
                </c:pt>
                <c:pt idx="173">
                  <c:v>45465</c:v>
                </c:pt>
                <c:pt idx="174">
                  <c:v>45466</c:v>
                </c:pt>
                <c:pt idx="175">
                  <c:v>45467</c:v>
                </c:pt>
                <c:pt idx="176">
                  <c:v>45468</c:v>
                </c:pt>
                <c:pt idx="177">
                  <c:v>45469</c:v>
                </c:pt>
                <c:pt idx="178">
                  <c:v>45470</c:v>
                </c:pt>
                <c:pt idx="179">
                  <c:v>45471</c:v>
                </c:pt>
                <c:pt idx="180">
                  <c:v>45472</c:v>
                </c:pt>
                <c:pt idx="181">
                  <c:v>45473</c:v>
                </c:pt>
                <c:pt idx="182">
                  <c:v>45474</c:v>
                </c:pt>
                <c:pt idx="183">
                  <c:v>45475</c:v>
                </c:pt>
                <c:pt idx="184">
                  <c:v>45476</c:v>
                </c:pt>
                <c:pt idx="185">
                  <c:v>45477</c:v>
                </c:pt>
                <c:pt idx="186">
                  <c:v>45478</c:v>
                </c:pt>
                <c:pt idx="187">
                  <c:v>45479</c:v>
                </c:pt>
                <c:pt idx="188">
                  <c:v>45480</c:v>
                </c:pt>
                <c:pt idx="189">
                  <c:v>45481</c:v>
                </c:pt>
                <c:pt idx="190">
                  <c:v>45482</c:v>
                </c:pt>
                <c:pt idx="191">
                  <c:v>45483</c:v>
                </c:pt>
                <c:pt idx="192">
                  <c:v>45484</c:v>
                </c:pt>
                <c:pt idx="193">
                  <c:v>45485</c:v>
                </c:pt>
                <c:pt idx="194">
                  <c:v>45486</c:v>
                </c:pt>
                <c:pt idx="195">
                  <c:v>45487</c:v>
                </c:pt>
                <c:pt idx="196">
                  <c:v>45488</c:v>
                </c:pt>
                <c:pt idx="197">
                  <c:v>45489</c:v>
                </c:pt>
                <c:pt idx="198">
                  <c:v>45490</c:v>
                </c:pt>
                <c:pt idx="199">
                  <c:v>45491</c:v>
                </c:pt>
                <c:pt idx="200">
                  <c:v>45492</c:v>
                </c:pt>
                <c:pt idx="201">
                  <c:v>45493</c:v>
                </c:pt>
                <c:pt idx="202">
                  <c:v>45494</c:v>
                </c:pt>
                <c:pt idx="203">
                  <c:v>45495</c:v>
                </c:pt>
                <c:pt idx="204">
                  <c:v>45496</c:v>
                </c:pt>
                <c:pt idx="205">
                  <c:v>45497</c:v>
                </c:pt>
                <c:pt idx="206">
                  <c:v>45498</c:v>
                </c:pt>
                <c:pt idx="207">
                  <c:v>45499</c:v>
                </c:pt>
                <c:pt idx="208">
                  <c:v>45500</c:v>
                </c:pt>
                <c:pt idx="209">
                  <c:v>45501</c:v>
                </c:pt>
                <c:pt idx="210">
                  <c:v>45502</c:v>
                </c:pt>
                <c:pt idx="211">
                  <c:v>45503</c:v>
                </c:pt>
                <c:pt idx="212">
                  <c:v>45504</c:v>
                </c:pt>
                <c:pt idx="213">
                  <c:v>45505</c:v>
                </c:pt>
                <c:pt idx="214">
                  <c:v>45506</c:v>
                </c:pt>
                <c:pt idx="215">
                  <c:v>45507</c:v>
                </c:pt>
                <c:pt idx="216">
                  <c:v>45508</c:v>
                </c:pt>
                <c:pt idx="217">
                  <c:v>45509</c:v>
                </c:pt>
                <c:pt idx="218">
                  <c:v>45510</c:v>
                </c:pt>
                <c:pt idx="219">
                  <c:v>45511</c:v>
                </c:pt>
                <c:pt idx="220">
                  <c:v>45512</c:v>
                </c:pt>
                <c:pt idx="221">
                  <c:v>45513</c:v>
                </c:pt>
                <c:pt idx="222">
                  <c:v>45514</c:v>
                </c:pt>
                <c:pt idx="223">
                  <c:v>45515</c:v>
                </c:pt>
                <c:pt idx="224">
                  <c:v>45516</c:v>
                </c:pt>
                <c:pt idx="225">
                  <c:v>45517</c:v>
                </c:pt>
                <c:pt idx="226">
                  <c:v>45518</c:v>
                </c:pt>
                <c:pt idx="227">
                  <c:v>45519</c:v>
                </c:pt>
                <c:pt idx="228">
                  <c:v>45520</c:v>
                </c:pt>
                <c:pt idx="229">
                  <c:v>45521</c:v>
                </c:pt>
                <c:pt idx="230">
                  <c:v>45522</c:v>
                </c:pt>
                <c:pt idx="231">
                  <c:v>45523</c:v>
                </c:pt>
                <c:pt idx="232">
                  <c:v>45524</c:v>
                </c:pt>
                <c:pt idx="233">
                  <c:v>45525</c:v>
                </c:pt>
                <c:pt idx="234">
                  <c:v>45526</c:v>
                </c:pt>
                <c:pt idx="235">
                  <c:v>45527</c:v>
                </c:pt>
                <c:pt idx="236">
                  <c:v>45528</c:v>
                </c:pt>
                <c:pt idx="237">
                  <c:v>45529</c:v>
                </c:pt>
                <c:pt idx="238">
                  <c:v>45530</c:v>
                </c:pt>
                <c:pt idx="239">
                  <c:v>45531</c:v>
                </c:pt>
                <c:pt idx="240">
                  <c:v>45532</c:v>
                </c:pt>
                <c:pt idx="241">
                  <c:v>45533</c:v>
                </c:pt>
                <c:pt idx="242">
                  <c:v>45534</c:v>
                </c:pt>
              </c:numCache>
            </c:numRef>
          </c:cat>
          <c:val>
            <c:numRef>
              <c:f>'Forecasting the sale'!$D$2:$D$244</c:f>
              <c:numCache>
                <c:formatCode>General</c:formatCode>
                <c:ptCount val="243"/>
                <c:pt idx="181" formatCode="[$-409]mmmm\ d\,\ yyyy;@">
                  <c:v>45473</c:v>
                </c:pt>
                <c:pt idx="182" formatCode="[$-409]mmmm\ d\,\ yyyy;@">
                  <c:v>45474</c:v>
                </c:pt>
                <c:pt idx="183" formatCode="[$-409]mmmm\ d\,\ yyyy;@">
                  <c:v>45475</c:v>
                </c:pt>
                <c:pt idx="184" formatCode="[$-409]mmmm\ d\,\ yyyy;@">
                  <c:v>45476</c:v>
                </c:pt>
                <c:pt idx="185" formatCode="[$-409]mmmm\ d\,\ yyyy;@">
                  <c:v>45477</c:v>
                </c:pt>
                <c:pt idx="186" formatCode="[$-409]mmmm\ d\,\ yyyy;@">
                  <c:v>45478</c:v>
                </c:pt>
                <c:pt idx="187" formatCode="[$-409]mmmm\ d\,\ yyyy;@">
                  <c:v>45479</c:v>
                </c:pt>
                <c:pt idx="188" formatCode="[$-409]mmmm\ d\,\ yyyy;@">
                  <c:v>45480</c:v>
                </c:pt>
                <c:pt idx="189" formatCode="[$-409]mmmm\ d\,\ yyyy;@">
                  <c:v>45481</c:v>
                </c:pt>
                <c:pt idx="190" formatCode="[$-409]mmmm\ d\,\ yyyy;@">
                  <c:v>45482</c:v>
                </c:pt>
                <c:pt idx="191" formatCode="[$-409]mmmm\ d\,\ yyyy;@">
                  <c:v>45483</c:v>
                </c:pt>
                <c:pt idx="192" formatCode="[$-409]mmmm\ d\,\ yyyy;@">
                  <c:v>45484</c:v>
                </c:pt>
                <c:pt idx="193" formatCode="[$-409]mmmm\ d\,\ yyyy;@">
                  <c:v>45485</c:v>
                </c:pt>
                <c:pt idx="194" formatCode="[$-409]mmmm\ d\,\ yyyy;@">
                  <c:v>45486</c:v>
                </c:pt>
                <c:pt idx="195" formatCode="[$-409]mmmm\ d\,\ yyyy;@">
                  <c:v>45487</c:v>
                </c:pt>
                <c:pt idx="196" formatCode="[$-409]mmmm\ d\,\ yyyy;@">
                  <c:v>45488</c:v>
                </c:pt>
                <c:pt idx="197" formatCode="[$-409]mmmm\ d\,\ yyyy;@">
                  <c:v>45489</c:v>
                </c:pt>
                <c:pt idx="198" formatCode="[$-409]mmmm\ d\,\ yyyy;@">
                  <c:v>45490</c:v>
                </c:pt>
                <c:pt idx="199" formatCode="[$-409]mmmm\ d\,\ yyyy;@">
                  <c:v>45491</c:v>
                </c:pt>
                <c:pt idx="200" formatCode="[$-409]mmmm\ d\,\ yyyy;@">
                  <c:v>45492</c:v>
                </c:pt>
                <c:pt idx="201" formatCode="[$-409]mmmm\ d\,\ yyyy;@">
                  <c:v>45493</c:v>
                </c:pt>
                <c:pt idx="202" formatCode="[$-409]mmmm\ d\,\ yyyy;@">
                  <c:v>45494</c:v>
                </c:pt>
                <c:pt idx="203" formatCode="[$-409]mmmm\ d\,\ yyyy;@">
                  <c:v>45495</c:v>
                </c:pt>
                <c:pt idx="204" formatCode="[$-409]mmmm\ d\,\ yyyy;@">
                  <c:v>45496</c:v>
                </c:pt>
                <c:pt idx="205" formatCode="[$-409]mmmm\ d\,\ yyyy;@">
                  <c:v>45497</c:v>
                </c:pt>
                <c:pt idx="206" formatCode="[$-409]mmmm\ d\,\ yyyy;@">
                  <c:v>45498</c:v>
                </c:pt>
                <c:pt idx="207" formatCode="[$-409]mmmm\ d\,\ yyyy;@">
                  <c:v>45499</c:v>
                </c:pt>
                <c:pt idx="208" formatCode="[$-409]mmmm\ d\,\ yyyy;@">
                  <c:v>45500</c:v>
                </c:pt>
                <c:pt idx="209" formatCode="[$-409]mmmm\ d\,\ yyyy;@">
                  <c:v>45501</c:v>
                </c:pt>
                <c:pt idx="210" formatCode="[$-409]mmmm\ d\,\ yyyy;@">
                  <c:v>45502</c:v>
                </c:pt>
                <c:pt idx="211" formatCode="[$-409]mmmm\ d\,\ yyyy;@">
                  <c:v>45503</c:v>
                </c:pt>
                <c:pt idx="212" formatCode="[$-409]mmmm\ d\,\ yyyy;@">
                  <c:v>45504</c:v>
                </c:pt>
                <c:pt idx="213" formatCode="[$-409]mmmm\ d\,\ yyyy;@">
                  <c:v>45505</c:v>
                </c:pt>
                <c:pt idx="214" formatCode="[$-409]mmmm\ d\,\ yyyy;@">
                  <c:v>45506</c:v>
                </c:pt>
                <c:pt idx="215" formatCode="[$-409]mmmm\ d\,\ yyyy;@">
                  <c:v>45507</c:v>
                </c:pt>
                <c:pt idx="216" formatCode="[$-409]mmmm\ d\,\ yyyy;@">
                  <c:v>45508</c:v>
                </c:pt>
                <c:pt idx="217" formatCode="[$-409]mmmm\ d\,\ yyyy;@">
                  <c:v>45509</c:v>
                </c:pt>
                <c:pt idx="218" formatCode="[$-409]mmmm\ d\,\ yyyy;@">
                  <c:v>45510</c:v>
                </c:pt>
                <c:pt idx="219" formatCode="[$-409]mmmm\ d\,\ yyyy;@">
                  <c:v>45511</c:v>
                </c:pt>
                <c:pt idx="220" formatCode="[$-409]mmmm\ d\,\ yyyy;@">
                  <c:v>45512</c:v>
                </c:pt>
                <c:pt idx="221" formatCode="[$-409]mmmm\ d\,\ yyyy;@">
                  <c:v>45513</c:v>
                </c:pt>
                <c:pt idx="222" formatCode="[$-409]mmmm\ d\,\ yyyy;@">
                  <c:v>45514</c:v>
                </c:pt>
                <c:pt idx="223" formatCode="[$-409]mmmm\ d\,\ yyyy;@">
                  <c:v>45515</c:v>
                </c:pt>
                <c:pt idx="224" formatCode="[$-409]mmmm\ d\,\ yyyy;@">
                  <c:v>45516</c:v>
                </c:pt>
                <c:pt idx="225" formatCode="[$-409]mmmm\ d\,\ yyyy;@">
                  <c:v>45517</c:v>
                </c:pt>
                <c:pt idx="226" formatCode="[$-409]mmmm\ d\,\ yyyy;@">
                  <c:v>45518</c:v>
                </c:pt>
                <c:pt idx="227" formatCode="[$-409]mmmm\ d\,\ yyyy;@">
                  <c:v>45519</c:v>
                </c:pt>
                <c:pt idx="228" formatCode="[$-409]mmmm\ d\,\ yyyy;@">
                  <c:v>45520</c:v>
                </c:pt>
                <c:pt idx="229" formatCode="[$-409]mmmm\ d\,\ yyyy;@">
                  <c:v>45521</c:v>
                </c:pt>
                <c:pt idx="230" formatCode="[$-409]mmmm\ d\,\ yyyy;@">
                  <c:v>45522</c:v>
                </c:pt>
                <c:pt idx="231" formatCode="[$-409]mmmm\ d\,\ yyyy;@">
                  <c:v>45523</c:v>
                </c:pt>
                <c:pt idx="232" formatCode="[$-409]mmmm\ d\,\ yyyy;@">
                  <c:v>45524</c:v>
                </c:pt>
                <c:pt idx="233" formatCode="[$-409]mmmm\ d\,\ yyyy;@">
                  <c:v>45525</c:v>
                </c:pt>
                <c:pt idx="234" formatCode="[$-409]mmmm\ d\,\ yyyy;@">
                  <c:v>45526</c:v>
                </c:pt>
                <c:pt idx="235" formatCode="[$-409]mmmm\ d\,\ yyyy;@">
                  <c:v>45527</c:v>
                </c:pt>
                <c:pt idx="236" formatCode="[$-409]mmmm\ d\,\ yyyy;@">
                  <c:v>45528</c:v>
                </c:pt>
                <c:pt idx="237" formatCode="[$-409]mmmm\ d\,\ yyyy;@">
                  <c:v>45529</c:v>
                </c:pt>
                <c:pt idx="238" formatCode="[$-409]mmmm\ d\,\ yyyy;@">
                  <c:v>45530</c:v>
                </c:pt>
                <c:pt idx="239" formatCode="[$-409]mmmm\ d\,\ yyyy;@">
                  <c:v>45531</c:v>
                </c:pt>
                <c:pt idx="240" formatCode="[$-409]mmmm\ d\,\ yyyy;@">
                  <c:v>45532</c:v>
                </c:pt>
                <c:pt idx="241" formatCode="[$-409]mmmm\ d\,\ yyyy;@">
                  <c:v>45533</c:v>
                </c:pt>
                <c:pt idx="242" formatCode="[$-409]mmmm\ d\,\ yyyy;@">
                  <c:v>45534</c:v>
                </c:pt>
              </c:numCache>
            </c:numRef>
          </c:val>
          <c:smooth val="0"/>
          <c:extLst>
            <c:ext xmlns:c16="http://schemas.microsoft.com/office/drawing/2014/chart" uri="{C3380CC4-5D6E-409C-BE32-E72D297353CC}">
              <c16:uniqueId val="{00000002-9B3C-48EF-BAAB-1CA9295AE5D5}"/>
            </c:ext>
          </c:extLst>
        </c:ser>
        <c:ser>
          <c:idx val="3"/>
          <c:order val="3"/>
          <c:tx>
            <c:strRef>
              <c:f>'Forecasting the sale'!$E$1</c:f>
              <c:strCache>
                <c:ptCount val="1"/>
                <c:pt idx="0">
                  <c:v>Upper Confidence Bound</c:v>
                </c:pt>
              </c:strCache>
            </c:strRef>
          </c:tx>
          <c:spPr>
            <a:ln w="12700" cap="rnd">
              <a:solidFill>
                <a:srgbClr val="ED7D31"/>
              </a:solidFill>
              <a:prstDash val="solid"/>
              <a:round/>
            </a:ln>
            <a:effectLst/>
          </c:spPr>
          <c:marker>
            <c:symbol val="none"/>
          </c:marker>
          <c:cat>
            <c:numRef>
              <c:f>'Forecasting the sale'!$A$2:$A$244</c:f>
              <c:numCache>
                <c:formatCode>[$-409]mmmm\ d\,\ yyyy;@</c:formatCode>
                <c:ptCount val="243"/>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pt idx="16">
                  <c:v>45308</c:v>
                </c:pt>
                <c:pt idx="17">
                  <c:v>45309</c:v>
                </c:pt>
                <c:pt idx="18">
                  <c:v>45310</c:v>
                </c:pt>
                <c:pt idx="19">
                  <c:v>45311</c:v>
                </c:pt>
                <c:pt idx="20">
                  <c:v>45312</c:v>
                </c:pt>
                <c:pt idx="21">
                  <c:v>45313</c:v>
                </c:pt>
                <c:pt idx="22">
                  <c:v>45314</c:v>
                </c:pt>
                <c:pt idx="23">
                  <c:v>45315</c:v>
                </c:pt>
                <c:pt idx="24">
                  <c:v>45316</c:v>
                </c:pt>
                <c:pt idx="25">
                  <c:v>45317</c:v>
                </c:pt>
                <c:pt idx="26">
                  <c:v>45318</c:v>
                </c:pt>
                <c:pt idx="27">
                  <c:v>45319</c:v>
                </c:pt>
                <c:pt idx="28">
                  <c:v>45320</c:v>
                </c:pt>
                <c:pt idx="29">
                  <c:v>45321</c:v>
                </c:pt>
                <c:pt idx="30">
                  <c:v>45322</c:v>
                </c:pt>
                <c:pt idx="31">
                  <c:v>45323</c:v>
                </c:pt>
                <c:pt idx="32">
                  <c:v>45324</c:v>
                </c:pt>
                <c:pt idx="33">
                  <c:v>45325</c:v>
                </c:pt>
                <c:pt idx="34">
                  <c:v>45326</c:v>
                </c:pt>
                <c:pt idx="35">
                  <c:v>45327</c:v>
                </c:pt>
                <c:pt idx="36">
                  <c:v>45328</c:v>
                </c:pt>
                <c:pt idx="37">
                  <c:v>45329</c:v>
                </c:pt>
                <c:pt idx="38">
                  <c:v>45330</c:v>
                </c:pt>
                <c:pt idx="39">
                  <c:v>45331</c:v>
                </c:pt>
                <c:pt idx="40">
                  <c:v>45332</c:v>
                </c:pt>
                <c:pt idx="41">
                  <c:v>45333</c:v>
                </c:pt>
                <c:pt idx="42">
                  <c:v>45334</c:v>
                </c:pt>
                <c:pt idx="43">
                  <c:v>45335</c:v>
                </c:pt>
                <c:pt idx="44">
                  <c:v>45336</c:v>
                </c:pt>
                <c:pt idx="45">
                  <c:v>45337</c:v>
                </c:pt>
                <c:pt idx="46">
                  <c:v>45338</c:v>
                </c:pt>
                <c:pt idx="47">
                  <c:v>45339</c:v>
                </c:pt>
                <c:pt idx="48">
                  <c:v>45340</c:v>
                </c:pt>
                <c:pt idx="49">
                  <c:v>45341</c:v>
                </c:pt>
                <c:pt idx="50">
                  <c:v>45342</c:v>
                </c:pt>
                <c:pt idx="51">
                  <c:v>45343</c:v>
                </c:pt>
                <c:pt idx="52">
                  <c:v>45344</c:v>
                </c:pt>
                <c:pt idx="53">
                  <c:v>45345</c:v>
                </c:pt>
                <c:pt idx="54">
                  <c:v>45346</c:v>
                </c:pt>
                <c:pt idx="55">
                  <c:v>45347</c:v>
                </c:pt>
                <c:pt idx="56">
                  <c:v>45348</c:v>
                </c:pt>
                <c:pt idx="57">
                  <c:v>45349</c:v>
                </c:pt>
                <c:pt idx="58">
                  <c:v>45350</c:v>
                </c:pt>
                <c:pt idx="59">
                  <c:v>45351</c:v>
                </c:pt>
                <c:pt idx="60">
                  <c:v>45352</c:v>
                </c:pt>
                <c:pt idx="61">
                  <c:v>45353</c:v>
                </c:pt>
                <c:pt idx="62">
                  <c:v>45354</c:v>
                </c:pt>
                <c:pt idx="63">
                  <c:v>45355</c:v>
                </c:pt>
                <c:pt idx="64">
                  <c:v>45356</c:v>
                </c:pt>
                <c:pt idx="65">
                  <c:v>45357</c:v>
                </c:pt>
                <c:pt idx="66">
                  <c:v>45358</c:v>
                </c:pt>
                <c:pt idx="67">
                  <c:v>45359</c:v>
                </c:pt>
                <c:pt idx="68">
                  <c:v>45360</c:v>
                </c:pt>
                <c:pt idx="69">
                  <c:v>45361</c:v>
                </c:pt>
                <c:pt idx="70">
                  <c:v>45362</c:v>
                </c:pt>
                <c:pt idx="71">
                  <c:v>45363</c:v>
                </c:pt>
                <c:pt idx="72">
                  <c:v>45364</c:v>
                </c:pt>
                <c:pt idx="73">
                  <c:v>45365</c:v>
                </c:pt>
                <c:pt idx="74">
                  <c:v>45366</c:v>
                </c:pt>
                <c:pt idx="75">
                  <c:v>45367</c:v>
                </c:pt>
                <c:pt idx="76">
                  <c:v>45368</c:v>
                </c:pt>
                <c:pt idx="77">
                  <c:v>45369</c:v>
                </c:pt>
                <c:pt idx="78">
                  <c:v>45370</c:v>
                </c:pt>
                <c:pt idx="79">
                  <c:v>45371</c:v>
                </c:pt>
                <c:pt idx="80">
                  <c:v>45372</c:v>
                </c:pt>
                <c:pt idx="81">
                  <c:v>45373</c:v>
                </c:pt>
                <c:pt idx="82">
                  <c:v>45374</c:v>
                </c:pt>
                <c:pt idx="83">
                  <c:v>45375</c:v>
                </c:pt>
                <c:pt idx="84">
                  <c:v>45376</c:v>
                </c:pt>
                <c:pt idx="85">
                  <c:v>45377</c:v>
                </c:pt>
                <c:pt idx="86">
                  <c:v>45378</c:v>
                </c:pt>
                <c:pt idx="87">
                  <c:v>45379</c:v>
                </c:pt>
                <c:pt idx="88">
                  <c:v>45380</c:v>
                </c:pt>
                <c:pt idx="89">
                  <c:v>45381</c:v>
                </c:pt>
                <c:pt idx="90">
                  <c:v>45382</c:v>
                </c:pt>
                <c:pt idx="91">
                  <c:v>45383</c:v>
                </c:pt>
                <c:pt idx="92">
                  <c:v>45384</c:v>
                </c:pt>
                <c:pt idx="93">
                  <c:v>45385</c:v>
                </c:pt>
                <c:pt idx="94">
                  <c:v>45386</c:v>
                </c:pt>
                <c:pt idx="95">
                  <c:v>45387</c:v>
                </c:pt>
                <c:pt idx="96">
                  <c:v>45388</c:v>
                </c:pt>
                <c:pt idx="97">
                  <c:v>45389</c:v>
                </c:pt>
                <c:pt idx="98">
                  <c:v>45390</c:v>
                </c:pt>
                <c:pt idx="99">
                  <c:v>45391</c:v>
                </c:pt>
                <c:pt idx="100">
                  <c:v>45392</c:v>
                </c:pt>
                <c:pt idx="101">
                  <c:v>45393</c:v>
                </c:pt>
                <c:pt idx="102">
                  <c:v>45394</c:v>
                </c:pt>
                <c:pt idx="103">
                  <c:v>45395</c:v>
                </c:pt>
                <c:pt idx="104">
                  <c:v>45396</c:v>
                </c:pt>
                <c:pt idx="105">
                  <c:v>45397</c:v>
                </c:pt>
                <c:pt idx="106">
                  <c:v>45398</c:v>
                </c:pt>
                <c:pt idx="107">
                  <c:v>45399</c:v>
                </c:pt>
                <c:pt idx="108">
                  <c:v>45400</c:v>
                </c:pt>
                <c:pt idx="109">
                  <c:v>45401</c:v>
                </c:pt>
                <c:pt idx="110">
                  <c:v>45402</c:v>
                </c:pt>
                <c:pt idx="111">
                  <c:v>45403</c:v>
                </c:pt>
                <c:pt idx="112">
                  <c:v>45404</c:v>
                </c:pt>
                <c:pt idx="113">
                  <c:v>45405</c:v>
                </c:pt>
                <c:pt idx="114">
                  <c:v>45406</c:v>
                </c:pt>
                <c:pt idx="115">
                  <c:v>45407</c:v>
                </c:pt>
                <c:pt idx="116">
                  <c:v>45408</c:v>
                </c:pt>
                <c:pt idx="117">
                  <c:v>45409</c:v>
                </c:pt>
                <c:pt idx="118">
                  <c:v>45410</c:v>
                </c:pt>
                <c:pt idx="119">
                  <c:v>45411</c:v>
                </c:pt>
                <c:pt idx="120">
                  <c:v>45412</c:v>
                </c:pt>
                <c:pt idx="121">
                  <c:v>45413</c:v>
                </c:pt>
                <c:pt idx="122">
                  <c:v>45414</c:v>
                </c:pt>
                <c:pt idx="123">
                  <c:v>45415</c:v>
                </c:pt>
                <c:pt idx="124">
                  <c:v>45416</c:v>
                </c:pt>
                <c:pt idx="125">
                  <c:v>45417</c:v>
                </c:pt>
                <c:pt idx="126">
                  <c:v>45418</c:v>
                </c:pt>
                <c:pt idx="127">
                  <c:v>45419</c:v>
                </c:pt>
                <c:pt idx="128">
                  <c:v>45420</c:v>
                </c:pt>
                <c:pt idx="129">
                  <c:v>45421</c:v>
                </c:pt>
                <c:pt idx="130">
                  <c:v>45422</c:v>
                </c:pt>
                <c:pt idx="131">
                  <c:v>45423</c:v>
                </c:pt>
                <c:pt idx="132">
                  <c:v>45424</c:v>
                </c:pt>
                <c:pt idx="133">
                  <c:v>45425</c:v>
                </c:pt>
                <c:pt idx="134">
                  <c:v>45426</c:v>
                </c:pt>
                <c:pt idx="135">
                  <c:v>45427</c:v>
                </c:pt>
                <c:pt idx="136">
                  <c:v>45428</c:v>
                </c:pt>
                <c:pt idx="137">
                  <c:v>45429</c:v>
                </c:pt>
                <c:pt idx="138">
                  <c:v>45430</c:v>
                </c:pt>
                <c:pt idx="139">
                  <c:v>45431</c:v>
                </c:pt>
                <c:pt idx="140">
                  <c:v>45432</c:v>
                </c:pt>
                <c:pt idx="141">
                  <c:v>45433</c:v>
                </c:pt>
                <c:pt idx="142">
                  <c:v>45434</c:v>
                </c:pt>
                <c:pt idx="143">
                  <c:v>45435</c:v>
                </c:pt>
                <c:pt idx="144">
                  <c:v>45436</c:v>
                </c:pt>
                <c:pt idx="145">
                  <c:v>45437</c:v>
                </c:pt>
                <c:pt idx="146">
                  <c:v>45438</c:v>
                </c:pt>
                <c:pt idx="147">
                  <c:v>45439</c:v>
                </c:pt>
                <c:pt idx="148">
                  <c:v>45440</c:v>
                </c:pt>
                <c:pt idx="149">
                  <c:v>45441</c:v>
                </c:pt>
                <c:pt idx="150">
                  <c:v>45442</c:v>
                </c:pt>
                <c:pt idx="151">
                  <c:v>45443</c:v>
                </c:pt>
                <c:pt idx="152">
                  <c:v>45444</c:v>
                </c:pt>
                <c:pt idx="153">
                  <c:v>45445</c:v>
                </c:pt>
                <c:pt idx="154">
                  <c:v>45446</c:v>
                </c:pt>
                <c:pt idx="155">
                  <c:v>45447</c:v>
                </c:pt>
                <c:pt idx="156">
                  <c:v>45448</c:v>
                </c:pt>
                <c:pt idx="157">
                  <c:v>45449</c:v>
                </c:pt>
                <c:pt idx="158">
                  <c:v>45450</c:v>
                </c:pt>
                <c:pt idx="159">
                  <c:v>45451</c:v>
                </c:pt>
                <c:pt idx="160">
                  <c:v>45452</c:v>
                </c:pt>
                <c:pt idx="161">
                  <c:v>45453</c:v>
                </c:pt>
                <c:pt idx="162">
                  <c:v>45454</c:v>
                </c:pt>
                <c:pt idx="163">
                  <c:v>45455</c:v>
                </c:pt>
                <c:pt idx="164">
                  <c:v>45456</c:v>
                </c:pt>
                <c:pt idx="165">
                  <c:v>45457</c:v>
                </c:pt>
                <c:pt idx="166">
                  <c:v>45458</c:v>
                </c:pt>
                <c:pt idx="167">
                  <c:v>45459</c:v>
                </c:pt>
                <c:pt idx="168">
                  <c:v>45460</c:v>
                </c:pt>
                <c:pt idx="169">
                  <c:v>45461</c:v>
                </c:pt>
                <c:pt idx="170">
                  <c:v>45462</c:v>
                </c:pt>
                <c:pt idx="171">
                  <c:v>45463</c:v>
                </c:pt>
                <c:pt idx="172">
                  <c:v>45464</c:v>
                </c:pt>
                <c:pt idx="173">
                  <c:v>45465</c:v>
                </c:pt>
                <c:pt idx="174">
                  <c:v>45466</c:v>
                </c:pt>
                <c:pt idx="175">
                  <c:v>45467</c:v>
                </c:pt>
                <c:pt idx="176">
                  <c:v>45468</c:v>
                </c:pt>
                <c:pt idx="177">
                  <c:v>45469</c:v>
                </c:pt>
                <c:pt idx="178">
                  <c:v>45470</c:v>
                </c:pt>
                <c:pt idx="179">
                  <c:v>45471</c:v>
                </c:pt>
                <c:pt idx="180">
                  <c:v>45472</c:v>
                </c:pt>
                <c:pt idx="181">
                  <c:v>45473</c:v>
                </c:pt>
                <c:pt idx="182">
                  <c:v>45474</c:v>
                </c:pt>
                <c:pt idx="183">
                  <c:v>45475</c:v>
                </c:pt>
                <c:pt idx="184">
                  <c:v>45476</c:v>
                </c:pt>
                <c:pt idx="185">
                  <c:v>45477</c:v>
                </c:pt>
                <c:pt idx="186">
                  <c:v>45478</c:v>
                </c:pt>
                <c:pt idx="187">
                  <c:v>45479</c:v>
                </c:pt>
                <c:pt idx="188">
                  <c:v>45480</c:v>
                </c:pt>
                <c:pt idx="189">
                  <c:v>45481</c:v>
                </c:pt>
                <c:pt idx="190">
                  <c:v>45482</c:v>
                </c:pt>
                <c:pt idx="191">
                  <c:v>45483</c:v>
                </c:pt>
                <c:pt idx="192">
                  <c:v>45484</c:v>
                </c:pt>
                <c:pt idx="193">
                  <c:v>45485</c:v>
                </c:pt>
                <c:pt idx="194">
                  <c:v>45486</c:v>
                </c:pt>
                <c:pt idx="195">
                  <c:v>45487</c:v>
                </c:pt>
                <c:pt idx="196">
                  <c:v>45488</c:v>
                </c:pt>
                <c:pt idx="197">
                  <c:v>45489</c:v>
                </c:pt>
                <c:pt idx="198">
                  <c:v>45490</c:v>
                </c:pt>
                <c:pt idx="199">
                  <c:v>45491</c:v>
                </c:pt>
                <c:pt idx="200">
                  <c:v>45492</c:v>
                </c:pt>
                <c:pt idx="201">
                  <c:v>45493</c:v>
                </c:pt>
                <c:pt idx="202">
                  <c:v>45494</c:v>
                </c:pt>
                <c:pt idx="203">
                  <c:v>45495</c:v>
                </c:pt>
                <c:pt idx="204">
                  <c:v>45496</c:v>
                </c:pt>
                <c:pt idx="205">
                  <c:v>45497</c:v>
                </c:pt>
                <c:pt idx="206">
                  <c:v>45498</c:v>
                </c:pt>
                <c:pt idx="207">
                  <c:v>45499</c:v>
                </c:pt>
                <c:pt idx="208">
                  <c:v>45500</c:v>
                </c:pt>
                <c:pt idx="209">
                  <c:v>45501</c:v>
                </c:pt>
                <c:pt idx="210">
                  <c:v>45502</c:v>
                </c:pt>
                <c:pt idx="211">
                  <c:v>45503</c:v>
                </c:pt>
                <c:pt idx="212">
                  <c:v>45504</c:v>
                </c:pt>
                <c:pt idx="213">
                  <c:v>45505</c:v>
                </c:pt>
                <c:pt idx="214">
                  <c:v>45506</c:v>
                </c:pt>
                <c:pt idx="215">
                  <c:v>45507</c:v>
                </c:pt>
                <c:pt idx="216">
                  <c:v>45508</c:v>
                </c:pt>
                <c:pt idx="217">
                  <c:v>45509</c:v>
                </c:pt>
                <c:pt idx="218">
                  <c:v>45510</c:v>
                </c:pt>
                <c:pt idx="219">
                  <c:v>45511</c:v>
                </c:pt>
                <c:pt idx="220">
                  <c:v>45512</c:v>
                </c:pt>
                <c:pt idx="221">
                  <c:v>45513</c:v>
                </c:pt>
                <c:pt idx="222">
                  <c:v>45514</c:v>
                </c:pt>
                <c:pt idx="223">
                  <c:v>45515</c:v>
                </c:pt>
                <c:pt idx="224">
                  <c:v>45516</c:v>
                </c:pt>
                <c:pt idx="225">
                  <c:v>45517</c:v>
                </c:pt>
                <c:pt idx="226">
                  <c:v>45518</c:v>
                </c:pt>
                <c:pt idx="227">
                  <c:v>45519</c:v>
                </c:pt>
                <c:pt idx="228">
                  <c:v>45520</c:v>
                </c:pt>
                <c:pt idx="229">
                  <c:v>45521</c:v>
                </c:pt>
                <c:pt idx="230">
                  <c:v>45522</c:v>
                </c:pt>
                <c:pt idx="231">
                  <c:v>45523</c:v>
                </c:pt>
                <c:pt idx="232">
                  <c:v>45524</c:v>
                </c:pt>
                <c:pt idx="233">
                  <c:v>45525</c:v>
                </c:pt>
                <c:pt idx="234">
                  <c:v>45526</c:v>
                </c:pt>
                <c:pt idx="235">
                  <c:v>45527</c:v>
                </c:pt>
                <c:pt idx="236">
                  <c:v>45528</c:v>
                </c:pt>
                <c:pt idx="237">
                  <c:v>45529</c:v>
                </c:pt>
                <c:pt idx="238">
                  <c:v>45530</c:v>
                </c:pt>
                <c:pt idx="239">
                  <c:v>45531</c:v>
                </c:pt>
                <c:pt idx="240">
                  <c:v>45532</c:v>
                </c:pt>
                <c:pt idx="241">
                  <c:v>45533</c:v>
                </c:pt>
                <c:pt idx="242">
                  <c:v>45534</c:v>
                </c:pt>
              </c:numCache>
            </c:numRef>
          </c:cat>
          <c:val>
            <c:numRef>
              <c:f>'Forecasting the sale'!$E$2:$E$244</c:f>
              <c:numCache>
                <c:formatCode>General</c:formatCode>
                <c:ptCount val="243"/>
                <c:pt idx="181" formatCode="[$-409]mmmm\ d\,\ yyyy;@">
                  <c:v>45473</c:v>
                </c:pt>
                <c:pt idx="182" formatCode="[$-409]mmmm\ d\,\ yyyy;@">
                  <c:v>45474</c:v>
                </c:pt>
                <c:pt idx="183" formatCode="[$-409]mmmm\ d\,\ yyyy;@">
                  <c:v>45475</c:v>
                </c:pt>
                <c:pt idx="184" formatCode="[$-409]mmmm\ d\,\ yyyy;@">
                  <c:v>45476</c:v>
                </c:pt>
                <c:pt idx="185" formatCode="[$-409]mmmm\ d\,\ yyyy;@">
                  <c:v>45477</c:v>
                </c:pt>
                <c:pt idx="186" formatCode="[$-409]mmmm\ d\,\ yyyy;@">
                  <c:v>45478</c:v>
                </c:pt>
                <c:pt idx="187" formatCode="[$-409]mmmm\ d\,\ yyyy;@">
                  <c:v>45479</c:v>
                </c:pt>
                <c:pt idx="188" formatCode="[$-409]mmmm\ d\,\ yyyy;@">
                  <c:v>45480</c:v>
                </c:pt>
                <c:pt idx="189" formatCode="[$-409]mmmm\ d\,\ yyyy;@">
                  <c:v>45481</c:v>
                </c:pt>
                <c:pt idx="190" formatCode="[$-409]mmmm\ d\,\ yyyy;@">
                  <c:v>45482</c:v>
                </c:pt>
                <c:pt idx="191" formatCode="[$-409]mmmm\ d\,\ yyyy;@">
                  <c:v>45483</c:v>
                </c:pt>
                <c:pt idx="192" formatCode="[$-409]mmmm\ d\,\ yyyy;@">
                  <c:v>45484</c:v>
                </c:pt>
                <c:pt idx="193" formatCode="[$-409]mmmm\ d\,\ yyyy;@">
                  <c:v>45485</c:v>
                </c:pt>
                <c:pt idx="194" formatCode="[$-409]mmmm\ d\,\ yyyy;@">
                  <c:v>45486</c:v>
                </c:pt>
                <c:pt idx="195" formatCode="[$-409]mmmm\ d\,\ yyyy;@">
                  <c:v>45487</c:v>
                </c:pt>
                <c:pt idx="196" formatCode="[$-409]mmmm\ d\,\ yyyy;@">
                  <c:v>45488</c:v>
                </c:pt>
                <c:pt idx="197" formatCode="[$-409]mmmm\ d\,\ yyyy;@">
                  <c:v>45489</c:v>
                </c:pt>
                <c:pt idx="198" formatCode="[$-409]mmmm\ d\,\ yyyy;@">
                  <c:v>45490</c:v>
                </c:pt>
                <c:pt idx="199" formatCode="[$-409]mmmm\ d\,\ yyyy;@">
                  <c:v>45491</c:v>
                </c:pt>
                <c:pt idx="200" formatCode="[$-409]mmmm\ d\,\ yyyy;@">
                  <c:v>45492</c:v>
                </c:pt>
                <c:pt idx="201" formatCode="[$-409]mmmm\ d\,\ yyyy;@">
                  <c:v>45493</c:v>
                </c:pt>
                <c:pt idx="202" formatCode="[$-409]mmmm\ d\,\ yyyy;@">
                  <c:v>45494</c:v>
                </c:pt>
                <c:pt idx="203" formatCode="[$-409]mmmm\ d\,\ yyyy;@">
                  <c:v>45495</c:v>
                </c:pt>
                <c:pt idx="204" formatCode="[$-409]mmmm\ d\,\ yyyy;@">
                  <c:v>45496</c:v>
                </c:pt>
                <c:pt idx="205" formatCode="[$-409]mmmm\ d\,\ yyyy;@">
                  <c:v>45497</c:v>
                </c:pt>
                <c:pt idx="206" formatCode="[$-409]mmmm\ d\,\ yyyy;@">
                  <c:v>45498</c:v>
                </c:pt>
                <c:pt idx="207" formatCode="[$-409]mmmm\ d\,\ yyyy;@">
                  <c:v>45499</c:v>
                </c:pt>
                <c:pt idx="208" formatCode="[$-409]mmmm\ d\,\ yyyy;@">
                  <c:v>45500</c:v>
                </c:pt>
                <c:pt idx="209" formatCode="[$-409]mmmm\ d\,\ yyyy;@">
                  <c:v>45501</c:v>
                </c:pt>
                <c:pt idx="210" formatCode="[$-409]mmmm\ d\,\ yyyy;@">
                  <c:v>45502</c:v>
                </c:pt>
                <c:pt idx="211" formatCode="[$-409]mmmm\ d\,\ yyyy;@">
                  <c:v>45503</c:v>
                </c:pt>
                <c:pt idx="212" formatCode="[$-409]mmmm\ d\,\ yyyy;@">
                  <c:v>45504</c:v>
                </c:pt>
                <c:pt idx="213" formatCode="[$-409]mmmm\ d\,\ yyyy;@">
                  <c:v>45505</c:v>
                </c:pt>
                <c:pt idx="214" formatCode="[$-409]mmmm\ d\,\ yyyy;@">
                  <c:v>45506</c:v>
                </c:pt>
                <c:pt idx="215" formatCode="[$-409]mmmm\ d\,\ yyyy;@">
                  <c:v>45507</c:v>
                </c:pt>
                <c:pt idx="216" formatCode="[$-409]mmmm\ d\,\ yyyy;@">
                  <c:v>45508</c:v>
                </c:pt>
                <c:pt idx="217" formatCode="[$-409]mmmm\ d\,\ yyyy;@">
                  <c:v>45509</c:v>
                </c:pt>
                <c:pt idx="218" formatCode="[$-409]mmmm\ d\,\ yyyy;@">
                  <c:v>45510</c:v>
                </c:pt>
                <c:pt idx="219" formatCode="[$-409]mmmm\ d\,\ yyyy;@">
                  <c:v>45511</c:v>
                </c:pt>
                <c:pt idx="220" formatCode="[$-409]mmmm\ d\,\ yyyy;@">
                  <c:v>45512</c:v>
                </c:pt>
                <c:pt idx="221" formatCode="[$-409]mmmm\ d\,\ yyyy;@">
                  <c:v>45513</c:v>
                </c:pt>
                <c:pt idx="222" formatCode="[$-409]mmmm\ d\,\ yyyy;@">
                  <c:v>45514</c:v>
                </c:pt>
                <c:pt idx="223" formatCode="[$-409]mmmm\ d\,\ yyyy;@">
                  <c:v>45515</c:v>
                </c:pt>
                <c:pt idx="224" formatCode="[$-409]mmmm\ d\,\ yyyy;@">
                  <c:v>45516</c:v>
                </c:pt>
                <c:pt idx="225" formatCode="[$-409]mmmm\ d\,\ yyyy;@">
                  <c:v>45517</c:v>
                </c:pt>
                <c:pt idx="226" formatCode="[$-409]mmmm\ d\,\ yyyy;@">
                  <c:v>45518</c:v>
                </c:pt>
                <c:pt idx="227" formatCode="[$-409]mmmm\ d\,\ yyyy;@">
                  <c:v>45519</c:v>
                </c:pt>
                <c:pt idx="228" formatCode="[$-409]mmmm\ d\,\ yyyy;@">
                  <c:v>45520</c:v>
                </c:pt>
                <c:pt idx="229" formatCode="[$-409]mmmm\ d\,\ yyyy;@">
                  <c:v>45521</c:v>
                </c:pt>
                <c:pt idx="230" formatCode="[$-409]mmmm\ d\,\ yyyy;@">
                  <c:v>45522</c:v>
                </c:pt>
                <c:pt idx="231" formatCode="[$-409]mmmm\ d\,\ yyyy;@">
                  <c:v>45523</c:v>
                </c:pt>
                <c:pt idx="232" formatCode="[$-409]mmmm\ d\,\ yyyy;@">
                  <c:v>45524</c:v>
                </c:pt>
                <c:pt idx="233" formatCode="[$-409]mmmm\ d\,\ yyyy;@">
                  <c:v>45525</c:v>
                </c:pt>
                <c:pt idx="234" formatCode="[$-409]mmmm\ d\,\ yyyy;@">
                  <c:v>45526</c:v>
                </c:pt>
                <c:pt idx="235" formatCode="[$-409]mmmm\ d\,\ yyyy;@">
                  <c:v>45527</c:v>
                </c:pt>
                <c:pt idx="236" formatCode="[$-409]mmmm\ d\,\ yyyy;@">
                  <c:v>45528</c:v>
                </c:pt>
                <c:pt idx="237" formatCode="[$-409]mmmm\ d\,\ yyyy;@">
                  <c:v>45529</c:v>
                </c:pt>
                <c:pt idx="238" formatCode="[$-409]mmmm\ d\,\ yyyy;@">
                  <c:v>45530</c:v>
                </c:pt>
                <c:pt idx="239" formatCode="[$-409]mmmm\ d\,\ yyyy;@">
                  <c:v>45531</c:v>
                </c:pt>
                <c:pt idx="240" formatCode="[$-409]mmmm\ d\,\ yyyy;@">
                  <c:v>45532</c:v>
                </c:pt>
                <c:pt idx="241" formatCode="[$-409]mmmm\ d\,\ yyyy;@">
                  <c:v>45533</c:v>
                </c:pt>
                <c:pt idx="242" formatCode="[$-409]mmmm\ d\,\ yyyy;@">
                  <c:v>45534</c:v>
                </c:pt>
              </c:numCache>
            </c:numRef>
          </c:val>
          <c:smooth val="0"/>
          <c:extLst>
            <c:ext xmlns:c16="http://schemas.microsoft.com/office/drawing/2014/chart" uri="{C3380CC4-5D6E-409C-BE32-E72D297353CC}">
              <c16:uniqueId val="{00000003-9B3C-48EF-BAAB-1CA9295AE5D5}"/>
            </c:ext>
          </c:extLst>
        </c:ser>
        <c:dLbls>
          <c:showLegendKey val="0"/>
          <c:showVal val="0"/>
          <c:showCatName val="0"/>
          <c:showSerName val="0"/>
          <c:showPercent val="0"/>
          <c:showBubbleSize val="0"/>
        </c:dLbls>
        <c:smooth val="0"/>
        <c:axId val="1379412031"/>
        <c:axId val="1379403391"/>
      </c:lineChart>
      <c:catAx>
        <c:axId val="137941203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403391"/>
        <c:crosses val="autoZero"/>
        <c:auto val="1"/>
        <c:lblAlgn val="ctr"/>
        <c:lblOffset val="100"/>
        <c:noMultiLvlLbl val="0"/>
      </c:catAx>
      <c:valAx>
        <c:axId val="1379403391"/>
        <c:scaling>
          <c:orientation val="minMax"/>
        </c:scaling>
        <c:delete val="0"/>
        <c:axPos val="l"/>
        <c:majorGridlines>
          <c:spPr>
            <a:ln w="9525" cap="flat" cmpd="sng" algn="ctr">
              <a:solidFill>
                <a:schemeClr val="tx1">
                  <a:lumMod val="15000"/>
                  <a:lumOff val="85000"/>
                </a:schemeClr>
              </a:solidFill>
              <a:round/>
            </a:ln>
            <a:effectLst/>
          </c:spPr>
        </c:majorGridlines>
        <c:numFmt formatCode="[$-409]mmmm\ d\,\ 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412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4</xdr:col>
      <xdr:colOff>98425</xdr:colOff>
      <xdr:row>2</xdr:row>
      <xdr:rowOff>107951</xdr:rowOff>
    </xdr:from>
    <xdr:to>
      <xdr:col>10</xdr:col>
      <xdr:colOff>603250</xdr:colOff>
      <xdr:row>20</xdr:row>
      <xdr:rowOff>0</xdr:rowOff>
    </xdr:to>
    <xdr:graphicFrame macro="">
      <xdr:nvGraphicFramePr>
        <xdr:cNvPr id="2" name="Chart 1">
          <a:extLst>
            <a:ext uri="{FF2B5EF4-FFF2-40B4-BE49-F238E27FC236}">
              <a16:creationId xmlns:a16="http://schemas.microsoft.com/office/drawing/2014/main" id="{CC98E008-8083-C49E-4A97-F71BDF61AB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152400</xdr:colOff>
      <xdr:row>231</xdr:row>
      <xdr:rowOff>171450</xdr:rowOff>
    </xdr:from>
    <xdr:to>
      <xdr:col>16</xdr:col>
      <xdr:colOff>152400</xdr:colOff>
      <xdr:row>245</xdr:row>
      <xdr:rowOff>117475</xdr:rowOff>
    </xdr:to>
    <mc:AlternateContent xmlns:mc="http://schemas.openxmlformats.org/markup-compatibility/2006" xmlns:a14="http://schemas.microsoft.com/office/drawing/2010/main">
      <mc:Choice Requires="a14">
        <xdr:graphicFrame macro="">
          <xdr:nvGraphicFramePr>
            <xdr:cNvPr id="3" name="Brand Name">
              <a:extLst>
                <a:ext uri="{FF2B5EF4-FFF2-40B4-BE49-F238E27FC236}">
                  <a16:creationId xmlns:a16="http://schemas.microsoft.com/office/drawing/2014/main" id="{584E9367-5AE5-0F6E-B5E7-BC7CE2839412}"/>
                </a:ext>
              </a:extLst>
            </xdr:cNvPr>
            <xdr:cNvGraphicFramePr/>
          </xdr:nvGraphicFramePr>
          <xdr:xfrm>
            <a:off x="0" y="0"/>
            <a:ext cx="0" cy="0"/>
          </xdr:xfrm>
          <a:graphic>
            <a:graphicData uri="http://schemas.microsoft.com/office/drawing/2010/slicer">
              <sle:slicer xmlns:sle="http://schemas.microsoft.com/office/drawing/2010/slicer" name="Brand Name"/>
            </a:graphicData>
          </a:graphic>
        </xdr:graphicFrame>
      </mc:Choice>
      <mc:Fallback xmlns="">
        <xdr:sp macro="" textlink="">
          <xdr:nvSpPr>
            <xdr:cNvPr id="0" name=""/>
            <xdr:cNvSpPr>
              <a:spLocks noTextEdit="1"/>
            </xdr:cNvSpPr>
          </xdr:nvSpPr>
          <xdr:spPr>
            <a:xfrm>
              <a:off x="9652000" y="42710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57150</xdr:colOff>
      <xdr:row>217</xdr:row>
      <xdr:rowOff>158750</xdr:rowOff>
    </xdr:from>
    <xdr:to>
      <xdr:col>16</xdr:col>
      <xdr:colOff>57150</xdr:colOff>
      <xdr:row>231</xdr:row>
      <xdr:rowOff>104775</xdr:rowOff>
    </xdr:to>
    <mc:AlternateContent xmlns:mc="http://schemas.openxmlformats.org/markup-compatibility/2006" xmlns:a14="http://schemas.microsoft.com/office/drawing/2010/main">
      <mc:Choice Requires="a14">
        <xdr:graphicFrame macro="">
          <xdr:nvGraphicFramePr>
            <xdr:cNvPr id="4" name="Sold">
              <a:extLst>
                <a:ext uri="{FF2B5EF4-FFF2-40B4-BE49-F238E27FC236}">
                  <a16:creationId xmlns:a16="http://schemas.microsoft.com/office/drawing/2014/main" id="{5C92905C-91FB-06CE-BEC7-56267CE0992F}"/>
                </a:ext>
              </a:extLst>
            </xdr:cNvPr>
            <xdr:cNvGraphicFramePr/>
          </xdr:nvGraphicFramePr>
          <xdr:xfrm>
            <a:off x="0" y="0"/>
            <a:ext cx="0" cy="0"/>
          </xdr:xfrm>
          <a:graphic>
            <a:graphicData uri="http://schemas.microsoft.com/office/drawing/2010/slicer">
              <sle:slicer xmlns:sle="http://schemas.microsoft.com/office/drawing/2010/slicer" name="Sold"/>
            </a:graphicData>
          </a:graphic>
        </xdr:graphicFrame>
      </mc:Choice>
      <mc:Fallback xmlns="">
        <xdr:sp macro="" textlink="">
          <xdr:nvSpPr>
            <xdr:cNvPr id="0" name=""/>
            <xdr:cNvSpPr>
              <a:spLocks noTextEdit="1"/>
            </xdr:cNvSpPr>
          </xdr:nvSpPr>
          <xdr:spPr>
            <a:xfrm>
              <a:off x="9556750" y="40119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317500</xdr:colOff>
      <xdr:row>2</xdr:row>
      <xdr:rowOff>88900</xdr:rowOff>
    </xdr:from>
    <xdr:to>
      <xdr:col>17</xdr:col>
      <xdr:colOff>317500</xdr:colOff>
      <xdr:row>16</xdr:row>
      <xdr:rowOff>34925</xdr:rowOff>
    </xdr:to>
    <mc:AlternateContent xmlns:mc="http://schemas.openxmlformats.org/markup-compatibility/2006" xmlns:a14="http://schemas.microsoft.com/office/drawing/2010/main">
      <mc:Choice Requires="a14">
        <xdr:graphicFrame macro="">
          <xdr:nvGraphicFramePr>
            <xdr:cNvPr id="5" name="Sold 1">
              <a:extLst>
                <a:ext uri="{FF2B5EF4-FFF2-40B4-BE49-F238E27FC236}">
                  <a16:creationId xmlns:a16="http://schemas.microsoft.com/office/drawing/2014/main" id="{CEBE7D63-FC9F-790B-38D6-D666B9521FE3}"/>
                </a:ext>
              </a:extLst>
            </xdr:cNvPr>
            <xdr:cNvGraphicFramePr/>
          </xdr:nvGraphicFramePr>
          <xdr:xfrm>
            <a:off x="0" y="0"/>
            <a:ext cx="0" cy="0"/>
          </xdr:xfrm>
          <a:graphic>
            <a:graphicData uri="http://schemas.microsoft.com/office/drawing/2010/slicer">
              <sle:slicer xmlns:sle="http://schemas.microsoft.com/office/drawing/2010/slicer" name="Sold 1"/>
            </a:graphicData>
          </a:graphic>
        </xdr:graphicFrame>
      </mc:Choice>
      <mc:Fallback xmlns="">
        <xdr:sp macro="" textlink="">
          <xdr:nvSpPr>
            <xdr:cNvPr id="0" name=""/>
            <xdr:cNvSpPr>
              <a:spLocks noTextEdit="1"/>
            </xdr:cNvSpPr>
          </xdr:nvSpPr>
          <xdr:spPr>
            <a:xfrm>
              <a:off x="10071100" y="457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171450</xdr:colOff>
      <xdr:row>2</xdr:row>
      <xdr:rowOff>82550</xdr:rowOff>
    </xdr:from>
    <xdr:to>
      <xdr:col>14</xdr:col>
      <xdr:colOff>171450</xdr:colOff>
      <xdr:row>16</xdr:row>
      <xdr:rowOff>28575</xdr:rowOff>
    </xdr:to>
    <mc:AlternateContent xmlns:mc="http://schemas.openxmlformats.org/markup-compatibility/2006" xmlns:a14="http://schemas.microsoft.com/office/drawing/2010/main">
      <mc:Choice Requires="a14">
        <xdr:graphicFrame macro="">
          <xdr:nvGraphicFramePr>
            <xdr:cNvPr id="6" name="Brand Name 1">
              <a:extLst>
                <a:ext uri="{FF2B5EF4-FFF2-40B4-BE49-F238E27FC236}">
                  <a16:creationId xmlns:a16="http://schemas.microsoft.com/office/drawing/2014/main" id="{35C84657-D7B8-1E20-C1B5-6BC1519554E5}"/>
                </a:ext>
              </a:extLst>
            </xdr:cNvPr>
            <xdr:cNvGraphicFramePr/>
          </xdr:nvGraphicFramePr>
          <xdr:xfrm>
            <a:off x="0" y="0"/>
            <a:ext cx="0" cy="0"/>
          </xdr:xfrm>
          <a:graphic>
            <a:graphicData uri="http://schemas.microsoft.com/office/drawing/2010/slicer">
              <sle:slicer xmlns:sle="http://schemas.microsoft.com/office/drawing/2010/slicer" name="Brand Name 1"/>
            </a:graphicData>
          </a:graphic>
        </xdr:graphicFrame>
      </mc:Choice>
      <mc:Fallback xmlns="">
        <xdr:sp macro="" textlink="">
          <xdr:nvSpPr>
            <xdr:cNvPr id="0" name=""/>
            <xdr:cNvSpPr>
              <a:spLocks noTextEdit="1"/>
            </xdr:cNvSpPr>
          </xdr:nvSpPr>
          <xdr:spPr>
            <a:xfrm>
              <a:off x="8451850" y="450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466725</xdr:colOff>
      <xdr:row>1</xdr:row>
      <xdr:rowOff>130175</xdr:rowOff>
    </xdr:from>
    <xdr:to>
      <xdr:col>11</xdr:col>
      <xdr:colOff>161925</xdr:colOff>
      <xdr:row>16</xdr:row>
      <xdr:rowOff>111125</xdr:rowOff>
    </xdr:to>
    <xdr:graphicFrame macro="">
      <xdr:nvGraphicFramePr>
        <xdr:cNvPr id="2" name="Chart 1">
          <a:extLst>
            <a:ext uri="{FF2B5EF4-FFF2-40B4-BE49-F238E27FC236}">
              <a16:creationId xmlns:a16="http://schemas.microsoft.com/office/drawing/2014/main" id="{C8A30562-E84D-18EB-BD99-3D8069137E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330200</xdr:colOff>
      <xdr:row>1</xdr:row>
      <xdr:rowOff>171450</xdr:rowOff>
    </xdr:from>
    <xdr:to>
      <xdr:col>17</xdr:col>
      <xdr:colOff>330200</xdr:colOff>
      <xdr:row>15</xdr:row>
      <xdr:rowOff>117475</xdr:rowOff>
    </xdr:to>
    <mc:AlternateContent xmlns:mc="http://schemas.openxmlformats.org/markup-compatibility/2006" xmlns:a14="http://schemas.microsoft.com/office/drawing/2010/main">
      <mc:Choice Requires="a14">
        <xdr:graphicFrame macro="">
          <xdr:nvGraphicFramePr>
            <xdr:cNvPr id="5" name="Price with Currency">
              <a:extLst>
                <a:ext uri="{FF2B5EF4-FFF2-40B4-BE49-F238E27FC236}">
                  <a16:creationId xmlns:a16="http://schemas.microsoft.com/office/drawing/2014/main" id="{796EF4B5-0082-D7D0-F661-5DE039A04239}"/>
                </a:ext>
              </a:extLst>
            </xdr:cNvPr>
            <xdr:cNvGraphicFramePr/>
          </xdr:nvGraphicFramePr>
          <xdr:xfrm>
            <a:off x="0" y="0"/>
            <a:ext cx="0" cy="0"/>
          </xdr:xfrm>
          <a:graphic>
            <a:graphicData uri="http://schemas.microsoft.com/office/drawing/2010/slicer">
              <sle:slicer xmlns:sle="http://schemas.microsoft.com/office/drawing/2010/slicer" name="Price with Currency"/>
            </a:graphicData>
          </a:graphic>
        </xdr:graphicFrame>
      </mc:Choice>
      <mc:Fallback xmlns="">
        <xdr:sp macro="" textlink="">
          <xdr:nvSpPr>
            <xdr:cNvPr id="0" name=""/>
            <xdr:cNvSpPr>
              <a:spLocks noTextEdit="1"/>
            </xdr:cNvSpPr>
          </xdr:nvSpPr>
          <xdr:spPr>
            <a:xfrm>
              <a:off x="10115550" y="355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247650</xdr:colOff>
      <xdr:row>2</xdr:row>
      <xdr:rowOff>88900</xdr:rowOff>
    </xdr:from>
    <xdr:to>
      <xdr:col>14</xdr:col>
      <xdr:colOff>247650</xdr:colOff>
      <xdr:row>16</xdr:row>
      <xdr:rowOff>34925</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8FEFD712-190D-1F15-FAB7-272265A508F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204200" y="457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257175</xdr:colOff>
      <xdr:row>0</xdr:row>
      <xdr:rowOff>123825</xdr:rowOff>
    </xdr:from>
    <xdr:to>
      <xdr:col>11</xdr:col>
      <xdr:colOff>561975</xdr:colOff>
      <xdr:row>15</xdr:row>
      <xdr:rowOff>104775</xdr:rowOff>
    </xdr:to>
    <xdr:graphicFrame macro="">
      <xdr:nvGraphicFramePr>
        <xdr:cNvPr id="2" name="Chart 1">
          <a:extLst>
            <a:ext uri="{FF2B5EF4-FFF2-40B4-BE49-F238E27FC236}">
              <a16:creationId xmlns:a16="http://schemas.microsoft.com/office/drawing/2014/main" id="{41CF61A6-82C6-4F9F-50E4-569F3FD7A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260350</xdr:colOff>
      <xdr:row>7</xdr:row>
      <xdr:rowOff>0</xdr:rowOff>
    </xdr:from>
    <xdr:to>
      <xdr:col>17</xdr:col>
      <xdr:colOff>546100</xdr:colOff>
      <xdr:row>14</xdr:row>
      <xdr:rowOff>82550</xdr:rowOff>
    </xdr:to>
    <mc:AlternateContent xmlns:mc="http://schemas.openxmlformats.org/markup-compatibility/2006" xmlns:tsle="http://schemas.microsoft.com/office/drawing/2012/timeslicer">
      <mc:Choice Requires="tsle">
        <xdr:graphicFrame macro="">
          <xdr:nvGraphicFramePr>
            <xdr:cNvPr id="12" name="Last Updated">
              <a:extLst>
                <a:ext uri="{FF2B5EF4-FFF2-40B4-BE49-F238E27FC236}">
                  <a16:creationId xmlns:a16="http://schemas.microsoft.com/office/drawing/2014/main" id="{2C597BFD-7A24-ED9E-7876-8800A84E2586}"/>
                </a:ext>
              </a:extLst>
            </xdr:cNvPr>
            <xdr:cNvGraphicFramePr/>
          </xdr:nvGraphicFramePr>
          <xdr:xfrm>
            <a:off x="0" y="0"/>
            <a:ext cx="0" cy="0"/>
          </xdr:xfrm>
          <a:graphic>
            <a:graphicData uri="http://schemas.microsoft.com/office/drawing/2012/timeslicer">
              <tsle:timeslicer name="Last Updated"/>
            </a:graphicData>
          </a:graphic>
        </xdr:graphicFrame>
      </mc:Choice>
      <mc:Fallback xmlns="">
        <xdr:sp macro="" textlink="">
          <xdr:nvSpPr>
            <xdr:cNvPr id="0" name=""/>
            <xdr:cNvSpPr>
              <a:spLocks noTextEdit="1"/>
            </xdr:cNvSpPr>
          </xdr:nvSpPr>
          <xdr:spPr>
            <a:xfrm>
              <a:off x="9131300" y="12890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603250</xdr:colOff>
      <xdr:row>4</xdr:row>
      <xdr:rowOff>19050</xdr:rowOff>
    </xdr:from>
    <xdr:to>
      <xdr:col>9</xdr:col>
      <xdr:colOff>498475</xdr:colOff>
      <xdr:row>21</xdr:row>
      <xdr:rowOff>95249</xdr:rowOff>
    </xdr:to>
    <xdr:graphicFrame macro="">
      <xdr:nvGraphicFramePr>
        <xdr:cNvPr id="2" name="Chart 1">
          <a:extLst>
            <a:ext uri="{FF2B5EF4-FFF2-40B4-BE49-F238E27FC236}">
              <a16:creationId xmlns:a16="http://schemas.microsoft.com/office/drawing/2014/main" id="{5E86CB8E-6FE1-4AE8-B8DC-042FDB5F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xdr:row>
      <xdr:rowOff>19050</xdr:rowOff>
    </xdr:from>
    <xdr:to>
      <xdr:col>3</xdr:col>
      <xdr:colOff>0</xdr:colOff>
      <xdr:row>16</xdr:row>
      <xdr:rowOff>104775</xdr:rowOff>
    </xdr:to>
    <mc:AlternateContent xmlns:mc="http://schemas.openxmlformats.org/markup-compatibility/2006" xmlns:a14="http://schemas.microsoft.com/office/drawing/2010/main">
      <mc:Choice Requires="a14">
        <xdr:graphicFrame macro="">
          <xdr:nvGraphicFramePr>
            <xdr:cNvPr id="3" name="Brand Name 2">
              <a:extLst>
                <a:ext uri="{FF2B5EF4-FFF2-40B4-BE49-F238E27FC236}">
                  <a16:creationId xmlns:a16="http://schemas.microsoft.com/office/drawing/2014/main" id="{79890A09-AF3F-432F-BF97-10EA9E9C16BA}"/>
                </a:ext>
              </a:extLst>
            </xdr:cNvPr>
            <xdr:cNvGraphicFramePr/>
          </xdr:nvGraphicFramePr>
          <xdr:xfrm>
            <a:off x="0" y="0"/>
            <a:ext cx="0" cy="0"/>
          </xdr:xfrm>
          <a:graphic>
            <a:graphicData uri="http://schemas.microsoft.com/office/drawing/2010/slicer">
              <sle:slicer xmlns:sle="http://schemas.microsoft.com/office/drawing/2010/slicer" name="Brand Name 2"/>
            </a:graphicData>
          </a:graphic>
        </xdr:graphicFrame>
      </mc:Choice>
      <mc:Fallback xmlns="">
        <xdr:sp macro="" textlink="">
          <xdr:nvSpPr>
            <xdr:cNvPr id="0" name=""/>
            <xdr:cNvSpPr>
              <a:spLocks noTextEdit="1"/>
            </xdr:cNvSpPr>
          </xdr:nvSpPr>
          <xdr:spPr>
            <a:xfrm>
              <a:off x="0" y="1212850"/>
              <a:ext cx="1828800" cy="2295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12700</xdr:rowOff>
    </xdr:from>
    <xdr:to>
      <xdr:col>3</xdr:col>
      <xdr:colOff>0</xdr:colOff>
      <xdr:row>29</xdr:row>
      <xdr:rowOff>142875</xdr:rowOff>
    </xdr:to>
    <mc:AlternateContent xmlns:mc="http://schemas.openxmlformats.org/markup-compatibility/2006" xmlns:a14="http://schemas.microsoft.com/office/drawing/2010/main">
      <mc:Choice Requires="a14">
        <xdr:graphicFrame macro="">
          <xdr:nvGraphicFramePr>
            <xdr:cNvPr id="4" name="Sold 2">
              <a:extLst>
                <a:ext uri="{FF2B5EF4-FFF2-40B4-BE49-F238E27FC236}">
                  <a16:creationId xmlns:a16="http://schemas.microsoft.com/office/drawing/2014/main" id="{F11FE0E8-FA6B-4647-9360-CA2199B0898E}"/>
                </a:ext>
              </a:extLst>
            </xdr:cNvPr>
            <xdr:cNvGraphicFramePr/>
          </xdr:nvGraphicFramePr>
          <xdr:xfrm>
            <a:off x="0" y="0"/>
            <a:ext cx="0" cy="0"/>
          </xdr:xfrm>
          <a:graphic>
            <a:graphicData uri="http://schemas.microsoft.com/office/drawing/2010/slicer">
              <sle:slicer xmlns:sle="http://schemas.microsoft.com/office/drawing/2010/slicer" name="Sold 2"/>
            </a:graphicData>
          </a:graphic>
        </xdr:graphicFrame>
      </mc:Choice>
      <mc:Fallback xmlns="">
        <xdr:sp macro="" textlink="">
          <xdr:nvSpPr>
            <xdr:cNvPr id="0" name=""/>
            <xdr:cNvSpPr>
              <a:spLocks noTextEdit="1"/>
            </xdr:cNvSpPr>
          </xdr:nvSpPr>
          <xdr:spPr>
            <a:xfrm>
              <a:off x="0" y="3416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514350</xdr:colOff>
      <xdr:row>4</xdr:row>
      <xdr:rowOff>12700</xdr:rowOff>
    </xdr:from>
    <xdr:to>
      <xdr:col>19</xdr:col>
      <xdr:colOff>133350</xdr:colOff>
      <xdr:row>21</xdr:row>
      <xdr:rowOff>101600</xdr:rowOff>
    </xdr:to>
    <xdr:graphicFrame macro="">
      <xdr:nvGraphicFramePr>
        <xdr:cNvPr id="5" name="Chart 4">
          <a:extLst>
            <a:ext uri="{FF2B5EF4-FFF2-40B4-BE49-F238E27FC236}">
              <a16:creationId xmlns:a16="http://schemas.microsoft.com/office/drawing/2014/main" id="{30456A24-8C4D-4513-9964-4F98F75DD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29</xdr:row>
      <xdr:rowOff>127000</xdr:rowOff>
    </xdr:from>
    <xdr:to>
      <xdr:col>3</xdr:col>
      <xdr:colOff>0</xdr:colOff>
      <xdr:row>43</xdr:row>
      <xdr:rowOff>146049</xdr:rowOff>
    </xdr:to>
    <mc:AlternateContent xmlns:mc="http://schemas.openxmlformats.org/markup-compatibility/2006" xmlns:a14="http://schemas.microsoft.com/office/drawing/2010/main">
      <mc:Choice Requires="a14">
        <xdr:graphicFrame macro="">
          <xdr:nvGraphicFramePr>
            <xdr:cNvPr id="6" name="Country 1">
              <a:extLst>
                <a:ext uri="{FF2B5EF4-FFF2-40B4-BE49-F238E27FC236}">
                  <a16:creationId xmlns:a16="http://schemas.microsoft.com/office/drawing/2014/main" id="{3AD989DC-BD11-42CC-8A13-078FEDAE7CED}"/>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0" y="5924550"/>
              <a:ext cx="1828800" cy="2597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584200</xdr:colOff>
      <xdr:row>21</xdr:row>
      <xdr:rowOff>69850</xdr:rowOff>
    </xdr:from>
    <xdr:to>
      <xdr:col>10</xdr:col>
      <xdr:colOff>279400</xdr:colOff>
      <xdr:row>36</xdr:row>
      <xdr:rowOff>50800</xdr:rowOff>
    </xdr:to>
    <xdr:graphicFrame macro="">
      <xdr:nvGraphicFramePr>
        <xdr:cNvPr id="7" name="Chart 6">
          <a:extLst>
            <a:ext uri="{FF2B5EF4-FFF2-40B4-BE49-F238E27FC236}">
              <a16:creationId xmlns:a16="http://schemas.microsoft.com/office/drawing/2014/main" id="{824C856C-625A-4A9A-BAC9-6ED4B7064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584200</xdr:colOff>
      <xdr:row>36</xdr:row>
      <xdr:rowOff>63500</xdr:rowOff>
    </xdr:from>
    <xdr:to>
      <xdr:col>8</xdr:col>
      <xdr:colOff>260350</xdr:colOff>
      <xdr:row>43</xdr:row>
      <xdr:rowOff>146050</xdr:rowOff>
    </xdr:to>
    <mc:AlternateContent xmlns:mc="http://schemas.openxmlformats.org/markup-compatibility/2006" xmlns:tsle="http://schemas.microsoft.com/office/drawing/2012/timeslicer">
      <mc:Choice Requires="tsle">
        <xdr:graphicFrame macro="">
          <xdr:nvGraphicFramePr>
            <xdr:cNvPr id="8" name="Last Updated 1">
              <a:extLst>
                <a:ext uri="{FF2B5EF4-FFF2-40B4-BE49-F238E27FC236}">
                  <a16:creationId xmlns:a16="http://schemas.microsoft.com/office/drawing/2014/main" id="{F8460335-1245-449B-BF96-4F1132AF6CED}"/>
                </a:ext>
              </a:extLst>
            </xdr:cNvPr>
            <xdr:cNvGraphicFramePr/>
          </xdr:nvGraphicFramePr>
          <xdr:xfrm>
            <a:off x="0" y="0"/>
            <a:ext cx="0" cy="0"/>
          </xdr:xfrm>
          <a:graphic>
            <a:graphicData uri="http://schemas.microsoft.com/office/drawing/2012/timeslicer">
              <tsle:timeslicer name="Last Updated 1"/>
            </a:graphicData>
          </a:graphic>
        </xdr:graphicFrame>
      </mc:Choice>
      <mc:Fallback xmlns="">
        <xdr:sp macro="" textlink="">
          <xdr:nvSpPr>
            <xdr:cNvPr id="0" name=""/>
            <xdr:cNvSpPr>
              <a:spLocks noTextEdit="1"/>
            </xdr:cNvSpPr>
          </xdr:nvSpPr>
          <xdr:spPr>
            <a:xfrm>
              <a:off x="1803400" y="71501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10</xdr:col>
      <xdr:colOff>292100</xdr:colOff>
      <xdr:row>21</xdr:row>
      <xdr:rowOff>69850</xdr:rowOff>
    </xdr:from>
    <xdr:to>
      <xdr:col>19</xdr:col>
      <xdr:colOff>127000</xdr:colOff>
      <xdr:row>36</xdr:row>
      <xdr:rowOff>50800</xdr:rowOff>
    </xdr:to>
    <xdr:graphicFrame macro="">
      <xdr:nvGraphicFramePr>
        <xdr:cNvPr id="9" name="Chart 8">
          <a:extLst>
            <a:ext uri="{FF2B5EF4-FFF2-40B4-BE49-F238E27FC236}">
              <a16:creationId xmlns:a16="http://schemas.microsoft.com/office/drawing/2014/main" id="{899B028F-85A6-40C7-9B3A-5FA159C094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279400</xdr:colOff>
      <xdr:row>36</xdr:row>
      <xdr:rowOff>69850</xdr:rowOff>
    </xdr:from>
    <xdr:to>
      <xdr:col>19</xdr:col>
      <xdr:colOff>177800</xdr:colOff>
      <xdr:row>51</xdr:row>
      <xdr:rowOff>50800</xdr:rowOff>
    </xdr:to>
    <xdr:graphicFrame macro="">
      <xdr:nvGraphicFramePr>
        <xdr:cNvPr id="10" name="Chart 9">
          <a:extLst>
            <a:ext uri="{FF2B5EF4-FFF2-40B4-BE49-F238E27FC236}">
              <a16:creationId xmlns:a16="http://schemas.microsoft.com/office/drawing/2014/main" id="{FAD2DAE7-B0EE-4991-B324-AB983817C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43</xdr:row>
      <xdr:rowOff>133350</xdr:rowOff>
    </xdr:from>
    <xdr:to>
      <xdr:col>3</xdr:col>
      <xdr:colOff>0</xdr:colOff>
      <xdr:row>57</xdr:row>
      <xdr:rowOff>79375</xdr:rowOff>
    </xdr:to>
    <mc:AlternateContent xmlns:mc="http://schemas.openxmlformats.org/markup-compatibility/2006" xmlns:a14="http://schemas.microsoft.com/office/drawing/2010/main">
      <mc:Choice Requires="a14">
        <xdr:graphicFrame macro="">
          <xdr:nvGraphicFramePr>
            <xdr:cNvPr id="11" name="Revenue 2">
              <a:extLst>
                <a:ext uri="{FF2B5EF4-FFF2-40B4-BE49-F238E27FC236}">
                  <a16:creationId xmlns:a16="http://schemas.microsoft.com/office/drawing/2014/main" id="{FC47A5B5-DE41-4856-96F0-D8B2C87D7798}"/>
                </a:ext>
              </a:extLst>
            </xdr:cNvPr>
            <xdr:cNvGraphicFramePr/>
          </xdr:nvGraphicFramePr>
          <xdr:xfrm>
            <a:off x="0" y="0"/>
            <a:ext cx="0" cy="0"/>
          </xdr:xfrm>
          <a:graphic>
            <a:graphicData uri="http://schemas.microsoft.com/office/drawing/2010/slicer">
              <sle:slicer xmlns:sle="http://schemas.microsoft.com/office/drawing/2010/slicer" name="Revenue 2"/>
            </a:graphicData>
          </a:graphic>
        </xdr:graphicFrame>
      </mc:Choice>
      <mc:Fallback xmlns="">
        <xdr:sp macro="" textlink="">
          <xdr:nvSpPr>
            <xdr:cNvPr id="0" name=""/>
            <xdr:cNvSpPr>
              <a:spLocks noTextEdit="1"/>
            </xdr:cNvSpPr>
          </xdr:nvSpPr>
          <xdr:spPr>
            <a:xfrm>
              <a:off x="0" y="8509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546100</xdr:colOff>
      <xdr:row>43</xdr:row>
      <xdr:rowOff>171450</xdr:rowOff>
    </xdr:from>
    <xdr:to>
      <xdr:col>8</xdr:col>
      <xdr:colOff>285750</xdr:colOff>
      <xdr:row>57</xdr:row>
      <xdr:rowOff>117475</xdr:rowOff>
    </xdr:to>
    <mc:AlternateContent xmlns:mc="http://schemas.openxmlformats.org/markup-compatibility/2006" xmlns:a14="http://schemas.microsoft.com/office/drawing/2010/main">
      <mc:Choice Requires="a14">
        <xdr:graphicFrame macro="">
          <xdr:nvGraphicFramePr>
            <xdr:cNvPr id="12" name="Last Updated (Month) 1">
              <a:extLst>
                <a:ext uri="{FF2B5EF4-FFF2-40B4-BE49-F238E27FC236}">
                  <a16:creationId xmlns:a16="http://schemas.microsoft.com/office/drawing/2014/main" id="{BAE0EAED-4E63-4763-AF75-E41A4061CBE1}"/>
                </a:ext>
              </a:extLst>
            </xdr:cNvPr>
            <xdr:cNvGraphicFramePr/>
          </xdr:nvGraphicFramePr>
          <xdr:xfrm>
            <a:off x="0" y="0"/>
            <a:ext cx="0" cy="0"/>
          </xdr:xfrm>
          <a:graphic>
            <a:graphicData uri="http://schemas.microsoft.com/office/drawing/2010/slicer">
              <sle:slicer xmlns:sle="http://schemas.microsoft.com/office/drawing/2010/slicer" name="Last Updated (Month) 1"/>
            </a:graphicData>
          </a:graphic>
        </xdr:graphicFrame>
      </mc:Choice>
      <mc:Fallback xmlns="">
        <xdr:sp macro="" textlink="">
          <xdr:nvSpPr>
            <xdr:cNvPr id="0" name=""/>
            <xdr:cNvSpPr>
              <a:spLocks noTextEdit="1"/>
            </xdr:cNvSpPr>
          </xdr:nvSpPr>
          <xdr:spPr>
            <a:xfrm>
              <a:off x="1765300" y="8547100"/>
              <a:ext cx="33972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482600</xdr:colOff>
      <xdr:row>51</xdr:row>
      <xdr:rowOff>101600</xdr:rowOff>
    </xdr:from>
    <xdr:to>
      <xdr:col>20</xdr:col>
      <xdr:colOff>539750</xdr:colOff>
      <xdr:row>75</xdr:row>
      <xdr:rowOff>82550</xdr:rowOff>
    </xdr:to>
    <xdr:graphicFrame macro="">
      <xdr:nvGraphicFramePr>
        <xdr:cNvPr id="13" name="Chart 12">
          <a:extLst>
            <a:ext uri="{FF2B5EF4-FFF2-40B4-BE49-F238E27FC236}">
              <a16:creationId xmlns:a16="http://schemas.microsoft.com/office/drawing/2014/main" id="{4D9DAC1C-FBC3-4BA9-AC09-F74089263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57</xdr:row>
      <xdr:rowOff>38100</xdr:rowOff>
    </xdr:from>
    <xdr:to>
      <xdr:col>5</xdr:col>
      <xdr:colOff>469900</xdr:colOff>
      <xdr:row>75</xdr:row>
      <xdr:rowOff>76200</xdr:rowOff>
    </xdr:to>
    <xdr:graphicFrame macro="">
      <xdr:nvGraphicFramePr>
        <xdr:cNvPr id="14" name="Chart 13">
          <a:extLst>
            <a:ext uri="{FF2B5EF4-FFF2-40B4-BE49-F238E27FC236}">
              <a16:creationId xmlns:a16="http://schemas.microsoft.com/office/drawing/2014/main" id="{DFA68953-60CF-47E8-8A05-06AB65622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1797050</xdr:colOff>
      <xdr:row>18</xdr:row>
      <xdr:rowOff>107950</xdr:rowOff>
    </xdr:from>
    <xdr:to>
      <xdr:col>14</xdr:col>
      <xdr:colOff>965200</xdr:colOff>
      <xdr:row>33</xdr:row>
      <xdr:rowOff>88900</xdr:rowOff>
    </xdr:to>
    <xdr:graphicFrame macro="">
      <xdr:nvGraphicFramePr>
        <xdr:cNvPr id="5" name="Chart 4">
          <a:extLst>
            <a:ext uri="{FF2B5EF4-FFF2-40B4-BE49-F238E27FC236}">
              <a16:creationId xmlns:a16="http://schemas.microsoft.com/office/drawing/2014/main" id="{C320B3BD-809D-3765-8D03-7AD3AB78FB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1711325</xdr:colOff>
      <xdr:row>35</xdr:row>
      <xdr:rowOff>34925</xdr:rowOff>
    </xdr:from>
    <xdr:to>
      <xdr:col>14</xdr:col>
      <xdr:colOff>879475</xdr:colOff>
      <xdr:row>50</xdr:row>
      <xdr:rowOff>15875</xdr:rowOff>
    </xdr:to>
    <xdr:graphicFrame macro="">
      <xdr:nvGraphicFramePr>
        <xdr:cNvPr id="2" name="Chart 1">
          <a:extLst>
            <a:ext uri="{FF2B5EF4-FFF2-40B4-BE49-F238E27FC236}">
              <a16:creationId xmlns:a16="http://schemas.microsoft.com/office/drawing/2014/main" id="{98F52F9B-F764-EB42-55CD-22AE3C6B27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117475</xdr:colOff>
      <xdr:row>1</xdr:row>
      <xdr:rowOff>130175</xdr:rowOff>
    </xdr:from>
    <xdr:to>
      <xdr:col>11</xdr:col>
      <xdr:colOff>422275</xdr:colOff>
      <xdr:row>16</xdr:row>
      <xdr:rowOff>111125</xdr:rowOff>
    </xdr:to>
    <xdr:graphicFrame macro="">
      <xdr:nvGraphicFramePr>
        <xdr:cNvPr id="2" name="Chart 1">
          <a:extLst>
            <a:ext uri="{FF2B5EF4-FFF2-40B4-BE49-F238E27FC236}">
              <a16:creationId xmlns:a16="http://schemas.microsoft.com/office/drawing/2014/main" id="{E92C589F-6DBA-16E9-AB67-06085A471B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276225</xdr:colOff>
      <xdr:row>3</xdr:row>
      <xdr:rowOff>130175</xdr:rowOff>
    </xdr:from>
    <xdr:to>
      <xdr:col>11</xdr:col>
      <xdr:colOff>581025</xdr:colOff>
      <xdr:row>18</xdr:row>
      <xdr:rowOff>111125</xdr:rowOff>
    </xdr:to>
    <xdr:graphicFrame macro="">
      <xdr:nvGraphicFramePr>
        <xdr:cNvPr id="3" name="Chart 2">
          <a:extLst>
            <a:ext uri="{FF2B5EF4-FFF2-40B4-BE49-F238E27FC236}">
              <a16:creationId xmlns:a16="http://schemas.microsoft.com/office/drawing/2014/main" id="{B73E0989-0209-ED50-77CA-07920C4DA4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342900</xdr:colOff>
      <xdr:row>2</xdr:row>
      <xdr:rowOff>146050</xdr:rowOff>
    </xdr:from>
    <xdr:to>
      <xdr:col>19</xdr:col>
      <xdr:colOff>342900</xdr:colOff>
      <xdr:row>16</xdr:row>
      <xdr:rowOff>92075</xdr:rowOff>
    </xdr:to>
    <mc:AlternateContent xmlns:mc="http://schemas.openxmlformats.org/markup-compatibility/2006" xmlns:a14="http://schemas.microsoft.com/office/drawing/2010/main">
      <mc:Choice Requires="a14">
        <xdr:graphicFrame macro="">
          <xdr:nvGraphicFramePr>
            <xdr:cNvPr id="4" name="Last Updated (Month)">
              <a:extLst>
                <a:ext uri="{FF2B5EF4-FFF2-40B4-BE49-F238E27FC236}">
                  <a16:creationId xmlns:a16="http://schemas.microsoft.com/office/drawing/2014/main" id="{2273E619-DDCE-C992-4803-401B6188E76B}"/>
                </a:ext>
              </a:extLst>
            </xdr:cNvPr>
            <xdr:cNvGraphicFramePr/>
          </xdr:nvGraphicFramePr>
          <xdr:xfrm>
            <a:off x="0" y="0"/>
            <a:ext cx="0" cy="0"/>
          </xdr:xfrm>
          <a:graphic>
            <a:graphicData uri="http://schemas.microsoft.com/office/drawing/2010/slicer">
              <sle:slicer xmlns:sle="http://schemas.microsoft.com/office/drawing/2010/slicer" name="Last Updated (Month)"/>
            </a:graphicData>
          </a:graphic>
        </xdr:graphicFrame>
      </mc:Choice>
      <mc:Fallback xmlns="">
        <xdr:sp macro="" textlink="">
          <xdr:nvSpPr>
            <xdr:cNvPr id="0" name=""/>
            <xdr:cNvSpPr>
              <a:spLocks noTextEdit="1"/>
            </xdr:cNvSpPr>
          </xdr:nvSpPr>
          <xdr:spPr>
            <a:xfrm>
              <a:off x="10852150" y="514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406400</xdr:colOff>
      <xdr:row>2</xdr:row>
      <xdr:rowOff>120650</xdr:rowOff>
    </xdr:from>
    <xdr:to>
      <xdr:col>15</xdr:col>
      <xdr:colOff>406400</xdr:colOff>
      <xdr:row>16</xdr:row>
      <xdr:rowOff>66675</xdr:rowOff>
    </xdr:to>
    <mc:AlternateContent xmlns:mc="http://schemas.openxmlformats.org/markup-compatibility/2006" xmlns:a14="http://schemas.microsoft.com/office/drawing/2010/main">
      <mc:Choice Requires="a14">
        <xdr:graphicFrame macro="">
          <xdr:nvGraphicFramePr>
            <xdr:cNvPr id="5" name="Revenue 1">
              <a:extLst>
                <a:ext uri="{FF2B5EF4-FFF2-40B4-BE49-F238E27FC236}">
                  <a16:creationId xmlns:a16="http://schemas.microsoft.com/office/drawing/2014/main" id="{0F39A412-90E5-ABAC-4C1A-F79449D9AFB2}"/>
                </a:ext>
              </a:extLst>
            </xdr:cNvPr>
            <xdr:cNvGraphicFramePr/>
          </xdr:nvGraphicFramePr>
          <xdr:xfrm>
            <a:off x="0" y="0"/>
            <a:ext cx="0" cy="0"/>
          </xdr:xfrm>
          <a:graphic>
            <a:graphicData uri="http://schemas.microsoft.com/office/drawing/2010/slicer">
              <sle:slicer xmlns:sle="http://schemas.microsoft.com/office/drawing/2010/slicer" name="Revenue 1"/>
            </a:graphicData>
          </a:graphic>
        </xdr:graphicFrame>
      </mc:Choice>
      <mc:Fallback xmlns="">
        <xdr:sp macro="" textlink="">
          <xdr:nvSpPr>
            <xdr:cNvPr id="0" name=""/>
            <xdr:cNvSpPr>
              <a:spLocks noTextEdit="1"/>
            </xdr:cNvSpPr>
          </xdr:nvSpPr>
          <xdr:spPr>
            <a:xfrm>
              <a:off x="8477250" y="488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428625</xdr:colOff>
      <xdr:row>1</xdr:row>
      <xdr:rowOff>130175</xdr:rowOff>
    </xdr:from>
    <xdr:to>
      <xdr:col>15</xdr:col>
      <xdr:colOff>225425</xdr:colOff>
      <xdr:row>25</xdr:row>
      <xdr:rowOff>111125</xdr:rowOff>
    </xdr:to>
    <xdr:graphicFrame macro="">
      <xdr:nvGraphicFramePr>
        <xdr:cNvPr id="2" name="Chart 1">
          <a:extLst>
            <a:ext uri="{FF2B5EF4-FFF2-40B4-BE49-F238E27FC236}">
              <a16:creationId xmlns:a16="http://schemas.microsoft.com/office/drawing/2014/main" id="{1DB14545-81DD-91D1-AAF9-DAE1672BE6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B" refreshedDate="45979.515438888891" createdVersion="8" refreshedVersion="8" minRefreshableVersion="3" recordCount="1000" xr:uid="{7849C93A-6753-4419-BC7D-1F17B5368316}">
  <cacheSource type="worksheet">
    <worksheetSource name="Table2"/>
  </cacheSource>
  <cacheFields count="11">
    <cacheField name=" Brand Name" numFmtId="0">
      <sharedItems/>
    </cacheField>
    <cacheField name="Type" numFmtId="0">
      <sharedItems/>
    </cacheField>
    <cacheField name="Price with Currency" numFmtId="170">
      <sharedItems containsSemiMixedTypes="0" containsString="0" containsNumber="1" minValue="3" maxValue="259.08999999999997" count="601">
        <n v="54.99"/>
        <n v="27.99"/>
        <n v="16.95"/>
        <n v="34.99"/>
        <n v="19.899999999999999"/>
        <n v="51.49"/>
        <n v="22"/>
        <n v="39.99"/>
        <n v="14.99"/>
        <n v="180"/>
        <n v="7.96"/>
        <n v="15.95"/>
        <n v="69.989999999999995"/>
        <n v="17.489999999999998"/>
        <n v="39.950000000000003"/>
        <n v="18.989999999999998"/>
        <n v="103.2"/>
        <n v="49.99"/>
        <n v="24.55"/>
        <n v="65.37"/>
        <n v="9.2100000000000009"/>
        <n v="91"/>
        <n v="41.99"/>
        <n v="70"/>
        <n v="78.989999999999995"/>
        <n v="19.989999999999998"/>
        <n v="42.95"/>
        <n v="109.99"/>
        <n v="28.99"/>
        <n v="29.98"/>
        <n v="129.99"/>
        <n v="188.99"/>
        <n v="20"/>
        <n v="29"/>
        <n v="29.99"/>
        <n v="84.99"/>
        <n v="129"/>
        <n v="13.68"/>
        <n v="25.96"/>
        <n v="18.66"/>
        <n v="24.5"/>
        <n v="16.899999999999999"/>
        <n v="40.99"/>
        <n v="11.95"/>
        <n v="38"/>
        <n v="73.52"/>
        <n v="44.61"/>
        <n v="68.55"/>
        <n v="30"/>
        <n v="64.989999999999995"/>
        <n v="44.99"/>
        <n v="11.99"/>
        <n v="9.9600000000000009"/>
        <n v="12.99"/>
        <n v="24.19"/>
        <n v="47.26"/>
        <n v="17.02"/>
        <n v="17.95"/>
        <n v="13.5"/>
        <n v="21.27"/>
        <n v="15"/>
        <n v="25.89"/>
        <n v="32.5"/>
        <n v="79.989999999999995"/>
        <n v="139.99"/>
        <n v="35.99"/>
        <n v="90.11"/>
        <n v="15.99"/>
        <n v="49.52"/>
        <n v="13.97"/>
        <n v="28.8"/>
        <n v="22.99"/>
        <n v="25.95"/>
        <n v="43.47"/>
        <n v="17.89"/>
        <n v="89.99"/>
        <n v="48.97"/>
        <n v="12"/>
        <n v="10.19"/>
        <n v="31.99"/>
        <n v="23"/>
        <n v="30.99"/>
        <n v="161.99"/>
        <n v="32.130000000000003"/>
        <n v="69.95"/>
        <n v="25.49"/>
        <n v="56"/>
        <n v="94.99"/>
        <n v="25.74"/>
        <n v="120"/>
        <n v="24.99"/>
        <n v="56.99"/>
        <n v="21.21"/>
        <n v="45.69"/>
        <n v="31.95"/>
        <n v="66.52"/>
        <n v="38.950000000000003"/>
        <n v="12.49"/>
        <n v="45"/>
        <n v="65.5"/>
        <n v="18.95"/>
        <n v="17.98"/>
        <n v="16.97"/>
        <n v="21.15"/>
        <n v="13.05"/>
        <n v="13"/>
        <n v="96.95"/>
        <n v="10.91"/>
        <n v="138.99"/>
        <n v="13.95"/>
        <n v="31.89"/>
        <n v="159.99"/>
        <n v="41"/>
        <n v="35.58"/>
        <n v="54.85"/>
        <n v="36.950000000000003"/>
        <n v="32.99"/>
        <n v="72.989999999999995"/>
        <n v="23.89"/>
        <n v="11"/>
        <n v="16.48"/>
        <n v="123.99"/>
        <n v="28.38"/>
        <n v="29.74"/>
        <n v="47.99"/>
        <n v="89.25"/>
        <n v="21.25"/>
        <n v="153"/>
        <n v="26.99"/>
        <n v="65"/>
        <n v="28.95"/>
        <n v="56.95"/>
        <n v="43.45"/>
        <n v="68.989999999999995"/>
        <n v="9.99"/>
        <n v="27.59"/>
        <n v="32.85"/>
        <n v="16.989999999999998"/>
        <n v="27.9"/>
        <n v="100"/>
        <n v="51.99"/>
        <n v="26.5"/>
        <n v="44.49"/>
        <n v="26.9"/>
        <n v="10.99"/>
        <n v="6.96"/>
        <n v="12.95"/>
        <n v="17"/>
        <n v="77.150000000000006"/>
        <n v="30.95"/>
        <n v="32.89"/>
        <n v="17.34"/>
        <n v="59"/>
        <n v="92"/>
        <n v="41.79"/>
        <n v="14.57"/>
        <n v="51.91"/>
        <n v="124.96"/>
        <n v="27"/>
        <n v="25.99"/>
        <n v="59.99"/>
        <n v="64.02"/>
        <n v="33.99"/>
        <n v="28.42"/>
        <n v="41.95"/>
        <n v="44"/>
        <n v="53.99"/>
        <n v="99.99"/>
        <n v="37.950000000000003"/>
        <n v="16.850000000000001"/>
        <n v="16.260000000000002"/>
        <n v="17.989999999999998"/>
        <n v="43"/>
        <n v="33.49"/>
        <n v="28.19"/>
        <n v="45.98"/>
        <n v="140"/>
        <n v="78"/>
        <n v="181.04"/>
        <n v="6.94"/>
        <n v="12.2"/>
        <n v="55"/>
        <n v="31.29"/>
        <n v="48.99"/>
        <n v="38.99"/>
        <n v="64.88"/>
        <n v="42.39"/>
        <n v="9.61"/>
        <n v="18.760000000000002"/>
        <n v="48.87"/>
        <n v="33.36"/>
        <n v="19.97"/>
        <n v="18.96"/>
        <n v="41.44"/>
        <n v="22.5"/>
        <n v="71.989999999999995"/>
        <n v="58.99"/>
        <n v="179.99"/>
        <n v="18.11"/>
        <n v="9.9499999999999993"/>
        <n v="15.51"/>
        <n v="110"/>
        <n v="84.73"/>
        <n v="18.84"/>
        <n v="37"/>
        <n v="45.99"/>
        <n v="160.91"/>
        <n v="84.98"/>
        <n v="25.86"/>
        <n v="26.55"/>
        <n v="18.100000000000001"/>
        <n v="26.86"/>
        <n v="15.65"/>
        <n v="28.2"/>
        <n v="19.75"/>
        <n v="27.03"/>
        <n v="239.99"/>
        <n v="26.97"/>
        <n v="9.98"/>
        <n v="33.700000000000003"/>
        <n v="21.99"/>
        <n v="58.09"/>
        <n v="27.4"/>
        <n v="71.98"/>
        <n v="128.99"/>
        <n v="54.5"/>
        <n v="49.63"/>
        <n v="37.979999999999997"/>
        <n v="63.99"/>
        <n v="6.65"/>
        <n v="21.01"/>
        <n v="6.97"/>
        <n v="13.99"/>
        <n v="7.28"/>
        <n v="15.4"/>
        <n v="59.09"/>
        <n v="24.43"/>
        <n v="46.99"/>
        <n v="16.82"/>
        <n v="44.93"/>
        <n v="30.93"/>
        <n v="126.99"/>
        <n v="40.590000000000003"/>
        <n v="31.08"/>
        <n v="24.35"/>
        <n v="82.99"/>
        <n v="89.98"/>
        <n v="23.95"/>
        <n v="14.95"/>
        <n v="69.25"/>
        <n v="37.5"/>
        <n v="113.98"/>
        <n v="20.25"/>
        <n v="38.53"/>
        <n v="62.08"/>
        <n v="54.26"/>
        <n v="29.13"/>
        <n v="166.18"/>
        <n v="76.989999999999995"/>
        <n v="8"/>
        <n v="52.94"/>
        <n v="22.87"/>
        <n v="69.97"/>
        <n v="23.62"/>
        <n v="99.63"/>
        <n v="12.23"/>
        <n v="32.950000000000003"/>
        <n v="18.329999999999998"/>
        <n v="29.46"/>
        <n v="48.95"/>
        <n v="39"/>
        <n v="27.1"/>
        <n v="27.94"/>
        <n v="124.99"/>
        <n v="28.93"/>
        <n v="46"/>
        <n v="27.25"/>
        <n v="55.45"/>
        <n v="99.98"/>
        <n v="84.6"/>
        <n v="13.89"/>
        <n v="17.18"/>
        <n v="62.09"/>
        <n v="24.25"/>
        <n v="27.5"/>
        <n v="16.04"/>
        <n v="35.619999999999997"/>
        <n v="23.49"/>
        <n v="55.99"/>
        <n v="83.95"/>
        <n v="68"/>
        <n v="40.130000000000003"/>
        <n v="119.99"/>
        <n v="71.489999999999995"/>
        <n v="33.5"/>
        <n v="178.99"/>
        <n v="104.99"/>
        <n v="85.2"/>
        <n v="103.98"/>
        <n v="18.32"/>
        <n v="38.57"/>
        <n v="52.99"/>
        <n v="25.1"/>
        <n v="13.15"/>
        <n v="36.68"/>
        <n v="65.680000000000007"/>
        <n v="99.86"/>
        <n v="45.68"/>
        <n v="15.39"/>
        <n v="32.979999999999997"/>
        <n v="86.99"/>
        <n v="36.99"/>
        <n v="49.81"/>
        <n v="28.65"/>
        <n v="20.48"/>
        <n v="15.89"/>
        <n v="37.99"/>
        <n v="24.45"/>
        <n v="93.91"/>
        <n v="14.6"/>
        <n v="62.99"/>
        <n v="24.7"/>
        <n v="28.02"/>
        <n v="29.03"/>
        <n v="45.35"/>
        <n v="68.72"/>
        <n v="74.989999999999995"/>
        <n v="29.78"/>
        <n v="45.9"/>
        <n v="33.450000000000003"/>
        <n v="93.05"/>
        <n v="45.7"/>
        <n v="72.56"/>
        <n v="110.08"/>
        <n v="39.25"/>
        <n v="19.73"/>
        <n v="33"/>
        <n v="49.96"/>
        <n v="22.15"/>
        <n v="62.62"/>
        <n v="38.25"/>
        <n v="58.46"/>
        <n v="160.27000000000001"/>
        <n v="192"/>
        <n v="49.49"/>
        <n v="54.52"/>
        <n v="8.32"/>
        <n v="29.95"/>
        <n v="30.58"/>
        <n v="30.31"/>
        <n v="23.56"/>
        <n v="46.15"/>
        <n v="41.87"/>
        <n v="76.650000000000006"/>
        <n v="8.84"/>
        <n v="67.5"/>
        <n v="94.93"/>
        <n v="37.799999999999997"/>
        <n v="3.5"/>
        <n v="79.89"/>
        <n v="32.619999999999997"/>
        <n v="112.49"/>
        <n v="36.65"/>
        <n v="108"/>
        <n v="74.25"/>
        <n v="50.99"/>
        <n v="31.98"/>
        <n v="16.489999999999998"/>
        <n v="33.369999999999997"/>
        <n v="88.65"/>
        <n v="16.5"/>
        <n v="26.11"/>
        <n v="36.36"/>
        <n v="9.7799999999999994"/>
        <n v="68.61"/>
        <n v="16.34"/>
        <n v="91.98"/>
        <n v="41.98"/>
        <n v="94.43"/>
        <n v="23.79"/>
        <n v="44.95"/>
        <n v="50"/>
        <n v="9.4499999999999993"/>
        <n v="70.08"/>
        <n v="71.900000000000006"/>
        <n v="136"/>
        <n v="70.989999999999995"/>
        <n v="24.4"/>
        <n v="69.55"/>
        <n v="23.99"/>
        <n v="3"/>
        <n v="34.979999999999997"/>
        <n v="11.5"/>
        <n v="10.58"/>
        <n v="16.98"/>
        <n v="25.46"/>
        <n v="86.72"/>
        <n v="12.6"/>
        <n v="45.95"/>
        <n v="44.94"/>
        <n v="30.07"/>
        <n v="125"/>
        <n v="29.94"/>
        <n v="17.850000000000001"/>
        <n v="86.87"/>
        <n v="53.45"/>
        <n v="47.88"/>
        <n v="58.95"/>
        <n v="28.79"/>
        <n v="18.91"/>
        <n v="110.19"/>
        <n v="18.79"/>
        <n v="116.54"/>
        <n v="22.98"/>
        <n v="77.069999999999993"/>
        <n v="54.86"/>
        <n v="28.5"/>
        <n v="84.59"/>
        <n v="21.95"/>
        <n v="114.99"/>
        <n v="85"/>
        <n v="88"/>
        <n v="32"/>
        <n v="36.5"/>
        <n v="25.79"/>
        <n v="188.3"/>
        <n v="83.99"/>
        <n v="92.99"/>
        <n v="87.99"/>
        <n v="90.44"/>
        <n v="13.66"/>
        <n v="99.49"/>
        <n v="10.7"/>
        <n v="7.95"/>
        <n v="8.49"/>
        <n v="75.989999999999995"/>
        <n v="125.99"/>
        <n v="10.67"/>
        <n v="46.48"/>
        <n v="35"/>
        <n v="36.15"/>
        <n v="19.16"/>
        <n v="57.17"/>
        <n v="29.12"/>
        <n v="60.99"/>
        <n v="66"/>
        <n v="25"/>
        <n v="45.49"/>
        <n v="80"/>
        <n v="74.48"/>
        <n v="43.49"/>
        <n v="24.49"/>
        <n v="53.98"/>
        <n v="88.99"/>
        <n v="189.99"/>
        <n v="15.03"/>
        <n v="25.23"/>
        <n v="35.71"/>
        <n v="92.56"/>
        <n v="21.54"/>
        <n v="33.950000000000003"/>
        <n v="22.61"/>
        <n v="29.19"/>
        <n v="37.89"/>
        <n v="22.24"/>
        <n v="26.1"/>
        <n v="22.6"/>
        <n v="27.3"/>
        <n v="69.02"/>
        <n v="17.170000000000002"/>
        <n v="17.29"/>
        <n v="21"/>
        <n v="29.2"/>
        <n v="70.66"/>
        <n v="34.840000000000003"/>
        <n v="28.91"/>
        <n v="31.57"/>
        <n v="70.650000000000006"/>
        <n v="26"/>
        <n v="108.98"/>
        <n v="28.25"/>
        <n v="55.16"/>
        <n v="26.52"/>
        <n v="202.95"/>
        <n v="22.79"/>
        <n v="155.65"/>
        <n v="16.91"/>
        <n v="32.97"/>
        <n v="46.33"/>
        <n v="50.08"/>
        <n v="36.67"/>
        <n v="40.72"/>
        <n v="68.3"/>
        <n v="25.43"/>
        <n v="65.97"/>
        <n v="50.44"/>
        <n v="23.34"/>
        <n v="20.28"/>
        <n v="52.97"/>
        <n v="24.14"/>
        <n v="180.17"/>
        <n v="59.63"/>
        <n v="54.92"/>
        <n v="54.91"/>
        <n v="13.94"/>
        <n v="89.97"/>
        <n v="90.45"/>
        <n v="28.11"/>
        <n v="259.08999999999997"/>
        <n v="28.75"/>
        <n v="66.55"/>
        <n v="55.15"/>
        <n v="53.42"/>
        <n v="18.89"/>
        <n v="212.89"/>
        <n v="74.92"/>
        <n v="57.46"/>
        <n v="13.86"/>
        <n v="24.98"/>
        <n v="21.91"/>
        <n v="75.650000000000006"/>
        <n v="135.49"/>
        <n v="41.19"/>
        <n v="36.81"/>
        <n v="75.95"/>
        <n v="59.43"/>
        <n v="17.12"/>
        <n v="40.6"/>
        <n v="74.8"/>
        <n v="14.98"/>
        <n v="36.880000000000003"/>
        <n v="68.89"/>
        <n v="16.71"/>
        <n v="45.11"/>
        <n v="34.5"/>
        <n v="23.01"/>
        <n v="25.81"/>
        <n v="21.79"/>
        <n v="144.99"/>
        <n v="12.98"/>
        <n v="66.39"/>
        <n v="19.41"/>
        <n v="19.89"/>
        <n v="52.62"/>
        <n v="25.98"/>
        <n v="38.94"/>
        <n v="63.69"/>
        <n v="16.39"/>
        <n v="34.72"/>
        <n v="38.409999999999997"/>
        <n v="38.979999999999997"/>
        <n v="74.59"/>
        <n v="38.24"/>
        <n v="39.770000000000003"/>
        <n v="20.37"/>
        <n v="50.79"/>
        <n v="7.5"/>
        <n v="14.7"/>
        <n v="25.7"/>
        <n v="8.8800000000000008"/>
        <n v="37.590000000000003"/>
        <n v="59.97"/>
        <n v="21.8"/>
        <n v="7.19"/>
        <n v="22.95"/>
        <n v="77.989999999999995"/>
        <n v="8.99"/>
        <n v="20.079999999999998"/>
        <n v="31.47"/>
        <n v="40.950000000000003"/>
        <n v="76.5"/>
        <n v="65.989999999999995"/>
        <n v="27.84"/>
        <n v="67.989999999999995"/>
        <n v="99"/>
        <n v="48"/>
        <n v="35.68"/>
        <n v="16"/>
        <n v="19.95"/>
        <n v="38.97"/>
        <n v="169"/>
        <n v="47.34"/>
        <n v="34.68"/>
        <n v="28.97"/>
        <n v="24.15"/>
        <n v="26.95"/>
        <n v="18"/>
        <n v="11.58"/>
        <n v="75"/>
        <n v="46.75"/>
        <n v="26.75"/>
        <n v="74.849999999999994"/>
        <n v="13.28"/>
        <n v="9.89"/>
        <n v="135"/>
        <n v="29.97"/>
        <n v="42.99"/>
        <n v="250"/>
        <n v="24.95"/>
        <n v="49.5"/>
        <n v="24"/>
      </sharedItems>
    </cacheField>
    <cacheField name="Available Stock" numFmtId="0">
      <sharedItems containsSemiMixedTypes="0" containsString="0" containsNumber="1" containsInteger="1" minValue="0" maxValue="900"/>
    </cacheField>
    <cacheField name="Sold" numFmtId="0">
      <sharedItems containsSemiMixedTypes="0" containsString="0" containsNumber="1" containsInteger="1" minValue="0" maxValue="54052"/>
    </cacheField>
    <cacheField name="Revenue" numFmtId="166">
      <sharedItems containsSemiMixedTypes="0" containsString="0" containsNumber="1" minValue="0" maxValue="1420246.15"/>
    </cacheField>
    <cacheField name="Parfum Quality" numFmtId="0">
      <sharedItems/>
    </cacheField>
    <cacheField name="Last Updated" numFmtId="14">
      <sharedItems containsSemiMixedTypes="0" containsNonDate="0" containsDate="1" containsString="0" minDate="2022-10-20T18:26:14" maxDate="2024-04-30T20:11:27"/>
    </cacheField>
    <cacheField name="Item Location" numFmtId="0">
      <sharedItems/>
    </cacheField>
    <cacheField name="City" numFmtId="0">
      <sharedItems/>
    </cacheField>
    <cacheField name="Country" numFmtId="0">
      <sharedItems count="7">
        <s v="United States"/>
        <s v="Canada"/>
        <s v="Hong Kong"/>
        <s v="China"/>
        <s v="HongKong"/>
        <s v="Taiwan"/>
        <s v="India"/>
      </sharedItems>
    </cacheField>
  </cacheFields>
  <extLst>
    <ext xmlns:x14="http://schemas.microsoft.com/office/spreadsheetml/2009/9/main" uri="{725AE2AE-9491-48be-B2B4-4EB974FC3084}">
      <x14:pivotCacheDefinition pivotCacheId="15828660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B" refreshedDate="45982.046116666665" backgroundQuery="1" createdVersion="8" refreshedVersion="8" minRefreshableVersion="3" recordCount="0" supportSubquery="1" supportAdvancedDrill="1" xr:uid="{DE1855E9-F3A6-4CBB-AE9C-4F3914893B74}">
  <cacheSource type="external" connectionId="5"/>
  <cacheFields count="3">
    <cacheField name="[Table2].[Brand Name].[Brand Name]" caption="Brand Name" numFmtId="0" hierarchy="14" level="1">
      <sharedItems count="54">
        <s v="Abercrombie &amp; Fitch"/>
        <s v="Al Wataniah"/>
        <s v="Armaf"/>
        <s v="As Picture Show"/>
        <s v="As Shown"/>
        <s v="Avon"/>
        <s v="Bath &amp; BodUnknown Works"/>
        <s v="BUnknown Al Hambra"/>
        <s v="Calvin Klein"/>
        <s v="Carolina Herrera"/>
        <s v="Chanel"/>
        <s v="Claude Marsal"/>
        <s v="Creed"/>
        <s v="Dana"/>
        <s v="Diesel"/>
        <s v="Dior"/>
        <s v="Dolce &amp; Gabbana"/>
        <s v="Dolce&amp;Gabbana"/>
        <s v="Dossier"/>
        <s v="Eau de Cologne"/>
        <s v="Ed HardUnknown"/>
        <s v="Estee Lauder"/>
        <s v="Fc"/>
        <s v="Fragrance Couture"/>
        <s v="Giorgio Armani"/>
        <s v="Guerlain"/>
        <s v="Have A Scent"/>
        <s v="Hermès"/>
        <s v="Hugo Boss"/>
        <s v="Jil Sander"/>
        <s v="Lalique"/>
        <s v="Lapidus"/>
        <s v="Louis Vuitton"/>
        <s v="Macarena"/>
        <s v="Maison Martin Margiela"/>
        <s v="Mancera"/>
        <s v="Mandarin Duck"/>
        <s v="Paco Rabanne"/>
        <s v="Polo Ralph Lauren"/>
        <s v="Prada"/>
        <s v="Ralph Lauren"/>
        <s v="Secertmu"/>
        <s v="The Baron"/>
        <s v="Unbranded"/>
        <s v="Unknownsl"/>
        <s v="Unknownves Saint Laurent"/>
        <s v="BurberrUnknown" u="1"/>
        <s v="Eau de Parfums De MarlUnknown" u="1"/>
        <s v="Emporio Armani" u="1"/>
        <s v="Jaguar" u="1"/>
        <s v="Mercedes-Benz" u="1"/>
        <s v="Nina Ricci" u="1"/>
        <s v="Rasasi" u="1"/>
        <s v="Versace" u="1"/>
      </sharedItems>
    </cacheField>
    <cacheField name="[Measures].[Sum of Sold]" caption="Sum of Sold" numFmtId="0" hierarchy="34" level="32767"/>
    <cacheField name="[Table2].[Last Updated (Month)].[Last Updated (Month)]" caption="Last Updated (Month)" numFmtId="0" hierarchy="27" level="1">
      <sharedItems containsSemiMixedTypes="0" containsNonDate="0" containsString="0"/>
    </cacheField>
  </cacheFields>
  <cacheHierarchies count="40">
    <cacheHierarchy uniqueName="[Parfum].[Parfum ID]" caption="Parfum ID" attribute="1" defaultMemberUniqueName="[Parfum].[Parfum ID].[All]" allUniqueName="[Parfum].[Parfum ID].[All]" dimensionUniqueName="[Parfum]" displayFolder="" count="0" memberValueDatatype="130" unbalanced="0"/>
    <cacheHierarchy uniqueName="[Parfum].[Brand Name]" caption="Brand Name" attribute="1" defaultMemberUniqueName="[Parfum].[Brand Name].[All]" allUniqueName="[Parfum].[Brand Name].[All]" dimensionUniqueName="[Parfum]" displayFolder="" count="0" memberValueDatatype="130" unbalanced="0"/>
    <cacheHierarchy uniqueName="[Parfum].[Category]" caption="Category" attribute="1" defaultMemberUniqueName="[Parfum].[Category].[All]" allUniqueName="[Parfum].[Category].[All]" dimensionUniqueName="[Parfum]" displayFolder="" count="0" memberValueDatatype="130" unbalanced="0"/>
    <cacheHierarchy uniqueName="[Parfum].[Type]" caption="Type" attribute="1" defaultMemberUniqueName="[Parfum].[Type].[All]" allUniqueName="[Parfum].[Type].[All]" dimensionUniqueName="[Parfum]" displayFolder="" count="0" memberValueDatatype="130" unbalanced="0"/>
    <cacheHierarchy uniqueName="[Sales].[Transaction ID]" caption="Transaction ID" attribute="1" defaultMemberUniqueName="[Sales].[Transaction ID].[All]" allUniqueName="[Sales].[Transaction ID].[All]" dimensionUniqueName="[Sales]" displayFolder="" count="0" memberValueDatatype="130" unbalanced="0"/>
    <cacheHierarchy uniqueName="[Sales].[Parfum ID]" caption="Parfum ID" attribute="1" defaultMemberUniqueName="[Sales].[Parfum ID].[All]" allUniqueName="[Sales].[Parfum ID].[All]" dimensionUniqueName="[Sales]" displayFolder="" count="0" memberValueDatatype="130" unbalanced="0"/>
    <cacheHierarchy uniqueName="[Sales].[Sold price]" caption="Sold price" attribute="1" defaultMemberUniqueName="[Sales].[Sold price].[All]" allUniqueName="[Sales].[Sold price].[All]" dimensionUniqueName="[Sales]" displayFolder="" count="0" memberValueDatatype="20" unbalanced="0"/>
    <cacheHierarchy uniqueName="[Sales].[Updated time]" caption="Updated time" attribute="1" time="1" defaultMemberUniqueName="[Sales].[Updated time].[All]" allUniqueName="[Sales].[Updated time].[All]" dimensionUniqueName="[Sales]" displayFolder="" count="0" memberValueDatatype="7" unbalanced="0"/>
    <cacheHierarchy uniqueName="[Sales].[Availability]" caption="Availability" attribute="1" defaultMemberUniqueName="[Sales].[Availability].[All]" allUniqueName="[Sales].[Availability].[All]" dimensionUniqueName="[Sales]" displayFolder="" count="0" memberValueDatatype="20" unbalanced="0"/>
    <cacheHierarchy uniqueName="[Table1].[Timeline]" caption="Timeline" attribute="1" time="1" defaultMemberUniqueName="[Table1].[Timeline].[All]" allUniqueName="[Table1].[Timeline].[All]" dimensionUniqueName="[Table1]" displayFolder="" count="0" memberValueDatatype="7" unbalanced="0"/>
    <cacheHierarchy uniqueName="[Table1].[Values]" caption="Values" attribute="1" time="1" defaultMemberUniqueName="[Table1].[Values].[All]" allUniqueName="[Table1].[Values].[All]" dimensionUniqueName="[Table1]" displayFolder="" count="0" memberValueDatatype="7" unbalanced="0"/>
    <cacheHierarchy uniqueName="[Table1].[Forecast]" caption="Forecast" attribute="1" time="1" defaultMemberUniqueName="[Table1].[Forecast].[All]" allUniqueName="[Table1].[Forecast].[All]" dimensionUniqueName="[Table1]" displayFolder="" count="0" memberValueDatatype="7" unbalanced="0"/>
    <cacheHierarchy uniqueName="[Table1].[Lower Confidence Bound]" caption="Lower Confidence Bound" attribute="1" time="1" defaultMemberUniqueName="[Table1].[Lower Confidence Bound].[All]" allUniqueName="[Table1].[Lower Confidence Bound].[All]" dimensionUniqueName="[Table1]" displayFolder="" count="0" memberValueDatatype="7" unbalanced="0"/>
    <cacheHierarchy uniqueName="[Table1].[Upper Confidence Bound]" caption="Upper Confidence Bound" attribute="1" time="1" defaultMemberUniqueName="[Table1].[Upper Confidence Bound].[All]" allUniqueName="[Table1].[Upper Confidence Bound].[All]" dimensionUniqueName="[Table1]" displayFolder="" count="0" memberValueDatatype="7" unbalanced="0"/>
    <cacheHierarchy uniqueName="[Table2].[Brand Name]" caption="Brand Name" attribute="1" defaultMemberUniqueName="[Table2].[Brand Name].[All]" allUniqueName="[Table2].[Brand Name].[All]" dimensionUniqueName="[Table2]" displayFolder="" count="2" memberValueDatatype="130" unbalanced="0">
      <fieldsUsage count="2">
        <fieldUsage x="-1"/>
        <fieldUsage x="0"/>
      </fieldsUsage>
    </cacheHierarchy>
    <cacheHierarchy uniqueName="[Table2].[Type]" caption="Type" attribute="1" defaultMemberUniqueName="[Table2].[Type].[All]" allUniqueName="[Table2].[Type].[All]" dimensionUniqueName="[Table2]" displayFolder="" count="0" memberValueDatatype="130" unbalanced="0"/>
    <cacheHierarchy uniqueName="[Table2].[Price with Currency]" caption="Price with Currency" attribute="1" defaultMemberUniqueName="[Table2].[Price with Currency].[All]" allUniqueName="[Table2].[Price with Currency].[All]" dimensionUniqueName="[Table2]" displayFolder="" count="0" memberValueDatatype="5" unbalanced="0"/>
    <cacheHierarchy uniqueName="[Table2].[Available Stock]" caption="Available Stock" attribute="1" defaultMemberUniqueName="[Table2].[Available Stock].[All]" allUniqueName="[Table2].[Available Stock].[All]" dimensionUniqueName="[Table2]" displayFolder="" count="0" memberValueDatatype="20" unbalanced="0"/>
    <cacheHierarchy uniqueName="[Table2].[Sold]" caption="Sold" attribute="1" defaultMemberUniqueName="[Table2].[Sold].[All]" allUniqueName="[Table2].[Sold].[All]" dimensionUniqueName="[Table2]" displayFolder="" count="2"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Parfum Quality]" caption="Parfum Quality" attribute="1" defaultMemberUniqueName="[Table2].[Parfum Quality].[All]" allUniqueName="[Table2].[Parfum Quality].[All]" dimensionUniqueName="[Table2]" displayFolder="" count="0" memberValueDatatype="130" unbalanced="0"/>
    <cacheHierarchy uniqueName="[Table2].[Last Updated]" caption="Last Updated" attribute="1" time="1" defaultMemberUniqueName="[Table2].[Last Updated].[All]" allUniqueName="[Table2].[Last Updated].[All]" dimensionUniqueName="[Table2]" displayFolder="" count="0" memberValueDatatype="7" unbalanced="0"/>
    <cacheHierarchy uniqueName="[Table2].[Item Location]" caption="Item Location" attribute="1" defaultMemberUniqueName="[Table2].[Item Location].[All]" allUniqueName="[Table2].[Item Location].[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Last Updated (Year)]" caption="Last Updated (Year)" attribute="1" defaultMemberUniqueName="[Table2].[Last Updated (Year)].[All]" allUniqueName="[Table2].[Last Updated (Year)].[All]" dimensionUniqueName="[Table2]" displayFolder="" count="0" memberValueDatatype="130" unbalanced="0"/>
    <cacheHierarchy uniqueName="[Table2].[Last Updated (Quarter)]" caption="Last Updated (Quarter)" attribute="1" defaultMemberUniqueName="[Table2].[Last Updated (Quarter)].[All]" allUniqueName="[Table2].[Last Updated (Quarter)].[All]" dimensionUniqueName="[Table2]" displayFolder="" count="0" memberValueDatatype="130" unbalanced="0"/>
    <cacheHierarchy uniqueName="[Table2].[Last Updated (Month)]" caption="Last Updated (Month)" attribute="1" defaultMemberUniqueName="[Table2].[Last Updated (Month)].[All]" allUniqueName="[Table2].[Last Updated (Month)].[All]" dimensionUniqueName="[Table2]" displayFolder="" count="2" memberValueDatatype="130" unbalanced="0">
      <fieldsUsage count="2">
        <fieldUsage x="-1"/>
        <fieldUsage x="2"/>
      </fieldsUsage>
    </cacheHierarchy>
    <cacheHierarchy uniqueName="[Table2].[Last Updated (Month Index)]" caption="Last Updated (Month Index)" attribute="1" defaultMemberUniqueName="[Table2].[Last Updated (Month Index)].[All]" allUniqueName="[Table2].[Last Updated (Month Index)].[All]" dimensionUniqueName="[Table2]" displayFolder="" count="0" memberValueDatatype="20" unbalanced="0" hidden="1"/>
    <cacheHierarchy uniqueName="[Measures].[__XL_Count Sales]" caption="__XL_Count Sales" measure="1" displayFolder="" measureGroup="Sales" count="0" hidden="1"/>
    <cacheHierarchy uniqueName="[Measures].[__XL_Count Parfum]" caption="__XL_Count Parfum" measure="1" displayFolder="" measureGroup="Parfum"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old]" caption="Sum of Sold" measure="1" displayFolder="" measureGroup="Table2" count="0" oneField="1" hidden="1">
      <fieldsUsage count="1">
        <fieldUsage x="1"/>
      </fieldsUsage>
      <extLst>
        <ext xmlns:x15="http://schemas.microsoft.com/office/spreadsheetml/2010/11/main" uri="{B97F6D7D-B522-45F9-BDA1-12C45D357490}">
          <x15:cacheHierarchy aggregatedColumn="18"/>
        </ext>
      </extLst>
    </cacheHierarchy>
    <cacheHierarchy uniqueName="[Measures].[Average of Sold]" caption="Average of Sold" measure="1" displayFolder="" measureGroup="Table2"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19"/>
        </ext>
      </extLst>
    </cacheHierarchy>
    <cacheHierarchy uniqueName="[Measures].[Sum of Available Stock]" caption="Sum of Available Stock" measure="1" displayFolder="" measureGroup="Table2" count="0" hidden="1">
      <extLst>
        <ext xmlns:x15="http://schemas.microsoft.com/office/spreadsheetml/2010/11/main" uri="{B97F6D7D-B522-45F9-BDA1-12C45D357490}">
          <x15:cacheHierarchy aggregatedColumn="17"/>
        </ext>
      </extLst>
    </cacheHierarchy>
    <cacheHierarchy uniqueName="[Measures].[Max of Revenue]" caption="Max of Revenue" measure="1" displayFolder="" measureGroup="Table2"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Parfum" uniqueName="[Parfum]" caption="Parfum"/>
    <dimension name="Sales" uniqueName="[Sales]" caption="Sales"/>
    <dimension name="Table1" uniqueName="[Table1]" caption="Table1"/>
    <dimension name="Table2" uniqueName="[Table2]" caption="Table2"/>
  </dimensions>
  <measureGroups count="4">
    <measureGroup name="Parfum" caption="Parfum"/>
    <measureGroup name="Sales" caption="Sales"/>
    <measureGroup name="Table1" caption="Table1"/>
    <measureGroup name="Table2" caption="Table2"/>
  </measureGroups>
  <maps count="5">
    <map measureGroup="0" dimension="1"/>
    <map measureGroup="1"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B" refreshedDate="45982.046121874999" backgroundQuery="1" createdVersion="8" refreshedVersion="8" minRefreshableVersion="3" recordCount="0" supportSubquery="1" supportAdvancedDrill="1" xr:uid="{9AEFEC5F-6D17-4ECB-973C-3A99DBA69D31}">
  <cacheSource type="external" connectionId="5"/>
  <cacheFields count="5">
    <cacheField name="[Table2].[Type].[Type]" caption="Type" numFmtId="0" hierarchy="15" level="1">
      <sharedItems count="5">
        <s v="Car Air Freshener"/>
        <s v="Eau de Cologne"/>
        <s v="Eau de Parfum"/>
        <s v="Eau de Toilette"/>
        <s v="Roll On"/>
      </sharedItems>
    </cacheField>
    <cacheField name="[Table2].[Parfum Quality].[Parfum Quality]" caption="Parfum Quality" numFmtId="0" hierarchy="20" level="1">
      <sharedItems count="2">
        <s v="Normal Quality"/>
        <s v="High Quality" u="1"/>
      </sharedItems>
    </cacheField>
    <cacheField name="[Measures].[Sum of Revenue]" caption="Sum of Revenue" numFmtId="0" hierarchy="36" level="32767"/>
    <cacheField name="[Table2].[Last Updated].[Last Updated]" caption="Last Updated" numFmtId="0" hierarchy="21" level="1">
      <sharedItems containsSemiMixedTypes="0" containsNonDate="0" containsString="0"/>
    </cacheField>
    <cacheField name="[Table2].[Last Updated (Month)].[Last Updated (Month)]" caption="Last Updated (Month)" numFmtId="0" hierarchy="27" level="1">
      <sharedItems containsSemiMixedTypes="0" containsNonDate="0" containsString="0"/>
    </cacheField>
  </cacheFields>
  <cacheHierarchies count="40">
    <cacheHierarchy uniqueName="[Parfum].[Parfum ID]" caption="Parfum ID" attribute="1" defaultMemberUniqueName="[Parfum].[Parfum ID].[All]" allUniqueName="[Parfum].[Parfum ID].[All]" dimensionUniqueName="[Parfum]" displayFolder="" count="2" memberValueDatatype="130" unbalanced="0"/>
    <cacheHierarchy uniqueName="[Parfum].[Brand Name]" caption="Brand Name" attribute="1" defaultMemberUniqueName="[Parfum].[Brand Name].[All]" allUniqueName="[Parfum].[Brand Name].[All]" dimensionUniqueName="[Parfum]" displayFolder="" count="2" memberValueDatatype="130" unbalanced="0"/>
    <cacheHierarchy uniqueName="[Parfum].[Category]" caption="Category" attribute="1" defaultMemberUniqueName="[Parfum].[Category].[All]" allUniqueName="[Parfum].[Category].[All]" dimensionUniqueName="[Parfum]" displayFolder="" count="2" memberValueDatatype="130" unbalanced="0"/>
    <cacheHierarchy uniqueName="[Parfum].[Type]" caption="Type" attribute="1" defaultMemberUniqueName="[Parfum].[Type].[All]" allUniqueName="[Parfum].[Type].[All]" dimensionUniqueName="[Parfum]" displayFolder="" count="2" memberValueDatatype="130" unbalanced="0"/>
    <cacheHierarchy uniqueName="[Sales].[Transaction ID]" caption="Transaction ID" attribute="1" defaultMemberUniqueName="[Sales].[Transaction ID].[All]" allUniqueName="[Sales].[Transaction ID].[All]" dimensionUniqueName="[Sales]" displayFolder="" count="2" memberValueDatatype="130" unbalanced="0"/>
    <cacheHierarchy uniqueName="[Sales].[Parfum ID]" caption="Parfum ID" attribute="1" defaultMemberUniqueName="[Sales].[Parfum ID].[All]" allUniqueName="[Sales].[Parfum ID].[All]" dimensionUniqueName="[Sales]" displayFolder="" count="2" memberValueDatatype="130" unbalanced="0"/>
    <cacheHierarchy uniqueName="[Sales].[Sold price]" caption="Sold price" attribute="1" defaultMemberUniqueName="[Sales].[Sold price].[All]" allUniqueName="[Sales].[Sold price].[All]" dimensionUniqueName="[Sales]" displayFolder="" count="2" memberValueDatatype="20" unbalanced="0"/>
    <cacheHierarchy uniqueName="[Sales].[Updated time]" caption="Updated time" attribute="1" time="1" defaultMemberUniqueName="[Sales].[Updated time].[All]" allUniqueName="[Sales].[Updated time].[All]" dimensionUniqueName="[Sales]" displayFolder="" count="2" memberValueDatatype="7" unbalanced="0"/>
    <cacheHierarchy uniqueName="[Sales].[Availability]" caption="Availability" attribute="1" defaultMemberUniqueName="[Sales].[Availability].[All]" allUniqueName="[Sales].[Availability].[All]" dimensionUniqueName="[Sales]" displayFolder="" count="2" memberValueDatatype="20" unbalanced="0"/>
    <cacheHierarchy uniqueName="[Table1].[Timeline]" caption="Timeline" attribute="1" time="1" defaultMemberUniqueName="[Table1].[Timeline].[All]" allUniqueName="[Table1].[Timeline].[All]" dimensionUniqueName="[Table1]" displayFolder="" count="2" memberValueDatatype="7" unbalanced="0"/>
    <cacheHierarchy uniqueName="[Table1].[Values]" caption="Values" attribute="1" time="1" defaultMemberUniqueName="[Table1].[Values].[All]" allUniqueName="[Table1].[Values].[All]" dimensionUniqueName="[Table1]" displayFolder="" count="2" memberValueDatatype="7" unbalanced="0"/>
    <cacheHierarchy uniqueName="[Table1].[Forecast]" caption="Forecast" attribute="1" time="1" defaultMemberUniqueName="[Table1].[Forecast].[All]" allUniqueName="[Table1].[Forecast].[All]" dimensionUniqueName="[Table1]" displayFolder="" count="2" memberValueDatatype="7" unbalanced="0"/>
    <cacheHierarchy uniqueName="[Table1].[Lower Confidence Bound]" caption="Lower Confidence Bound" attribute="1" time="1" defaultMemberUniqueName="[Table1].[Lower Confidence Bound].[All]" allUniqueName="[Table1].[Lower Confidence Bound].[All]" dimensionUniqueName="[Table1]" displayFolder="" count="2" memberValueDatatype="7" unbalanced="0"/>
    <cacheHierarchy uniqueName="[Table1].[Upper Confidence Bound]" caption="Upper Confidence Bound" attribute="1" time="1" defaultMemberUniqueName="[Table1].[Upper Confidence Bound].[All]" allUniqueName="[Table1].[Upper Confidence Bound].[All]" dimensionUniqueName="[Table1]" displayFolder="" count="2" memberValueDatatype="7" unbalanced="0"/>
    <cacheHierarchy uniqueName="[Table2].[Brand Name]" caption="Brand Name" attribute="1" defaultMemberUniqueName="[Table2].[Brand Name].[All]" allUniqueName="[Table2].[Brand Name].[All]" dimensionUniqueName="[Table2]" displayFolder="" count="2" memberValueDatatype="130" unbalanced="0"/>
    <cacheHierarchy uniqueName="[Table2].[Type]" caption="Type" attribute="1" defaultMemberUniqueName="[Table2].[Type].[All]" allUniqueName="[Table2].[Type].[All]" dimensionUniqueName="[Table2]" displayFolder="" count="2" memberValueDatatype="130" unbalanced="0">
      <fieldsUsage count="2">
        <fieldUsage x="-1"/>
        <fieldUsage x="0"/>
      </fieldsUsage>
    </cacheHierarchy>
    <cacheHierarchy uniqueName="[Table2].[Price with Currency]" caption="Price with Currency" attribute="1" defaultMemberUniqueName="[Table2].[Price with Currency].[All]" allUniqueName="[Table2].[Price with Currency].[All]" dimensionUniqueName="[Table2]" displayFolder="" count="2" memberValueDatatype="5" unbalanced="0"/>
    <cacheHierarchy uniqueName="[Table2].[Available Stock]" caption="Available Stock" attribute="1" defaultMemberUniqueName="[Table2].[Available Stock].[All]" allUniqueName="[Table2].[Available Stock].[All]" dimensionUniqueName="[Table2]" displayFolder="" count="2" memberValueDatatype="20" unbalanced="0"/>
    <cacheHierarchy uniqueName="[Table2].[Sold]" caption="Sold" attribute="1" defaultMemberUniqueName="[Table2].[Sold].[All]" allUniqueName="[Table2].[Sold].[All]" dimensionUniqueName="[Table2]" displayFolder="" count="2" memberValueDatatype="20" unbalanced="0"/>
    <cacheHierarchy uniqueName="[Table2].[Revenue]" caption="Revenue" attribute="1" defaultMemberUniqueName="[Table2].[Revenue].[All]" allUniqueName="[Table2].[Revenue].[All]" dimensionUniqueName="[Table2]" displayFolder="" count="2" memberValueDatatype="5" unbalanced="0"/>
    <cacheHierarchy uniqueName="[Table2].[Parfum Quality]" caption="Parfum Quality" attribute="1" defaultMemberUniqueName="[Table2].[Parfum Quality].[All]" allUniqueName="[Table2].[Parfum Quality].[All]" dimensionUniqueName="[Table2]" displayFolder="" count="2" memberValueDatatype="130" unbalanced="0">
      <fieldsUsage count="2">
        <fieldUsage x="-1"/>
        <fieldUsage x="1"/>
      </fieldsUsage>
    </cacheHierarchy>
    <cacheHierarchy uniqueName="[Table2].[Last Updated]" caption="Last Updated" attribute="1" time="1" defaultMemberUniqueName="[Table2].[Last Updated].[All]" allUniqueName="[Table2].[Last Updated].[All]" dimensionUniqueName="[Table2]" displayFolder="" count="2" memberValueDatatype="7" unbalanced="0">
      <fieldsUsage count="2">
        <fieldUsage x="-1"/>
        <fieldUsage x="3"/>
      </fieldsUsage>
    </cacheHierarchy>
    <cacheHierarchy uniqueName="[Table2].[Item Location]" caption="Item Location" attribute="1" defaultMemberUniqueName="[Table2].[Item Location].[All]" allUniqueName="[Table2].[Item Location].[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Country]" caption="Country" attribute="1" defaultMemberUniqueName="[Table2].[Country].[All]" allUniqueName="[Table2].[Country].[All]" dimensionUniqueName="[Table2]" displayFolder="" count="2" memberValueDatatype="130" unbalanced="0"/>
    <cacheHierarchy uniqueName="[Table2].[Last Updated (Year)]" caption="Last Updated (Year)" attribute="1" defaultMemberUniqueName="[Table2].[Last Updated (Year)].[All]" allUniqueName="[Table2].[Last Updated (Year)].[All]" dimensionUniqueName="[Table2]" displayFolder="" count="2" memberValueDatatype="130" unbalanced="0"/>
    <cacheHierarchy uniqueName="[Table2].[Last Updated (Quarter)]" caption="Last Updated (Quarter)" attribute="1" defaultMemberUniqueName="[Table2].[Last Updated (Quarter)].[All]" allUniqueName="[Table2].[Last Updated (Quarter)].[All]" dimensionUniqueName="[Table2]" displayFolder="" count="2" memberValueDatatype="130" unbalanced="0"/>
    <cacheHierarchy uniqueName="[Table2].[Last Updated (Month)]" caption="Last Updated (Month)" attribute="1" defaultMemberUniqueName="[Table2].[Last Updated (Month)].[All]" allUniqueName="[Table2].[Last Updated (Month)].[All]" dimensionUniqueName="[Table2]" displayFolder="" count="2" memberValueDatatype="130" unbalanced="0">
      <fieldsUsage count="2">
        <fieldUsage x="-1"/>
        <fieldUsage x="4"/>
      </fieldsUsage>
    </cacheHierarchy>
    <cacheHierarchy uniqueName="[Table2].[Last Updated (Month Index)]" caption="Last Updated (Month Index)" attribute="1" defaultMemberUniqueName="[Table2].[Last Updated (Month Index)].[All]" allUniqueName="[Table2].[Last Updated (Month Index)].[All]" dimensionUniqueName="[Table2]" displayFolder="" count="2" memberValueDatatype="20" unbalanced="0" hidden="1"/>
    <cacheHierarchy uniqueName="[Measures].[__XL_Count Sales]" caption="__XL_Count Sales" measure="1" displayFolder="" measureGroup="Sales" count="0" hidden="1"/>
    <cacheHierarchy uniqueName="[Measures].[__XL_Count Parfum]" caption="__XL_Count Parfum" measure="1" displayFolder="" measureGroup="Parfum"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old]" caption="Sum of Sold" measure="1" displayFolder="" measureGroup="Table2" count="0" hidden="1">
      <extLst>
        <ext xmlns:x15="http://schemas.microsoft.com/office/spreadsheetml/2010/11/main" uri="{B97F6D7D-B522-45F9-BDA1-12C45D357490}">
          <x15:cacheHierarchy aggregatedColumn="18"/>
        </ext>
      </extLst>
    </cacheHierarchy>
    <cacheHierarchy uniqueName="[Measures].[Average of Sold]" caption="Average of Sold" measure="1" displayFolder="" measureGroup="Table2"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Table2"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Available Stock]" caption="Sum of Available Stock" measure="1" displayFolder="" measureGroup="Table2" count="0" hidden="1">
      <extLst>
        <ext xmlns:x15="http://schemas.microsoft.com/office/spreadsheetml/2010/11/main" uri="{B97F6D7D-B522-45F9-BDA1-12C45D357490}">
          <x15:cacheHierarchy aggregatedColumn="17"/>
        </ext>
      </extLst>
    </cacheHierarchy>
    <cacheHierarchy uniqueName="[Measures].[Max of Revenue]" caption="Max of Revenue" measure="1" displayFolder="" measureGroup="Table2"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Parfum" uniqueName="[Parfum]" caption="Parfum"/>
    <dimension name="Sales" uniqueName="[Sales]" caption="Sales"/>
    <dimension name="Table1" uniqueName="[Table1]" caption="Table1"/>
    <dimension name="Table2" uniqueName="[Table2]" caption="Table2"/>
  </dimensions>
  <measureGroups count="4">
    <measureGroup name="Parfum" caption="Parfum"/>
    <measureGroup name="Sales" caption="Sales"/>
    <measureGroup name="Table1" caption="Table1"/>
    <measureGroup name="Table2" caption="Table2"/>
  </measureGroups>
  <maps count="5">
    <map measureGroup="0" dimension="1"/>
    <map measureGroup="1"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B" refreshedDate="45982.046115972225" backgroundQuery="1" createdVersion="8" refreshedVersion="8" minRefreshableVersion="3" recordCount="0" supportSubquery="1" supportAdvancedDrill="1" xr:uid="{59CCDBE1-1C91-4DC1-8E9B-E83B1E806BCE}">
  <cacheSource type="external" connectionId="5"/>
  <cacheFields count="2">
    <cacheField name="[Table2].[Last Updated (Month)].[Last Updated (Month)]" caption="Last Updated (Month)" numFmtId="0" hierarchy="27" level="1">
      <sharedItems count="5">
        <s v="Jan"/>
        <s v="Feb"/>
        <s v="Apr"/>
        <s v="Sep"/>
        <s v="Nov"/>
      </sharedItems>
    </cacheField>
    <cacheField name="[Measures].[Average of Revenue]" caption="Average of Revenue" numFmtId="0" hierarchy="39" level="32767"/>
  </cacheFields>
  <cacheHierarchies count="40">
    <cacheHierarchy uniqueName="[Parfum].[Parfum ID]" caption="Parfum ID" attribute="1" defaultMemberUniqueName="[Parfum].[Parfum ID].[All]" allUniqueName="[Parfum].[Parfum ID].[All]" dimensionUniqueName="[Parfum]" displayFolder="" count="0" memberValueDatatype="130" unbalanced="0"/>
    <cacheHierarchy uniqueName="[Parfum].[Brand Name]" caption="Brand Name" attribute="1" defaultMemberUniqueName="[Parfum].[Brand Name].[All]" allUniqueName="[Parfum].[Brand Name].[All]" dimensionUniqueName="[Parfum]" displayFolder="" count="0" memberValueDatatype="130" unbalanced="0"/>
    <cacheHierarchy uniqueName="[Parfum].[Category]" caption="Category" attribute="1" defaultMemberUniqueName="[Parfum].[Category].[All]" allUniqueName="[Parfum].[Category].[All]" dimensionUniqueName="[Parfum]" displayFolder="" count="0" memberValueDatatype="130" unbalanced="0"/>
    <cacheHierarchy uniqueName="[Parfum].[Type]" caption="Type" attribute="1" defaultMemberUniqueName="[Parfum].[Type].[All]" allUniqueName="[Parfum].[Type].[All]" dimensionUniqueName="[Parfum]" displayFolder="" count="0" memberValueDatatype="130" unbalanced="0"/>
    <cacheHierarchy uniqueName="[Sales].[Transaction ID]" caption="Transaction ID" attribute="1" defaultMemberUniqueName="[Sales].[Transaction ID].[All]" allUniqueName="[Sales].[Transaction ID].[All]" dimensionUniqueName="[Sales]" displayFolder="" count="0" memberValueDatatype="130" unbalanced="0"/>
    <cacheHierarchy uniqueName="[Sales].[Parfum ID]" caption="Parfum ID" attribute="1" defaultMemberUniqueName="[Sales].[Parfum ID].[All]" allUniqueName="[Sales].[Parfum ID].[All]" dimensionUniqueName="[Sales]" displayFolder="" count="0" memberValueDatatype="130" unbalanced="0"/>
    <cacheHierarchy uniqueName="[Sales].[Sold price]" caption="Sold price" attribute="1" defaultMemberUniqueName="[Sales].[Sold price].[All]" allUniqueName="[Sales].[Sold price].[All]" dimensionUniqueName="[Sales]" displayFolder="" count="0" memberValueDatatype="20" unbalanced="0"/>
    <cacheHierarchy uniqueName="[Sales].[Updated time]" caption="Updated time" attribute="1" time="1" defaultMemberUniqueName="[Sales].[Updated time].[All]" allUniqueName="[Sales].[Updated time].[All]" dimensionUniqueName="[Sales]" displayFolder="" count="0" memberValueDatatype="7" unbalanced="0"/>
    <cacheHierarchy uniqueName="[Sales].[Availability]" caption="Availability" attribute="1" defaultMemberUniqueName="[Sales].[Availability].[All]" allUniqueName="[Sales].[Availability].[All]" dimensionUniqueName="[Sales]" displayFolder="" count="0" memberValueDatatype="20" unbalanced="0"/>
    <cacheHierarchy uniqueName="[Table1].[Timeline]" caption="Timeline" attribute="1" time="1" defaultMemberUniqueName="[Table1].[Timeline].[All]" allUniqueName="[Table1].[Timeline].[All]" dimensionUniqueName="[Table1]" displayFolder="" count="0" memberValueDatatype="7" unbalanced="0"/>
    <cacheHierarchy uniqueName="[Table1].[Values]" caption="Values" attribute="1" time="1" defaultMemberUniqueName="[Table1].[Values].[All]" allUniqueName="[Table1].[Values].[All]" dimensionUniqueName="[Table1]" displayFolder="" count="0" memberValueDatatype="7" unbalanced="0"/>
    <cacheHierarchy uniqueName="[Table1].[Forecast]" caption="Forecast" attribute="1" time="1" defaultMemberUniqueName="[Table1].[Forecast].[All]" allUniqueName="[Table1].[Forecast].[All]" dimensionUniqueName="[Table1]" displayFolder="" count="0" memberValueDatatype="7" unbalanced="0"/>
    <cacheHierarchy uniqueName="[Table1].[Lower Confidence Bound]" caption="Lower Confidence Bound" attribute="1" time="1" defaultMemberUniqueName="[Table1].[Lower Confidence Bound].[All]" allUniqueName="[Table1].[Lower Confidence Bound].[All]" dimensionUniqueName="[Table1]" displayFolder="" count="0" memberValueDatatype="7" unbalanced="0"/>
    <cacheHierarchy uniqueName="[Table1].[Upper Confidence Bound]" caption="Upper Confidence Bound" attribute="1" time="1" defaultMemberUniqueName="[Table1].[Upper Confidence Bound].[All]" allUniqueName="[Table1].[Upper Confidence Bound].[All]" dimensionUniqueName="[Table1]" displayFolder="" count="0" memberValueDatatype="7" unbalanced="0"/>
    <cacheHierarchy uniqueName="[Table2].[Brand Name]" caption="Brand Name" attribute="1" defaultMemberUniqueName="[Table2].[Brand Name].[All]" allUniqueName="[Table2].[Brand Name].[All]" dimensionUniqueName="[Table2]" displayFolder="" count="0" memberValueDatatype="130" unbalanced="0"/>
    <cacheHierarchy uniqueName="[Table2].[Type]" caption="Type" attribute="1" defaultMemberUniqueName="[Table2].[Type].[All]" allUniqueName="[Table2].[Type].[All]" dimensionUniqueName="[Table2]" displayFolder="" count="0" memberValueDatatype="130" unbalanced="0"/>
    <cacheHierarchy uniqueName="[Table2].[Price with Currency]" caption="Price with Currency" attribute="1" defaultMemberUniqueName="[Table2].[Price with Currency].[All]" allUniqueName="[Table2].[Price with Currency].[All]" dimensionUniqueName="[Table2]" displayFolder="" count="0" memberValueDatatype="5" unbalanced="0"/>
    <cacheHierarchy uniqueName="[Table2].[Available Stock]" caption="Available Stock" attribute="1" defaultMemberUniqueName="[Table2].[Available Stock].[All]" allUniqueName="[Table2].[Available Stock].[All]" dimensionUniqueName="[Table2]" displayFolder="" count="0" memberValueDatatype="20" unbalanced="0"/>
    <cacheHierarchy uniqueName="[Table2].[Sold]" caption="Sold" attribute="1" defaultMemberUniqueName="[Table2].[Sold].[All]" allUniqueName="[Table2].[Sold].[All]" dimensionUniqueName="[Table2]" displayFolder="" count="0" memberValueDatatype="20" unbalanced="0"/>
    <cacheHierarchy uniqueName="[Table2].[Revenue]" caption="Revenue" attribute="1" defaultMemberUniqueName="[Table2].[Revenue].[All]" allUniqueName="[Table2].[Revenue].[All]" dimensionUniqueName="[Table2]" displayFolder="" count="2" memberValueDatatype="5" unbalanced="0"/>
    <cacheHierarchy uniqueName="[Table2].[Parfum Quality]" caption="Parfum Quality" attribute="1" defaultMemberUniqueName="[Table2].[Parfum Quality].[All]" allUniqueName="[Table2].[Parfum Quality].[All]" dimensionUniqueName="[Table2]" displayFolder="" count="0" memberValueDatatype="130" unbalanced="0"/>
    <cacheHierarchy uniqueName="[Table2].[Last Updated]" caption="Last Updated" attribute="1" time="1" defaultMemberUniqueName="[Table2].[Last Updated].[All]" allUniqueName="[Table2].[Last Updated].[All]" dimensionUniqueName="[Table2]" displayFolder="" count="0" memberValueDatatype="7" unbalanced="0"/>
    <cacheHierarchy uniqueName="[Table2].[Item Location]" caption="Item Location" attribute="1" defaultMemberUniqueName="[Table2].[Item Location].[All]" allUniqueName="[Table2].[Item Location].[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Last Updated (Year)]" caption="Last Updated (Year)" attribute="1" defaultMemberUniqueName="[Table2].[Last Updated (Year)].[All]" allUniqueName="[Table2].[Last Updated (Year)].[All]" dimensionUniqueName="[Table2]" displayFolder="" count="0" memberValueDatatype="130" unbalanced="0"/>
    <cacheHierarchy uniqueName="[Table2].[Last Updated (Quarter)]" caption="Last Updated (Quarter)" attribute="1" defaultMemberUniqueName="[Table2].[Last Updated (Quarter)].[All]" allUniqueName="[Table2].[Last Updated (Quarter)].[All]" dimensionUniqueName="[Table2]" displayFolder="" count="0" memberValueDatatype="130" unbalanced="0"/>
    <cacheHierarchy uniqueName="[Table2].[Last Updated (Month)]" caption="Last Updated (Month)" attribute="1" defaultMemberUniqueName="[Table2].[Last Updated (Month)].[All]" allUniqueName="[Table2].[Last Updated (Month)].[All]" dimensionUniqueName="[Table2]" displayFolder="" count="2" memberValueDatatype="130" unbalanced="0">
      <fieldsUsage count="2">
        <fieldUsage x="-1"/>
        <fieldUsage x="0"/>
      </fieldsUsage>
    </cacheHierarchy>
    <cacheHierarchy uniqueName="[Table2].[Last Updated (Month Index)]" caption="Last Updated (Month Index)" attribute="1" defaultMemberUniqueName="[Table2].[Last Updated (Month Index)].[All]" allUniqueName="[Table2].[Last Updated (Month Index)].[All]" dimensionUniqueName="[Table2]" displayFolder="" count="0" memberValueDatatype="20" unbalanced="0" hidden="1"/>
    <cacheHierarchy uniqueName="[Measures].[__XL_Count Sales]" caption="__XL_Count Sales" measure="1" displayFolder="" measureGroup="Sales" count="0" hidden="1"/>
    <cacheHierarchy uniqueName="[Measures].[__XL_Count Parfum]" caption="__XL_Count Parfum" measure="1" displayFolder="" measureGroup="Parfum"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old]" caption="Sum of Sold" measure="1" displayFolder="" measureGroup="Table2" count="0" hidden="1">
      <extLst>
        <ext xmlns:x15="http://schemas.microsoft.com/office/spreadsheetml/2010/11/main" uri="{B97F6D7D-B522-45F9-BDA1-12C45D357490}">
          <x15:cacheHierarchy aggregatedColumn="18"/>
        </ext>
      </extLst>
    </cacheHierarchy>
    <cacheHierarchy uniqueName="[Measures].[Average of Sold]" caption="Average of Sold" measure="1" displayFolder="" measureGroup="Table2"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19"/>
        </ext>
      </extLst>
    </cacheHierarchy>
    <cacheHierarchy uniqueName="[Measures].[Sum of Available Stock]" caption="Sum of Available Stock" measure="1" displayFolder="" measureGroup="Table2" count="0" hidden="1">
      <extLst>
        <ext xmlns:x15="http://schemas.microsoft.com/office/spreadsheetml/2010/11/main" uri="{B97F6D7D-B522-45F9-BDA1-12C45D357490}">
          <x15:cacheHierarchy aggregatedColumn="17"/>
        </ext>
      </extLst>
    </cacheHierarchy>
    <cacheHierarchy uniqueName="[Measures].[Max of Revenue]" caption="Max of Revenue" measure="1" displayFolder="" measureGroup="Table2"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Table2" count="0" oneField="1" hidden="1">
      <fieldsUsage count="1">
        <fieldUsage x="1"/>
      </fieldsUsage>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Parfum" uniqueName="[Parfum]" caption="Parfum"/>
    <dimension name="Sales" uniqueName="[Sales]" caption="Sales"/>
    <dimension name="Table1" uniqueName="[Table1]" caption="Table1"/>
    <dimension name="Table2" uniqueName="[Table2]" caption="Table2"/>
  </dimensions>
  <measureGroups count="4">
    <measureGroup name="Parfum" caption="Parfum"/>
    <measureGroup name="Sales" caption="Sales"/>
    <measureGroup name="Table1" caption="Table1"/>
    <measureGroup name="Table2" caption="Table2"/>
  </measureGroups>
  <maps count="5">
    <map measureGroup="0" dimension="1"/>
    <map measureGroup="1"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B" refreshedDate="45982.046121296298" backgroundQuery="1" createdVersion="8" refreshedVersion="8" minRefreshableVersion="3" recordCount="0" supportSubquery="1" supportAdvancedDrill="1" xr:uid="{814E2DA1-268B-4B10-ABB1-171A34341886}">
  <cacheSource type="external" connectionId="5"/>
  <cacheFields count="3">
    <cacheField name="[Measures].[Sum of Available Stock]" caption="Sum of Available Stock" numFmtId="0" hierarchy="37" level="32767"/>
    <cacheField name="[Table2].[Country].[Country]" caption="Country" numFmtId="0" hierarchy="24" level="1">
      <sharedItems count="3">
        <s v="China"/>
        <s v="Hong Kong"/>
        <s v="United States"/>
      </sharedItems>
    </cacheField>
    <cacheField name="[Table2].[Last Updated (Month)].[Last Updated (Month)]" caption="Last Updated (Month)" numFmtId="0" hierarchy="27" level="1">
      <sharedItems containsSemiMixedTypes="0" containsNonDate="0" containsString="0"/>
    </cacheField>
  </cacheFields>
  <cacheHierarchies count="40">
    <cacheHierarchy uniqueName="[Parfum].[Parfum ID]" caption="Parfum ID" attribute="1" defaultMemberUniqueName="[Parfum].[Parfum ID].[All]" allUniqueName="[Parfum].[Parfum ID].[All]" dimensionUniqueName="[Parfum]" displayFolder="" count="0" memberValueDatatype="130" unbalanced="0"/>
    <cacheHierarchy uniqueName="[Parfum].[Brand Name]" caption="Brand Name" attribute="1" defaultMemberUniqueName="[Parfum].[Brand Name].[All]" allUniqueName="[Parfum].[Brand Name].[All]" dimensionUniqueName="[Parfum]" displayFolder="" count="0" memberValueDatatype="130" unbalanced="0"/>
    <cacheHierarchy uniqueName="[Parfum].[Category]" caption="Category" attribute="1" defaultMemberUniqueName="[Parfum].[Category].[All]" allUniqueName="[Parfum].[Category].[All]" dimensionUniqueName="[Parfum]" displayFolder="" count="0" memberValueDatatype="130" unbalanced="0"/>
    <cacheHierarchy uniqueName="[Parfum].[Type]" caption="Type" attribute="1" defaultMemberUniqueName="[Parfum].[Type].[All]" allUniqueName="[Parfum].[Type].[All]" dimensionUniqueName="[Parfum]" displayFolder="" count="0" memberValueDatatype="130" unbalanced="0"/>
    <cacheHierarchy uniqueName="[Sales].[Transaction ID]" caption="Transaction ID" attribute="1" defaultMemberUniqueName="[Sales].[Transaction ID].[All]" allUniqueName="[Sales].[Transaction ID].[All]" dimensionUniqueName="[Sales]" displayFolder="" count="0" memberValueDatatype="130" unbalanced="0"/>
    <cacheHierarchy uniqueName="[Sales].[Parfum ID]" caption="Parfum ID" attribute="1" defaultMemberUniqueName="[Sales].[Parfum ID].[All]" allUniqueName="[Sales].[Parfum ID].[All]" dimensionUniqueName="[Sales]" displayFolder="" count="0" memberValueDatatype="130" unbalanced="0"/>
    <cacheHierarchy uniqueName="[Sales].[Sold price]" caption="Sold price" attribute="1" defaultMemberUniqueName="[Sales].[Sold price].[All]" allUniqueName="[Sales].[Sold price].[All]" dimensionUniqueName="[Sales]" displayFolder="" count="0" memberValueDatatype="20" unbalanced="0"/>
    <cacheHierarchy uniqueName="[Sales].[Updated time]" caption="Updated time" attribute="1" time="1" defaultMemberUniqueName="[Sales].[Updated time].[All]" allUniqueName="[Sales].[Updated time].[All]" dimensionUniqueName="[Sales]" displayFolder="" count="0" memberValueDatatype="7" unbalanced="0"/>
    <cacheHierarchy uniqueName="[Sales].[Availability]" caption="Availability" attribute="1" defaultMemberUniqueName="[Sales].[Availability].[All]" allUniqueName="[Sales].[Availability].[All]" dimensionUniqueName="[Sales]" displayFolder="" count="0" memberValueDatatype="20" unbalanced="0"/>
    <cacheHierarchy uniqueName="[Table1].[Timeline]" caption="Timeline" attribute="1" time="1" defaultMemberUniqueName="[Table1].[Timeline].[All]" allUniqueName="[Table1].[Timeline].[All]" dimensionUniqueName="[Table1]" displayFolder="" count="0" memberValueDatatype="7" unbalanced="0"/>
    <cacheHierarchy uniqueName="[Table1].[Values]" caption="Values" attribute="1" time="1" defaultMemberUniqueName="[Table1].[Values].[All]" allUniqueName="[Table1].[Values].[All]" dimensionUniqueName="[Table1]" displayFolder="" count="0" memberValueDatatype="7" unbalanced="0"/>
    <cacheHierarchy uniqueName="[Table1].[Forecast]" caption="Forecast" attribute="1" time="1" defaultMemberUniqueName="[Table1].[Forecast].[All]" allUniqueName="[Table1].[Forecast].[All]" dimensionUniqueName="[Table1]" displayFolder="" count="0" memberValueDatatype="7" unbalanced="0"/>
    <cacheHierarchy uniqueName="[Table1].[Lower Confidence Bound]" caption="Lower Confidence Bound" attribute="1" time="1" defaultMemberUniqueName="[Table1].[Lower Confidence Bound].[All]" allUniqueName="[Table1].[Lower Confidence Bound].[All]" dimensionUniqueName="[Table1]" displayFolder="" count="0" memberValueDatatype="7" unbalanced="0"/>
    <cacheHierarchy uniqueName="[Table1].[Upper Confidence Bound]" caption="Upper Confidence Bound" attribute="1" time="1" defaultMemberUniqueName="[Table1].[Upper Confidence Bound].[All]" allUniqueName="[Table1].[Upper Confidence Bound].[All]" dimensionUniqueName="[Table1]" displayFolder="" count="0" memberValueDatatype="7" unbalanced="0"/>
    <cacheHierarchy uniqueName="[Table2].[Brand Name]" caption="Brand Name" attribute="1" defaultMemberUniqueName="[Table2].[Brand Name].[All]" allUniqueName="[Table2].[Brand Name].[All]" dimensionUniqueName="[Table2]" displayFolder="" count="0" memberValueDatatype="130" unbalanced="0"/>
    <cacheHierarchy uniqueName="[Table2].[Type]" caption="Type" attribute="1" defaultMemberUniqueName="[Table2].[Type].[All]" allUniqueName="[Table2].[Type].[All]" dimensionUniqueName="[Table2]" displayFolder="" count="0" memberValueDatatype="130" unbalanced="0"/>
    <cacheHierarchy uniqueName="[Table2].[Price with Currency]" caption="Price with Currency" attribute="1" defaultMemberUniqueName="[Table2].[Price with Currency].[All]" allUniqueName="[Table2].[Price with Currency].[All]" dimensionUniqueName="[Table2]" displayFolder="" count="0" memberValueDatatype="5" unbalanced="0"/>
    <cacheHierarchy uniqueName="[Table2].[Available Stock]" caption="Available Stock" attribute="1" defaultMemberUniqueName="[Table2].[Available Stock].[All]" allUniqueName="[Table2].[Available Stock].[All]" dimensionUniqueName="[Table2]" displayFolder="" count="0" memberValueDatatype="20" unbalanced="0"/>
    <cacheHierarchy uniqueName="[Table2].[Sold]" caption="Sold" attribute="1" defaultMemberUniqueName="[Table2].[Sold].[All]" allUniqueName="[Table2].[Sold].[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Parfum Quality]" caption="Parfum Quality" attribute="1" defaultMemberUniqueName="[Table2].[Parfum Quality].[All]" allUniqueName="[Table2].[Parfum Quality].[All]" dimensionUniqueName="[Table2]" displayFolder="" count="0" memberValueDatatype="130" unbalanced="0"/>
    <cacheHierarchy uniqueName="[Table2].[Last Updated]" caption="Last Updated" attribute="1" time="1" defaultMemberUniqueName="[Table2].[Last Updated].[All]" allUniqueName="[Table2].[Last Updated].[All]" dimensionUniqueName="[Table2]" displayFolder="" count="0" memberValueDatatype="7" unbalanced="0"/>
    <cacheHierarchy uniqueName="[Table2].[Item Location]" caption="Item Location" attribute="1" defaultMemberUniqueName="[Table2].[Item Location].[All]" allUniqueName="[Table2].[Item Location].[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ountry]" caption="Country" attribute="1" defaultMemberUniqueName="[Table2].[Country].[All]" allUniqueName="[Table2].[Country].[All]" dimensionUniqueName="[Table2]" displayFolder="" count="2" memberValueDatatype="130" unbalanced="0">
      <fieldsUsage count="2">
        <fieldUsage x="-1"/>
        <fieldUsage x="1"/>
      </fieldsUsage>
    </cacheHierarchy>
    <cacheHierarchy uniqueName="[Table2].[Last Updated (Year)]" caption="Last Updated (Year)" attribute="1" defaultMemberUniqueName="[Table2].[Last Updated (Year)].[All]" allUniqueName="[Table2].[Last Updated (Year)].[All]" dimensionUniqueName="[Table2]" displayFolder="" count="0" memberValueDatatype="130" unbalanced="0"/>
    <cacheHierarchy uniqueName="[Table2].[Last Updated (Quarter)]" caption="Last Updated (Quarter)" attribute="1" defaultMemberUniqueName="[Table2].[Last Updated (Quarter)].[All]" allUniqueName="[Table2].[Last Updated (Quarter)].[All]" dimensionUniqueName="[Table2]" displayFolder="" count="0" memberValueDatatype="130" unbalanced="0"/>
    <cacheHierarchy uniqueName="[Table2].[Last Updated (Month)]" caption="Last Updated (Month)" attribute="1" defaultMemberUniqueName="[Table2].[Last Updated (Month)].[All]" allUniqueName="[Table2].[Last Updated (Month)].[All]" dimensionUniqueName="[Table2]" displayFolder="" count="2" memberValueDatatype="130" unbalanced="0">
      <fieldsUsage count="2">
        <fieldUsage x="-1"/>
        <fieldUsage x="2"/>
      </fieldsUsage>
    </cacheHierarchy>
    <cacheHierarchy uniqueName="[Table2].[Last Updated (Month Index)]" caption="Last Updated (Month Index)" attribute="1" defaultMemberUniqueName="[Table2].[Last Updated (Month Index)].[All]" allUniqueName="[Table2].[Last Updated (Month Index)].[All]" dimensionUniqueName="[Table2]" displayFolder="" count="0" memberValueDatatype="20" unbalanced="0" hidden="1"/>
    <cacheHierarchy uniqueName="[Measures].[__XL_Count Sales]" caption="__XL_Count Sales" measure="1" displayFolder="" measureGroup="Sales" count="0" hidden="1"/>
    <cacheHierarchy uniqueName="[Measures].[__XL_Count Parfum]" caption="__XL_Count Parfum" measure="1" displayFolder="" measureGroup="Parfum"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old]" caption="Sum of Sold" measure="1" displayFolder="" measureGroup="Table2" count="0" hidden="1">
      <extLst>
        <ext xmlns:x15="http://schemas.microsoft.com/office/spreadsheetml/2010/11/main" uri="{B97F6D7D-B522-45F9-BDA1-12C45D357490}">
          <x15:cacheHierarchy aggregatedColumn="18"/>
        </ext>
      </extLst>
    </cacheHierarchy>
    <cacheHierarchy uniqueName="[Measures].[Average of Sold]" caption="Average of Sold" measure="1" displayFolder="" measureGroup="Table2"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19"/>
        </ext>
      </extLst>
    </cacheHierarchy>
    <cacheHierarchy uniqueName="[Measures].[Sum of Available Stock]" caption="Sum of Available Stock" measure="1" displayFolder="" measureGroup="Table2" count="0" oneField="1" hidden="1">
      <fieldsUsage count="1">
        <fieldUsage x="0"/>
      </fieldsUsage>
      <extLst>
        <ext xmlns:x15="http://schemas.microsoft.com/office/spreadsheetml/2010/11/main" uri="{B97F6D7D-B522-45F9-BDA1-12C45D357490}">
          <x15:cacheHierarchy aggregatedColumn="17"/>
        </ext>
      </extLst>
    </cacheHierarchy>
    <cacheHierarchy uniqueName="[Measures].[Max of Revenue]" caption="Max of Revenue" measure="1" displayFolder="" measureGroup="Table2"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Parfum" uniqueName="[Parfum]" caption="Parfum"/>
    <dimension name="Sales" uniqueName="[Sales]" caption="Sales"/>
    <dimension name="Table1" uniqueName="[Table1]" caption="Table1"/>
    <dimension name="Table2" uniqueName="[Table2]" caption="Table2"/>
  </dimensions>
  <measureGroups count="4">
    <measureGroup name="Parfum" caption="Parfum"/>
    <measureGroup name="Sales" caption="Sales"/>
    <measureGroup name="Table1" caption="Table1"/>
    <measureGroup name="Table2" caption="Table2"/>
  </measureGroups>
  <maps count="5">
    <map measureGroup="0" dimension="1"/>
    <map measureGroup="1"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B" refreshedDate="45982.046122800923" backgroundQuery="1" createdVersion="8" refreshedVersion="8" minRefreshableVersion="3" recordCount="0" supportSubquery="1" supportAdvancedDrill="1" xr:uid="{24E43FFC-A90B-4E7B-9978-F2BEF9AC5FD4}">
  <cacheSource type="external" connectionId="5"/>
  <cacheFields count="7">
    <cacheField name="[Table2].[Last Updated].[Last Updated]" caption="Last Updated" numFmtId="0" hierarchy="21" level="1">
      <sharedItems containsSemiMixedTypes="0" containsNonDate="0" containsDate="1" containsString="0" minDate="2022-10-20T18:26:14" maxDate="2024-04-30T20:11:27" count="934">
        <d v="2022-10-20T18:26:14"/>
        <d v="2022-11-02T03:03:01"/>
        <d v="2023-09-15T06:32:59"/>
        <d v="2023-11-12T12:18:20"/>
        <d v="2023-11-21T08:32:55"/>
        <d v="2024-01-08T17:39:02"/>
        <d v="2024-01-10T14:19:12"/>
        <d v="2024-02-08T10:42:37"/>
        <d v="2024-02-16T20:33:33"/>
        <d v="2024-02-21T16:08:12"/>
        <d v="2024-02-22T02:08:53"/>
        <d v="2024-02-26T12:33:18"/>
        <d v="2024-02-28T07:26:54"/>
        <d v="2024-02-28T07:27:01"/>
        <d v="2024-03-01T00:00:00"/>
        <d v="2024-03-01T09:56:57"/>
        <d v="2024-03-01T11:40:14"/>
        <d v="2024-03-01T15:10:55"/>
        <d v="2024-03-01T23:21:12"/>
        <d v="2024-03-02T00:00:00"/>
        <d v="2024-03-02T01:30:34"/>
        <d v="2024-03-02T01:30:37"/>
        <d v="2024-03-02T01:30:50"/>
        <d v="2024-03-02T13:48:09"/>
        <d v="2024-03-02T19:37:12"/>
        <d v="2024-03-02T21:01:55"/>
        <d v="2024-03-03T00:00:00"/>
        <d v="2024-03-03T11:43:56"/>
        <d v="2024-03-03T14:45:35"/>
        <d v="2024-03-03T17:56:21"/>
        <d v="2024-03-04T00:00:00"/>
        <d v="2024-03-04T05:03:56"/>
        <d v="2024-03-04T05:57:21"/>
        <d v="2024-03-04T06:13:01"/>
        <d v="2024-03-05T00:00:00"/>
        <d v="2024-03-05T01:21:25"/>
        <d v="2024-03-05T09:23:49"/>
        <d v="2024-03-05T18:27:16"/>
        <d v="2024-03-05T19:10:00"/>
        <d v="2024-03-05T23:09:40"/>
        <d v="2024-03-05T23:17:39"/>
        <d v="2024-03-05T23:18:46"/>
        <d v="2024-03-06T00:00:00"/>
        <d v="2024-03-06T04:40:12"/>
        <d v="2024-03-06T12:23:40"/>
        <d v="2024-03-06T16:50:06"/>
        <d v="2024-03-06T19:01:20"/>
        <d v="2024-03-06T21:18:47"/>
        <d v="2024-03-06T23:28:14"/>
        <d v="2024-03-07T00:00:00"/>
        <d v="2024-03-07T07:48:23"/>
        <d v="2024-03-07T11:07:48"/>
        <d v="2024-03-08T00:00:00"/>
        <d v="2024-03-08T01:44:16"/>
        <d v="2024-03-08T03:13:17"/>
        <d v="2024-03-08T03:42:07"/>
        <d v="2024-03-08T06:01:12"/>
        <d v="2024-03-08T07:49:55"/>
        <d v="2024-03-08T08:02:39"/>
        <d v="2024-03-08T08:37:11"/>
        <d v="2024-03-08T09:23:26"/>
        <d v="2024-03-08T10:18:58"/>
        <d v="2024-03-08T10:32:03"/>
        <d v="2024-03-08T11:11:06"/>
        <d v="2024-03-08T14:29:55"/>
        <d v="2024-03-08T15:39:55"/>
        <d v="2024-03-08T15:45:56"/>
        <d v="2024-03-08T18:36:48"/>
        <d v="2024-03-09T00:00:00"/>
        <d v="2024-03-09T04:53:41"/>
        <d v="2024-03-09T08:15:16"/>
        <d v="2024-03-09T11:34:50"/>
        <d v="2024-03-09T16:02:55"/>
        <d v="2024-03-09T17:17:45"/>
        <d v="2024-03-09T17:47:19"/>
        <d v="2024-03-09T20:48:12"/>
        <d v="2024-03-09T21:13:54"/>
        <d v="2024-03-09T22:38:22"/>
        <d v="2024-03-10T00:00:00"/>
        <d v="2024-03-10T07:19:49"/>
        <d v="2024-03-10T10:21:09"/>
        <d v="2024-03-10T10:59:33"/>
        <d v="2024-03-10T17:42:19"/>
        <d v="2024-03-10T21:53:08"/>
        <d v="2024-03-11T00:00:00"/>
        <d v="2024-03-11T02:03:08"/>
        <d v="2024-03-11T03:51:13"/>
        <d v="2024-03-11T04:30:04"/>
        <d v="2024-03-11T07:37:49"/>
        <d v="2024-03-11T09:30:33"/>
        <d v="2024-03-11T09:37:04"/>
        <d v="2024-03-11T15:09:30"/>
        <d v="2024-03-11T20:45:30"/>
        <d v="2024-03-11T23:42:49"/>
        <d v="2024-03-12T09:22:09"/>
        <d v="2024-03-12T16:15:40"/>
        <d v="2024-03-12T17:06:25"/>
        <d v="2024-03-12T17:11:04"/>
        <d v="2024-03-12T17:40:33"/>
        <d v="2024-03-12T18:06:36"/>
        <d v="2024-03-12T20:22:40"/>
        <d v="2024-03-13T02:58:59"/>
        <d v="2024-03-13T05:49:38"/>
        <d v="2024-03-13T09:31:59"/>
        <d v="2024-03-13T09:33:41"/>
        <d v="2024-03-13T09:37:01"/>
        <d v="2024-03-13T10:02:02"/>
        <d v="2024-03-13T10:40:48"/>
        <d v="2024-03-13T11:37:20"/>
        <d v="2024-03-13T13:58:55"/>
        <d v="2024-03-13T17:50:50"/>
        <d v="2024-03-13T19:01:09"/>
        <d v="2024-03-13T19:05:56"/>
        <d v="2024-03-14T03:39:09"/>
        <d v="2024-03-14T07:23:28"/>
        <d v="2024-03-14T08:33:40"/>
        <d v="2024-03-14T11:28:23"/>
        <d v="2024-03-14T13:13:29"/>
        <d v="2024-03-14T13:19:07"/>
        <d v="2024-03-14T15:34:41"/>
        <d v="2024-03-14T16:12:02"/>
        <d v="2024-03-14T20:43:05"/>
        <d v="2024-03-15T03:14:10"/>
        <d v="2024-03-15T07:37:26"/>
        <d v="2024-03-15T10:37:08"/>
        <d v="2024-03-15T11:26:06"/>
        <d v="2024-03-15T11:28:53"/>
        <d v="2024-03-15T11:50:00"/>
        <d v="2024-03-15T12:51:02"/>
        <d v="2024-03-15T13:47:53"/>
        <d v="2024-03-15T15:14:22"/>
        <d v="2024-03-15T15:52:46"/>
        <d v="2024-03-15T17:19:08"/>
        <d v="2024-03-15T17:31:27"/>
        <d v="2024-03-15T17:42:12"/>
        <d v="2024-03-15T18:42:00"/>
        <d v="2024-03-15T19:05:45"/>
        <d v="2024-03-15T19:24:33"/>
        <d v="2024-03-15T22:29:13"/>
        <d v="2024-03-15T23:13:02"/>
        <d v="2024-03-16T00:14:43"/>
        <d v="2024-03-16T02:06:00"/>
        <d v="2024-03-16T02:12:52"/>
        <d v="2024-03-16T02:46:25"/>
        <d v="2024-03-16T05:09:58"/>
        <d v="2024-03-16T05:23:22"/>
        <d v="2024-03-16T08:19:57"/>
        <d v="2024-03-16T08:36:58"/>
        <d v="2024-03-16T09:13:11"/>
        <d v="2024-03-16T09:13:23"/>
        <d v="2024-03-16T12:30:32"/>
        <d v="2024-03-16T12:30:51"/>
        <d v="2024-03-16T12:30:59"/>
        <d v="2024-03-16T12:44:08"/>
        <d v="2024-03-16T13:42:49"/>
        <d v="2024-03-16T14:16:01"/>
        <d v="2024-03-16T14:46:48"/>
        <d v="2024-03-16T15:22:05"/>
        <d v="2024-03-16T16:30:41"/>
        <d v="2024-03-16T17:01:39"/>
        <d v="2024-03-16T17:44:35"/>
        <d v="2024-03-16T19:15:06"/>
        <d v="2024-03-16T20:45:13"/>
        <d v="2024-03-16T21:09:42"/>
        <d v="2024-03-16T21:53:55"/>
        <d v="2024-03-17T09:22:33"/>
        <d v="2024-03-17T09:28:09"/>
        <d v="2024-03-17T09:32:46"/>
        <d v="2024-03-17T09:38:12"/>
        <d v="2024-03-17T10:37:39"/>
        <d v="2024-03-17T11:19:13"/>
        <d v="2024-03-17T11:34:20"/>
        <d v="2024-03-17T11:37:19"/>
        <d v="2024-03-17T11:37:40"/>
        <d v="2024-03-17T11:38:12"/>
        <d v="2024-03-17T11:38:55"/>
        <d v="2024-03-17T11:39:08"/>
        <d v="2024-03-17T11:39:38"/>
        <d v="2024-03-17T11:40:16"/>
        <d v="2024-03-17T11:43:56"/>
        <d v="2024-03-17T12:14:48"/>
        <d v="2024-03-17T12:17:44"/>
        <d v="2024-03-17T14:13:59"/>
        <d v="2024-03-17T15:16:24"/>
        <d v="2024-03-17T15:41:45"/>
        <d v="2024-03-17T18:15:39"/>
        <d v="2024-03-17T19:44:33"/>
        <d v="2024-03-17T20:51:19"/>
        <d v="2024-03-18T02:04:20"/>
        <d v="2024-03-18T03:34:53"/>
        <d v="2024-03-18T05:26:34"/>
        <d v="2024-03-18T08:01:01"/>
        <d v="2024-03-18T08:26:37"/>
        <d v="2024-03-18T08:34:44"/>
        <d v="2024-03-18T08:45:33"/>
        <d v="2024-03-18T09:30:42"/>
        <d v="2024-03-18T10:55:29"/>
        <d v="2024-03-18T14:38:27"/>
        <d v="2024-03-18T14:39:08"/>
        <d v="2024-03-18T14:48:44"/>
        <d v="2024-03-18T15:24:03"/>
        <d v="2024-03-18T15:52:35"/>
        <d v="2024-03-18T16:15:46"/>
        <d v="2024-03-18T16:44:20"/>
        <d v="2024-03-18T19:20:42"/>
        <d v="2024-03-18T19:41:43"/>
        <d v="2024-03-18T20:56:17"/>
        <d v="2024-03-18T21:20:11"/>
        <d v="2024-03-18T21:26:21"/>
        <d v="2024-03-19T06:43:30"/>
        <d v="2024-03-19T07:45:31"/>
        <d v="2024-03-19T08:37:16"/>
        <d v="2024-03-19T09:08:53"/>
        <d v="2024-03-19T09:13:03"/>
        <d v="2024-03-19T09:48:36"/>
        <d v="2024-03-19T10:33:07"/>
        <d v="2024-03-19T11:37:40"/>
        <d v="2024-03-19T12:04:26"/>
        <d v="2024-03-19T12:27:34"/>
        <d v="2024-03-19T13:15:33"/>
        <d v="2024-03-19T15:03:20"/>
        <d v="2024-03-19T15:04:04"/>
        <d v="2024-03-19T15:44:30"/>
        <d v="2024-03-19T15:46:01"/>
        <d v="2024-03-19T15:48:43"/>
        <d v="2024-03-19T16:41:48"/>
        <d v="2024-03-19T16:43:20"/>
        <d v="2024-03-19T17:29:51"/>
        <d v="2024-03-19T17:40:35"/>
        <d v="2024-03-19T18:09:04"/>
        <d v="2024-03-19T18:22:54"/>
        <d v="2024-03-19T18:24:26"/>
        <d v="2024-03-19T18:38:36"/>
        <d v="2024-03-19T19:06:00"/>
        <d v="2024-03-19T19:20:33"/>
        <d v="2024-03-19T22:33:32"/>
        <d v="2024-03-19T22:56:04"/>
        <d v="2024-03-19T22:59:41"/>
        <d v="2024-03-19T23:29:58"/>
        <d v="2024-03-20T00:27:05"/>
        <d v="2024-03-20T01:23:56"/>
        <d v="2024-03-20T04:16:27"/>
        <d v="2024-03-20T05:50:34"/>
        <d v="2024-03-20T06:16:20"/>
        <d v="2024-03-20T06:43:11"/>
        <d v="2024-03-20T07:59:19"/>
        <d v="2024-03-20T09:41:59"/>
        <d v="2024-03-20T10:32:37"/>
        <d v="2024-03-20T10:33:43"/>
        <d v="2024-03-20T10:40:38"/>
        <d v="2024-03-20T11:56:38"/>
        <d v="2024-03-20T12:28:06"/>
        <d v="2024-03-20T12:54:11"/>
        <d v="2024-03-20T13:03:25"/>
        <d v="2024-03-20T13:09:12"/>
        <d v="2024-03-20T13:20:54"/>
        <d v="2024-03-20T14:10:33"/>
        <d v="2024-03-20T14:29:09"/>
        <d v="2024-03-20T14:43:18"/>
        <d v="2024-03-20T15:18:21"/>
        <d v="2024-03-20T15:45:43"/>
        <d v="2024-03-20T16:10:31"/>
        <d v="2024-03-20T17:37:45"/>
        <d v="2024-03-20T17:45:18"/>
        <d v="2024-03-20T18:06:47"/>
        <d v="2024-03-20T18:27:48"/>
        <d v="2024-03-20T18:36:38"/>
        <d v="2024-03-20T19:16:37"/>
        <d v="2024-03-20T19:45:54"/>
        <d v="2024-03-20T20:09:23"/>
        <d v="2024-03-20T20:39:02"/>
        <d v="2024-03-20T20:44:28"/>
        <d v="2024-03-20T20:52:08"/>
        <d v="2024-03-20T21:16:42"/>
        <d v="2024-03-20T21:21:03"/>
        <d v="2024-03-20T22:52:48"/>
        <d v="2024-03-20T23:05:25"/>
        <d v="2024-03-20T23:42:53"/>
        <d v="2024-03-20T23:59:09"/>
        <d v="2024-03-21T00:00:00"/>
        <d v="2024-03-21T00:10:23"/>
        <d v="2024-03-21T00:24:47"/>
        <d v="2024-03-21T01:44:29"/>
        <d v="2024-03-21T03:34:53"/>
        <d v="2024-03-21T05:43:41"/>
        <d v="2024-03-21T06:22:07"/>
        <d v="2024-03-21T06:39:59"/>
        <d v="2024-03-21T06:41:06"/>
        <d v="2024-03-21T06:58:02"/>
        <d v="2024-03-21T07:11:45"/>
        <d v="2024-03-21T07:27:08"/>
        <d v="2024-03-21T07:32:36"/>
        <d v="2024-03-21T07:36:26"/>
        <d v="2024-03-21T07:50:36"/>
        <d v="2024-03-21T07:53:03"/>
        <d v="2024-03-21T07:56:03"/>
        <d v="2024-03-21T07:59:07"/>
        <d v="2024-03-21T08:20:51"/>
        <d v="2024-03-21T08:40:15"/>
        <d v="2024-03-21T08:45:23"/>
        <d v="2024-03-21T08:49:20"/>
        <d v="2024-03-21T09:02:01"/>
        <d v="2024-03-21T09:06:31"/>
        <d v="2024-03-21T09:33:44"/>
        <d v="2024-03-21T09:39:57"/>
        <d v="2024-03-21T09:40:06"/>
        <d v="2024-03-21T09:49:10"/>
        <d v="2024-03-21T09:56:08"/>
        <d v="2024-03-21T10:00:07"/>
        <d v="2024-03-21T10:01:54"/>
        <d v="2024-03-21T10:02:07"/>
        <d v="2024-03-21T11:23:08"/>
        <d v="2024-03-21T12:02:21"/>
        <d v="2024-03-21T12:41:57"/>
        <d v="2024-03-21T13:31:47"/>
        <d v="2024-03-21T13:41:28"/>
        <d v="2024-03-21T13:43:42"/>
        <d v="2024-03-21T14:00:54"/>
        <d v="2024-03-21T14:28:23"/>
        <d v="2024-03-21T14:43:09"/>
        <d v="2024-03-21T15:07:11"/>
        <d v="2024-03-21T15:07:29"/>
        <d v="2024-03-21T15:32:31"/>
        <d v="2024-03-21T16:11:07"/>
        <d v="2024-03-21T16:16:24"/>
        <d v="2024-03-21T16:52:49"/>
        <d v="2024-03-21T17:08:14"/>
        <d v="2024-03-21T17:43:05"/>
        <d v="2024-03-21T18:00:42"/>
        <d v="2024-03-21T18:08:59"/>
        <d v="2024-03-21T18:20:33"/>
        <d v="2024-03-21T18:24:52"/>
        <d v="2024-03-21T19:02:41"/>
        <d v="2024-03-21T19:14:49"/>
        <d v="2024-03-21T19:16:09"/>
        <d v="2024-03-21T19:20:12"/>
        <d v="2024-03-21T19:20:13"/>
        <d v="2024-03-21T19:21:40"/>
        <d v="2024-03-21T19:21:49"/>
        <d v="2024-03-21T19:31:59"/>
        <d v="2024-03-21T19:32:25"/>
        <d v="2024-03-21T19:32:52"/>
        <d v="2024-03-21T19:51:46"/>
        <d v="2024-03-21T20:09:06"/>
        <d v="2024-03-21T20:17:38"/>
        <d v="2024-03-21T20:38:20"/>
        <d v="2024-03-21T22:16:00"/>
        <d v="2024-03-21T22:28:49"/>
        <d v="2024-03-21T22:39:15"/>
        <d v="2024-03-21T22:39:17"/>
        <d v="2024-03-21T22:40:20"/>
        <d v="2024-03-21T22:51:32"/>
        <d v="2024-03-21T23:15:46"/>
        <d v="2024-03-21T23:16:01"/>
        <d v="2024-03-21T23:18:09"/>
        <d v="2024-03-21T23:36:30"/>
        <d v="2024-03-22T00:25:54"/>
        <d v="2024-03-22T00:57:56"/>
        <d v="2024-03-22T01:08:01"/>
        <d v="2024-03-22T01:59:02"/>
        <d v="2024-03-22T02:15:28"/>
        <d v="2024-03-22T03:57:35"/>
        <d v="2024-03-22T03:59:00"/>
        <d v="2024-03-22T03:59:19"/>
        <d v="2024-03-22T04:50:01"/>
        <d v="2024-03-22T04:50:50"/>
        <d v="2024-03-22T04:59:36"/>
        <d v="2024-03-22T05:18:16"/>
        <d v="2024-03-22T05:35:53"/>
        <d v="2024-03-22T05:40:17"/>
        <d v="2024-03-22T05:56:33"/>
        <d v="2024-03-22T06:00:02"/>
        <d v="2024-03-22T06:00:09"/>
        <d v="2024-03-22T07:32:43"/>
        <d v="2024-03-22T07:34:36"/>
        <d v="2024-03-22T07:49:14"/>
        <d v="2024-03-22T08:22:07"/>
        <d v="2024-03-22T08:28:58"/>
        <d v="2024-03-22T08:29:08"/>
        <d v="2024-03-22T08:29:15"/>
        <d v="2024-03-22T08:31:19"/>
        <d v="2024-03-22T08:40:06"/>
        <d v="2024-03-22T08:47:26"/>
        <d v="2024-03-22T09:09:10"/>
        <d v="2024-03-22T09:17:01"/>
        <d v="2024-03-22T09:17:29"/>
        <d v="2024-03-22T09:23:27"/>
        <d v="2024-03-22T09:26:42"/>
        <d v="2024-03-22T09:28:38"/>
        <d v="2024-03-22T09:32:15"/>
        <d v="2024-03-22T09:46:38"/>
        <d v="2024-03-22T09:47:13"/>
        <d v="2024-03-22T10:00:19"/>
        <d v="2024-03-22T10:02:50"/>
        <d v="2024-03-22T10:04:40"/>
        <d v="2024-03-22T10:10:03"/>
        <d v="2024-03-22T10:16:51"/>
        <d v="2024-03-22T10:17:56"/>
        <d v="2024-03-22T10:22:29"/>
        <d v="2024-03-22T11:04:54"/>
        <d v="2024-03-22T11:20:42"/>
        <d v="2024-03-22T11:25:01"/>
        <d v="2024-03-22T11:35:59"/>
        <d v="2024-03-22T11:37:19"/>
        <d v="2024-03-22T11:37:30"/>
        <d v="2024-03-22T11:50:35"/>
        <d v="2024-03-22T11:50:40"/>
        <d v="2024-03-22T11:52:44"/>
        <d v="2024-03-22T11:53:06"/>
        <d v="2024-03-22T11:57:53"/>
        <d v="2024-03-22T11:57:54"/>
        <d v="2024-03-22T12:02:22"/>
        <d v="2024-03-22T12:31:45"/>
        <d v="2024-03-22T12:42:51"/>
        <d v="2024-03-22T12:46:11"/>
        <d v="2024-03-22T12:50:13"/>
        <d v="2024-03-22T12:57:17"/>
        <d v="2024-03-22T13:09:58"/>
        <d v="2024-03-22T13:15:02"/>
        <d v="2024-03-22T13:20:36"/>
        <d v="2024-03-22T13:27:09"/>
        <d v="2024-03-22T14:03:03"/>
        <d v="2024-03-22T14:08:35"/>
        <d v="2024-03-22T14:25:46"/>
        <d v="2024-03-22T14:31:55"/>
        <d v="2024-03-22T14:53:19"/>
        <d v="2024-03-22T15:05:34"/>
        <d v="2024-03-22T15:48:32"/>
        <d v="2024-03-22T16:32:10"/>
        <d v="2024-03-22T16:32:56"/>
        <d v="2024-03-22T16:37:14"/>
        <d v="2024-03-22T16:48:50"/>
        <d v="2024-03-22T16:53:06"/>
        <d v="2024-03-22T16:56:40"/>
        <d v="2024-03-22T17:01:35"/>
        <d v="2024-03-22T17:14:56"/>
        <d v="2024-03-22T17:27:49"/>
        <d v="2024-03-22T17:31:34"/>
        <d v="2024-03-22T17:39:13"/>
        <d v="2024-03-22T17:57:01"/>
        <d v="2024-03-22T17:57:33"/>
        <d v="2024-03-22T18:17:42"/>
        <d v="2024-03-22T18:18:03"/>
        <d v="2024-03-22T18:19:59"/>
        <d v="2024-03-22T18:23:16"/>
        <d v="2024-03-22T18:23:23"/>
        <d v="2024-03-22T18:38:27"/>
        <d v="2024-03-22T18:38:34"/>
        <d v="2024-03-22T18:48:58"/>
        <d v="2024-03-22T18:49:43"/>
        <d v="2024-03-22T18:50:59"/>
        <d v="2024-03-22T19:01:20"/>
        <d v="2024-03-22T19:01:37"/>
        <d v="2024-03-22T19:02:53"/>
        <d v="2024-03-22T19:16:28"/>
        <d v="2024-03-22T19:20:44"/>
        <d v="2024-03-22T19:40:47"/>
        <d v="2024-03-22T19:42:23"/>
        <d v="2024-03-22T19:48:31"/>
        <d v="2024-03-22T20:18:57"/>
        <d v="2024-03-22T20:37:35"/>
        <d v="2024-03-22T20:56:36"/>
        <d v="2024-03-22T21:26:49"/>
        <d v="2024-03-22T21:41:09"/>
        <d v="2024-03-22T21:55:43"/>
        <d v="2024-03-22T22:34:16"/>
        <d v="2024-03-22T22:37:03"/>
        <d v="2024-03-22T22:47:05"/>
        <d v="2024-03-22T23:00:15"/>
        <d v="2024-03-22T23:22:50"/>
        <d v="2024-03-22T23:30:09"/>
        <d v="2024-03-23T00:04:13"/>
        <d v="2024-03-23T00:18:08"/>
        <d v="2024-03-23T00:24:59"/>
        <d v="2024-03-23T00:41:58"/>
        <d v="2024-03-23T00:47:54"/>
        <d v="2024-03-23T01:07:01"/>
        <d v="2024-03-23T01:40:32"/>
        <d v="2024-03-23T02:11:39"/>
        <d v="2024-03-23T02:25:32"/>
        <d v="2024-03-23T02:25:57"/>
        <d v="2024-03-23T02:38:43"/>
        <d v="2024-03-23T03:00:09"/>
        <d v="2024-03-23T03:08:18"/>
        <d v="2024-03-23T03:08:19"/>
        <d v="2024-03-23T03:25:35"/>
        <d v="2024-03-23T03:58:47"/>
        <d v="2024-03-23T04:02:53"/>
        <d v="2024-03-23T04:20:02"/>
        <d v="2024-03-23T04:38:13"/>
        <d v="2024-03-23T04:38:15"/>
        <d v="2024-03-23T04:45:58"/>
        <d v="2024-03-23T05:20:25"/>
        <d v="2024-03-23T05:27:01"/>
        <d v="2024-03-23T05:27:24"/>
        <d v="2024-03-23T05:29:20"/>
        <d v="2024-03-23T05:39:50"/>
        <d v="2024-03-23T05:43:30"/>
        <d v="2024-03-23T05:48:20"/>
        <d v="2024-03-23T06:45:23"/>
        <d v="2024-03-23T06:57:41"/>
        <d v="2024-03-23T07:03:35"/>
        <d v="2024-03-23T07:16:20"/>
        <d v="2024-03-23T07:17:14"/>
        <d v="2024-03-23T07:21:23"/>
        <d v="2024-03-23T07:39:28"/>
        <d v="2024-03-23T07:48:48"/>
        <d v="2024-03-23T07:51:26"/>
        <d v="2024-03-23T08:01:21"/>
        <d v="2024-03-23T08:07:24"/>
        <d v="2024-03-23T08:07:32"/>
        <d v="2024-03-23T08:07:43"/>
        <d v="2024-03-23T08:07:45"/>
        <d v="2024-03-23T08:08:50"/>
        <d v="2024-03-23T08:22:12"/>
        <d v="2024-03-23T08:22:19"/>
        <d v="2024-03-23T08:37:31"/>
        <d v="2024-03-23T08:37:49"/>
        <d v="2024-03-23T08:39:28"/>
        <d v="2024-03-23T08:39:30"/>
        <d v="2024-03-23T08:39:31"/>
        <d v="2024-03-23T08:44:06"/>
        <d v="2024-03-23T08:46:31"/>
        <d v="2024-03-23T08:46:32"/>
        <d v="2024-03-23T08:48:22"/>
        <d v="2024-03-23T08:57:02"/>
        <d v="2024-03-23T08:58:49"/>
        <d v="2024-03-23T09:06:49"/>
        <d v="2024-03-23T09:08:21"/>
        <d v="2024-03-23T09:08:51"/>
        <d v="2024-03-23T09:09:05"/>
        <d v="2024-03-23T09:20:53"/>
        <d v="2024-03-23T09:23:09"/>
        <d v="2024-03-23T09:24:03"/>
        <d v="2024-03-23T09:26:33"/>
        <d v="2024-03-23T09:26:46"/>
        <d v="2024-03-23T09:27:28"/>
        <d v="2024-03-23T09:32:48"/>
        <d v="2024-03-23T09:40:17"/>
        <d v="2024-03-23T09:40:55"/>
        <d v="2024-03-23T09:45:25"/>
        <d v="2024-03-23T10:20:53"/>
        <d v="2024-03-23T10:21:16"/>
        <d v="2024-03-23T10:26:22"/>
        <d v="2024-03-23T10:28:54"/>
        <d v="2024-03-23T10:32:44"/>
        <d v="2024-03-23T10:37:59"/>
        <d v="2024-03-23T10:39:37"/>
        <d v="2024-03-23T10:46:14"/>
        <d v="2024-03-23T11:00:52"/>
        <d v="2024-03-23T11:09:04"/>
        <d v="2024-03-23T11:24:47"/>
        <d v="2024-03-23T11:29:21"/>
        <d v="2024-03-23T11:42:30"/>
        <d v="2024-03-23T11:43:18"/>
        <d v="2024-03-23T11:50:59"/>
        <d v="2024-03-23T12:08:57"/>
        <d v="2024-03-23T12:09:40"/>
        <d v="2024-03-23T12:42:34"/>
        <d v="2024-03-23T12:45:56"/>
        <d v="2024-03-23T13:00:07"/>
        <d v="2024-03-23T13:02:17"/>
        <d v="2024-03-23T13:17:51"/>
        <d v="2024-03-23T13:21:23"/>
        <d v="2024-03-23T13:26:47"/>
        <d v="2024-03-23T13:46:24"/>
        <d v="2024-03-23T14:11:08"/>
        <d v="2024-03-23T14:18:39"/>
        <d v="2024-03-23T14:34:55"/>
        <d v="2024-03-23T14:38:05"/>
        <d v="2024-03-23T14:39:34"/>
        <d v="2024-03-23T15:09:18"/>
        <d v="2024-03-23T15:18:17"/>
        <d v="2024-03-23T15:19:07"/>
        <d v="2024-03-23T15:27:18"/>
        <d v="2024-03-23T15:45:55"/>
        <d v="2024-03-23T15:48:20"/>
        <d v="2024-03-23T16:03:42"/>
        <d v="2024-03-23T16:11:19"/>
        <d v="2024-03-23T16:28:06"/>
        <d v="2024-03-23T16:29:12"/>
        <d v="2024-03-23T16:30:10"/>
        <d v="2024-03-23T16:32:28"/>
        <d v="2024-03-23T16:34:42"/>
        <d v="2024-03-23T16:44:49"/>
        <d v="2024-03-23T16:50:30"/>
        <d v="2024-03-23T17:06:03"/>
        <d v="2024-03-23T17:14:52"/>
        <d v="2024-03-23T17:21:52"/>
        <d v="2024-03-23T17:25:38"/>
        <d v="2024-03-23T17:33:21"/>
        <d v="2024-03-23T17:35:17"/>
        <d v="2024-03-23T17:35:18"/>
        <d v="2024-03-23T17:37:22"/>
        <d v="2024-03-23T17:38:31"/>
        <d v="2024-03-23T17:42:12"/>
        <d v="2024-03-23T17:44:35"/>
        <d v="2024-03-23T18:03:02"/>
        <d v="2024-03-23T18:07:56"/>
        <d v="2024-03-23T18:11:56"/>
        <d v="2024-03-23T18:21:52"/>
        <d v="2024-03-23T18:36:28"/>
        <d v="2024-03-23T18:43:56"/>
        <d v="2024-03-23T18:45:09"/>
        <d v="2024-03-23T18:45:23"/>
        <d v="2024-03-23T18:50:00"/>
        <d v="2024-03-23T18:59:51"/>
        <d v="2024-03-23T19:11:36"/>
        <d v="2024-03-23T19:12:32"/>
        <d v="2024-03-23T19:13:34"/>
        <d v="2024-03-23T19:16:37"/>
        <d v="2024-03-23T19:44:36"/>
        <d v="2024-03-23T19:44:52"/>
        <d v="2024-03-23T19:46:45"/>
        <d v="2024-03-23T19:47:23"/>
        <d v="2024-03-23T19:49:00"/>
        <d v="2024-03-23T19:54:34"/>
        <d v="2024-03-23T19:57:55"/>
        <d v="2024-03-23T20:04:11"/>
        <d v="2024-03-23T20:05:17"/>
        <d v="2024-03-23T20:05:31"/>
        <d v="2024-03-23T20:14:23"/>
        <d v="2024-03-23T20:20:11"/>
        <d v="2024-03-23T20:20:19"/>
        <d v="2024-03-23T20:23:14"/>
        <d v="2024-03-23T20:23:26"/>
        <d v="2024-03-23T20:44:22"/>
        <d v="2024-03-23T20:46:56"/>
        <d v="2024-03-23T20:57:06"/>
        <d v="2024-03-23T21:06:08"/>
        <d v="2024-03-23T21:08:23"/>
        <d v="2024-03-23T21:10:46"/>
        <d v="2024-03-23T21:13:14"/>
        <d v="2024-03-23T21:24:43"/>
        <d v="2024-03-23T21:29:48"/>
        <d v="2024-03-23T21:35:04"/>
        <d v="2024-03-23T21:45:55"/>
        <d v="2024-03-23T21:50:21"/>
        <d v="2024-03-23T21:56:47"/>
        <d v="2024-03-23T21:56:49"/>
        <d v="2024-03-23T21:56:59"/>
        <d v="2024-03-23T21:59:23"/>
        <d v="2024-03-23T22:10:24"/>
        <d v="2024-03-23T22:10:28"/>
        <d v="2024-03-23T22:14:29"/>
        <d v="2024-03-23T22:18:49"/>
        <d v="2024-03-23T22:20:26"/>
        <d v="2024-03-23T22:26:34"/>
        <d v="2024-03-23T22:35:31"/>
        <d v="2024-03-23T22:43:23"/>
        <d v="2024-03-23T22:52:13"/>
        <d v="2024-03-23T22:52:22"/>
        <d v="2024-03-23T22:52:49"/>
        <d v="2024-03-23T23:00:53"/>
        <d v="2024-03-23T23:07:49"/>
        <d v="2024-03-23T23:12:15"/>
        <d v="2024-03-23T23:20:00"/>
        <d v="2024-03-23T23:20:23"/>
        <d v="2024-03-23T23:31:35"/>
        <d v="2024-03-23T23:46:32"/>
        <d v="2024-03-23T23:59:20"/>
        <d v="2024-03-23T23:59:45"/>
        <d v="2024-03-24T00:01:17"/>
        <d v="2024-03-24T00:02:00"/>
        <d v="2024-03-24T00:02:15"/>
        <d v="2024-03-24T00:02:27"/>
        <d v="2024-03-24T00:09:17"/>
        <d v="2024-03-24T00:10:31"/>
        <d v="2024-03-24T00:10:39"/>
        <d v="2024-03-24T00:13:42"/>
        <d v="2024-03-24T00:13:55"/>
        <d v="2024-03-24T00:14:35"/>
        <d v="2024-03-24T00:15:22"/>
        <d v="2024-03-24T00:16:00"/>
        <d v="2024-03-24T00:20:22"/>
        <d v="2024-03-24T00:24:35"/>
        <d v="2024-03-24T00:24:54"/>
        <d v="2024-03-24T00:31:06"/>
        <d v="2024-03-24T00:31:08"/>
        <d v="2024-03-24T00:33:04"/>
        <d v="2024-03-24T00:33:39"/>
        <d v="2024-03-24T00:47:14"/>
        <d v="2024-03-24T00:48:30"/>
        <d v="2024-03-24T00:56:01"/>
        <d v="2024-03-24T00:56:45"/>
        <d v="2024-03-24T00:58:38"/>
        <d v="2024-03-24T01:04:08"/>
        <d v="2024-03-24T01:20:13"/>
        <d v="2024-03-24T01:20:40"/>
        <d v="2024-03-24T01:25:38"/>
        <d v="2024-03-24T01:40:01"/>
        <d v="2024-03-24T01:40:45"/>
        <d v="2024-03-24T01:41:58"/>
        <d v="2024-03-24T01:43:19"/>
        <d v="2024-03-24T01:43:20"/>
        <d v="2024-03-24T01:43:21"/>
        <d v="2024-03-24T01:45:52"/>
        <d v="2024-03-24T01:46:35"/>
        <d v="2024-03-24T02:00:07"/>
        <d v="2024-03-24T02:09:23"/>
        <d v="2024-03-24T02:15:09"/>
        <d v="2024-03-24T02:24:38"/>
        <d v="2024-03-24T02:29:59"/>
        <d v="2024-03-24T02:33:19"/>
        <d v="2024-03-24T02:35:10"/>
        <d v="2024-03-24T02:41:49"/>
        <d v="2024-03-24T02:49:19"/>
        <d v="2024-03-24T02:57:18"/>
        <d v="2024-03-24T03:08:22"/>
        <d v="2024-03-24T03:20:23"/>
        <d v="2024-03-24T03:20:57"/>
        <d v="2024-03-24T03:20:58"/>
        <d v="2024-03-24T03:25:20"/>
        <d v="2024-03-24T03:30:43"/>
        <d v="2024-03-24T03:36:50"/>
        <d v="2024-03-24T03:48:03"/>
        <d v="2024-03-24T03:56:56"/>
        <d v="2024-03-24T03:59:39"/>
        <d v="2024-03-24T04:03:31"/>
        <d v="2024-03-24T04:19:41"/>
        <d v="2024-03-24T04:20:12"/>
        <d v="2024-03-24T04:22:27"/>
        <d v="2024-03-24T04:29:16"/>
        <d v="2024-03-24T05:02:25"/>
        <d v="2024-03-24T05:13:20"/>
        <d v="2024-03-24T05:18:15"/>
        <d v="2024-03-24T05:27:02"/>
        <d v="2024-03-24T05:30:37"/>
        <d v="2024-03-24T05:43:37"/>
        <d v="2024-03-24T05:43:51"/>
        <d v="2024-03-24T05:44:31"/>
        <d v="2024-03-24T05:51:04"/>
        <d v="2024-03-24T05:51:42"/>
        <d v="2024-03-24T05:53:37"/>
        <d v="2024-03-24T05:54:34"/>
        <d v="2024-03-24T05:54:57"/>
        <d v="2024-03-24T06:07:15"/>
        <d v="2024-03-24T06:07:43"/>
        <d v="2024-03-24T06:08:29"/>
        <d v="2024-03-24T06:09:16"/>
        <d v="2024-03-24T06:14:31"/>
        <d v="2024-03-24T06:15:40"/>
        <d v="2024-03-24T06:21:19"/>
        <d v="2024-03-24T06:21:20"/>
        <d v="2024-03-24T06:26:11"/>
        <d v="2024-03-24T06:26:36"/>
        <d v="2024-03-24T06:34:10"/>
        <d v="2024-03-24T06:34:25"/>
        <d v="2024-03-24T06:39:48"/>
        <d v="2024-03-24T06:43:00"/>
        <d v="2024-03-24T06:45:32"/>
        <d v="2024-03-24T06:48:06"/>
        <d v="2024-03-24T06:55:05"/>
        <d v="2024-03-24T06:58:53"/>
        <d v="2024-03-24T07:02:34"/>
        <d v="2024-03-24T07:07:02"/>
        <d v="2024-03-24T07:10:03"/>
        <d v="2024-03-24T07:11:06"/>
        <d v="2024-03-24T07:13:17"/>
        <d v="2024-03-24T07:13:24"/>
        <d v="2024-03-24T07:13:32"/>
        <d v="2024-03-24T07:13:43"/>
        <d v="2024-03-24T07:14:08"/>
        <d v="2024-03-24T07:15:03"/>
        <d v="2024-03-24T07:15:49"/>
        <d v="2024-03-24T07:16:10"/>
        <d v="2024-03-24T07:16:53"/>
        <d v="2024-03-24T07:21:08"/>
        <d v="2024-03-24T07:21:29"/>
        <d v="2024-03-24T07:22:11"/>
        <d v="2024-03-24T07:28:09"/>
        <d v="2024-03-24T07:32:37"/>
        <d v="2024-03-24T07:33:32"/>
        <d v="2024-03-24T07:35:03"/>
        <d v="2024-03-24T07:35:23"/>
        <d v="2024-03-24T07:41:02"/>
        <d v="2024-03-24T07:41:09"/>
        <d v="2024-03-24T07:43:03"/>
        <d v="2024-03-24T07:43:15"/>
        <d v="2024-03-24T07:51:28"/>
        <d v="2024-03-24T07:53:23"/>
        <d v="2024-03-24T07:53:38"/>
        <d v="2024-03-24T07:53:46"/>
        <d v="2024-03-24T07:53:50"/>
        <d v="2024-03-24T07:55:09"/>
        <d v="2024-03-24T07:55:27"/>
        <d v="2024-03-24T07:55:47"/>
        <d v="2024-03-24T07:55:54"/>
        <d v="2024-03-24T07:56:19"/>
        <d v="2024-03-24T07:56:25"/>
        <d v="2024-03-24T07:57:49"/>
        <d v="2024-03-24T07:58:01"/>
        <d v="2024-03-24T07:58:17"/>
        <d v="2024-03-24T07:58:46"/>
        <d v="2024-03-24T07:58:54"/>
        <d v="2024-03-24T07:59:03"/>
        <d v="2024-03-24T08:02:07"/>
        <d v="2024-03-24T08:08:36"/>
        <d v="2024-03-24T08:09:07"/>
        <d v="2024-03-24T08:09:10"/>
        <d v="2024-03-24T08:09:29"/>
        <d v="2024-03-24T08:09:37"/>
        <d v="2024-03-24T08:09:49"/>
        <d v="2024-03-24T08:14:07"/>
        <d v="2024-03-24T08:14:43"/>
        <d v="2024-03-24T08:14:55"/>
        <d v="2024-03-24T08:16:12"/>
        <d v="2024-03-24T08:16:13"/>
        <d v="2024-03-24T08:20:12"/>
        <d v="2024-03-24T08:20:39"/>
        <d v="2024-03-24T08:21:08"/>
        <d v="2024-03-24T08:24:47"/>
        <d v="2024-03-24T08:25:48"/>
        <d v="2024-03-24T08:29:02"/>
        <d v="2024-03-24T08:30:22"/>
        <d v="2024-03-24T08:32:16"/>
        <d v="2024-03-24T08:32:51"/>
        <d v="2024-03-24T08:33:10"/>
        <d v="2024-03-24T08:34:05"/>
        <d v="2024-03-24T08:35:47"/>
        <d v="2024-03-24T08:44:02"/>
        <d v="2024-03-24T08:44:38"/>
        <d v="2024-03-24T08:44:53"/>
        <d v="2024-03-24T08:44:55"/>
        <d v="2024-03-24T08:44:57"/>
        <d v="2024-03-24T08:45:15"/>
        <d v="2024-03-24T08:47:04"/>
        <d v="2024-03-24T08:49:02"/>
        <d v="2024-03-24T08:49:52"/>
        <d v="2024-03-24T08:50:11"/>
        <d v="2024-03-24T08:50:32"/>
        <d v="2024-03-24T08:50:35"/>
        <d v="2024-03-24T08:50:39"/>
        <d v="2024-03-24T08:52:14"/>
        <d v="2024-03-24T08:53:14"/>
        <d v="2024-03-24T08:54:56"/>
        <d v="2024-03-24T08:56:44"/>
        <d v="2024-03-24T08:56:45"/>
        <d v="2024-03-24T08:57:22"/>
        <d v="2024-03-24T09:02:39"/>
        <d v="2024-03-24T09:06:07"/>
        <d v="2024-03-24T09:08:14"/>
        <d v="2024-03-24T09:08:17"/>
        <d v="2024-03-24T09:10:18"/>
        <d v="2024-03-24T09:12:14"/>
        <d v="2024-03-24T09:17:35"/>
        <d v="2024-03-24T09:20:14"/>
        <d v="2024-03-24T09:22:09"/>
        <d v="2024-03-24T09:22:44"/>
        <d v="2024-03-24T09:23:11"/>
        <d v="2024-03-24T09:26:23"/>
        <d v="2024-03-24T09:27:04"/>
        <d v="2024-03-24T09:32:11"/>
        <d v="2024-03-24T09:35:06"/>
        <d v="2024-03-24T09:36:50"/>
        <d v="2024-03-24T09:36:53"/>
        <d v="2024-03-24T09:36:54"/>
        <d v="2024-03-24T09:37:13"/>
        <d v="2024-03-24T09:42:05"/>
        <d v="2024-03-24T09:46:46"/>
        <d v="2024-03-24T09:46:54"/>
        <d v="2024-03-24T09:50:28"/>
        <d v="2024-03-24T09:52:03"/>
        <d v="2024-03-24T09:54:04"/>
        <d v="2024-03-24T09:56:02"/>
        <d v="2024-03-24T09:56:14"/>
        <d v="2024-03-24T09:57:09"/>
        <d v="2024-03-24T09:58:09"/>
        <d v="2024-03-24T10:00:08"/>
        <d v="2024-03-24T10:01:25"/>
        <d v="2024-03-24T10:03:02"/>
        <d v="2024-03-24T10:03:04"/>
        <d v="2024-03-24T10:07:16"/>
        <d v="2024-03-24T10:10:30"/>
        <d v="2024-03-24T10:12:08"/>
        <d v="2024-03-24T10:13:10"/>
        <d v="2024-03-24T10:13:17"/>
        <d v="2024-03-24T10:16:08"/>
        <d v="2024-03-24T10:17:45"/>
        <d v="2024-03-24T10:18:05"/>
        <d v="2024-03-24T10:18:06"/>
        <d v="2024-03-24T10:18:07"/>
        <d v="2024-03-24T10:18:08"/>
        <d v="2024-03-24T10:20:09"/>
        <d v="2024-03-24T10:21:08"/>
        <d v="2024-03-24T10:21:12"/>
        <d v="2024-03-24T10:21:23"/>
        <d v="2024-03-24T10:22:34"/>
        <d v="2024-03-24T10:25:34"/>
        <d v="2024-03-24T10:26:59"/>
        <d v="2024-03-24T10:27:08"/>
        <d v="2024-03-27T00:00:00"/>
        <d v="2024-04-01T21:47:48"/>
        <d v="2024-04-02T11:24:36"/>
        <d v="2024-04-05T00:52:00"/>
        <d v="2024-04-05T00:53:07"/>
        <d v="2024-04-08T05:02:35"/>
        <d v="2024-04-09T05:59:11"/>
        <d v="2024-04-11T04:33:41"/>
        <d v="2024-04-12T07:43:55"/>
        <d v="2024-04-12T08:49:37"/>
        <d v="2024-04-12T09:33:58"/>
        <d v="2024-04-12T11:01:52"/>
        <d v="2024-04-12T14:07:41"/>
        <d v="2024-04-12T15:57:06"/>
        <d v="2024-04-12T21:26:05"/>
        <d v="2024-04-14T16:22:25"/>
        <d v="2024-04-15T10:18:57"/>
        <d v="2024-04-16T13:49:22"/>
        <d v="2024-04-17T23:41:54"/>
        <d v="2024-04-21T19:30:34"/>
        <d v="2024-04-21T21:21:42"/>
        <d v="2024-04-21T23:06:38"/>
        <d v="2024-04-22T05:34:36"/>
        <d v="2024-04-23T03:57:22"/>
        <d v="2024-04-23T04:55:18"/>
        <d v="2024-04-23T19:35:29"/>
        <d v="2024-04-23T20:25:43"/>
        <d v="2024-04-24T15:40:00"/>
        <d v="2024-04-24T22:58:09"/>
        <d v="2024-04-26T08:32:12"/>
        <d v="2024-04-26T10:06:31"/>
        <d v="2024-04-26T20:26:52"/>
        <d v="2024-04-28T09:27:00"/>
        <d v="2024-04-28T20:19:23"/>
        <d v="2024-04-29T17:51:10"/>
        <d v="2024-04-29T18:02:01"/>
        <d v="2024-04-29T18:20:43"/>
        <d v="2024-04-29T19:07:25"/>
        <d v="2024-04-30T06:45:20"/>
        <d v="2024-04-30T08:56:26"/>
        <d v="2024-04-30T11:41:49"/>
        <d v="2024-04-30T19:09:09"/>
        <d v="2024-04-30T20:11:27"/>
      </sharedItems>
      <extLst>
        <ext xmlns:x15="http://schemas.microsoft.com/office/spreadsheetml/2010/11/main" uri="{4F2E5C28-24EA-4eb8-9CBF-B6C8F9C3D259}">
          <x15:cachedUniqueNames>
            <x15:cachedUniqueName index="0" name="[Table2].[Last Updated].&amp;[2022-10-20T18:26:14]"/>
            <x15:cachedUniqueName index="1" name="[Table2].[Last Updated].&amp;[2022-11-02T03:03:01]"/>
            <x15:cachedUniqueName index="2" name="[Table2].[Last Updated].&amp;[2023-09-15T06:32:59]"/>
            <x15:cachedUniqueName index="3" name="[Table2].[Last Updated].&amp;[2023-11-12T12:18:20]"/>
            <x15:cachedUniqueName index="4" name="[Table2].[Last Updated].&amp;[2023-11-21T08:32:55]"/>
            <x15:cachedUniqueName index="5" name="[Table2].[Last Updated].&amp;[2024-01-08T17:39:02]"/>
            <x15:cachedUniqueName index="6" name="[Table2].[Last Updated].&amp;[2024-01-10T14:19:12]"/>
            <x15:cachedUniqueName index="7" name="[Table2].[Last Updated].&amp;[2024-02-08T10:42:37]"/>
            <x15:cachedUniqueName index="8" name="[Table2].[Last Updated].&amp;[2024-02-16T20:33:33]"/>
            <x15:cachedUniqueName index="9" name="[Table2].[Last Updated].&amp;[2024-02-21T16:08:12]"/>
            <x15:cachedUniqueName index="10" name="[Table2].[Last Updated].&amp;[2024-02-22T02:08:53]"/>
            <x15:cachedUniqueName index="11" name="[Table2].[Last Updated].&amp;[2024-02-26T12:33:18]"/>
            <x15:cachedUniqueName index="12" name="[Table2].[Last Updated].&amp;[2024-02-28T07:26:54]"/>
            <x15:cachedUniqueName index="13" name="[Table2].[Last Updated].&amp;[2024-02-28T07:27:01]"/>
            <x15:cachedUniqueName index="15" name="[Table2].[Last Updated].&amp;[2024-03-01T09:56:57]"/>
            <x15:cachedUniqueName index="16" name="[Table2].[Last Updated].&amp;[2024-03-01T11:40:14]"/>
            <x15:cachedUniqueName index="17" name="[Table2].[Last Updated].&amp;[2024-03-01T15:10:55]"/>
            <x15:cachedUniqueName index="18" name="[Table2].[Last Updated].&amp;[2024-03-01T23:21:12]"/>
            <x15:cachedUniqueName index="20" name="[Table2].[Last Updated].&amp;[2024-03-02T01:30:34]"/>
            <x15:cachedUniqueName index="21" name="[Table2].[Last Updated].&amp;[2024-03-02T01:30:37]"/>
            <x15:cachedUniqueName index="22" name="[Table2].[Last Updated].&amp;[2024-03-02T01:30:50]"/>
            <x15:cachedUniqueName index="23" name="[Table2].[Last Updated].&amp;[2024-03-02T13:48:09]"/>
            <x15:cachedUniqueName index="24" name="[Table2].[Last Updated].&amp;[2024-03-02T19:37:12]"/>
            <x15:cachedUniqueName index="25" name="[Table2].[Last Updated].&amp;[2024-03-02T21:01:55]"/>
            <x15:cachedUniqueName index="27" name="[Table2].[Last Updated].&amp;[2024-03-03T11:43:56]"/>
            <x15:cachedUniqueName index="28" name="[Table2].[Last Updated].&amp;[2024-03-03T14:45:35]"/>
            <x15:cachedUniqueName index="29" name="[Table2].[Last Updated].&amp;[2024-03-03T17:56:21]"/>
            <x15:cachedUniqueName index="31" name="[Table2].[Last Updated].&amp;[2024-03-04T05:03:56]"/>
            <x15:cachedUniqueName index="32" name="[Table2].[Last Updated].&amp;[2024-03-04T05:57:21]"/>
            <x15:cachedUniqueName index="33" name="[Table2].[Last Updated].&amp;[2024-03-04T06:13:01]"/>
            <x15:cachedUniqueName index="35" name="[Table2].[Last Updated].&amp;[2024-03-05T01:21:25]"/>
            <x15:cachedUniqueName index="36" name="[Table2].[Last Updated].&amp;[2024-03-05T09:23:49]"/>
            <x15:cachedUniqueName index="37" name="[Table2].[Last Updated].&amp;[2024-03-05T18:27:16]"/>
            <x15:cachedUniqueName index="38" name="[Table2].[Last Updated].&amp;[2024-03-05T19:10:00]"/>
            <x15:cachedUniqueName index="39" name="[Table2].[Last Updated].&amp;[2024-03-05T23:09:40]"/>
            <x15:cachedUniqueName index="40" name="[Table2].[Last Updated].&amp;[2024-03-05T23:17:39]"/>
            <x15:cachedUniqueName index="41" name="[Table2].[Last Updated].&amp;[2024-03-05T23:18:46]"/>
            <x15:cachedUniqueName index="43" name="[Table2].[Last Updated].&amp;[2024-03-06T04:40:12]"/>
            <x15:cachedUniqueName index="44" name="[Table2].[Last Updated].&amp;[2024-03-06T12:23:40]"/>
            <x15:cachedUniqueName index="45" name="[Table2].[Last Updated].&amp;[2024-03-06T16:50:06]"/>
            <x15:cachedUniqueName index="46" name="[Table2].[Last Updated].&amp;[2024-03-06T19:01:20]"/>
            <x15:cachedUniqueName index="47" name="[Table2].[Last Updated].&amp;[2024-03-06T21:18:47]"/>
            <x15:cachedUniqueName index="48" name="[Table2].[Last Updated].&amp;[2024-03-06T23:28:14]"/>
            <x15:cachedUniqueName index="50" name="[Table2].[Last Updated].&amp;[2024-03-07T07:48:23]"/>
            <x15:cachedUniqueName index="51" name="[Table2].[Last Updated].&amp;[2024-03-07T11:07:48]"/>
            <x15:cachedUniqueName index="53" name="[Table2].[Last Updated].&amp;[2024-03-08T01:44:16]"/>
            <x15:cachedUniqueName index="54" name="[Table2].[Last Updated].&amp;[2024-03-08T03:13:17]"/>
            <x15:cachedUniqueName index="55" name="[Table2].[Last Updated].&amp;[2024-03-08T03:42:07]"/>
            <x15:cachedUniqueName index="56" name="[Table2].[Last Updated].&amp;[2024-03-08T06:01:12]"/>
            <x15:cachedUniqueName index="57" name="[Table2].[Last Updated].&amp;[2024-03-08T07:49:55]"/>
            <x15:cachedUniqueName index="58" name="[Table2].[Last Updated].&amp;[2024-03-08T08:02:39]"/>
            <x15:cachedUniqueName index="59" name="[Table2].[Last Updated].&amp;[2024-03-08T08:37:11]"/>
            <x15:cachedUniqueName index="60" name="[Table2].[Last Updated].&amp;[2024-03-08T09:23:26]"/>
            <x15:cachedUniqueName index="61" name="[Table2].[Last Updated].&amp;[2024-03-08T10:18:58]"/>
            <x15:cachedUniqueName index="62" name="[Table2].[Last Updated].&amp;[2024-03-08T10:32:03]"/>
            <x15:cachedUniqueName index="63" name="[Table2].[Last Updated].&amp;[2024-03-08T11:11:06]"/>
            <x15:cachedUniqueName index="64" name="[Table2].[Last Updated].&amp;[2024-03-08T14:29:55]"/>
            <x15:cachedUniqueName index="65" name="[Table2].[Last Updated].&amp;[2024-03-08T15:39:55]"/>
            <x15:cachedUniqueName index="66" name="[Table2].[Last Updated].&amp;[2024-03-08T15:45:56]"/>
            <x15:cachedUniqueName index="67" name="[Table2].[Last Updated].&amp;[2024-03-08T18:36:48]"/>
            <x15:cachedUniqueName index="69" name="[Table2].[Last Updated].&amp;[2024-03-09T04:53:41]"/>
            <x15:cachedUniqueName index="70" name="[Table2].[Last Updated].&amp;[2024-03-09T08:15:16]"/>
            <x15:cachedUniqueName index="71" name="[Table2].[Last Updated].&amp;[2024-03-09T11:34:50]"/>
            <x15:cachedUniqueName index="72" name="[Table2].[Last Updated].&amp;[2024-03-09T16:02:55]"/>
            <x15:cachedUniqueName index="73" name="[Table2].[Last Updated].&amp;[2024-03-09T17:17:45]"/>
            <x15:cachedUniqueName index="74" name="[Table2].[Last Updated].&amp;[2024-03-09T17:47:19]"/>
            <x15:cachedUniqueName index="75" name="[Table2].[Last Updated].&amp;[2024-03-09T20:48:12]"/>
            <x15:cachedUniqueName index="76" name="[Table2].[Last Updated].&amp;[2024-03-09T21:13:54]"/>
            <x15:cachedUniqueName index="77" name="[Table2].[Last Updated].&amp;[2024-03-09T22:38:22]"/>
            <x15:cachedUniqueName index="79" name="[Table2].[Last Updated].&amp;[2024-03-10T07:19:49]"/>
            <x15:cachedUniqueName index="80" name="[Table2].[Last Updated].&amp;[2024-03-10T10:21:09]"/>
            <x15:cachedUniqueName index="81" name="[Table2].[Last Updated].&amp;[2024-03-10T10:59:33]"/>
            <x15:cachedUniqueName index="82" name="[Table2].[Last Updated].&amp;[2024-03-10T17:42:19]"/>
            <x15:cachedUniqueName index="83" name="[Table2].[Last Updated].&amp;[2024-03-10T21:53:08]"/>
            <x15:cachedUniqueName index="85" name="[Table2].[Last Updated].&amp;[2024-03-11T02:03:08]"/>
            <x15:cachedUniqueName index="86" name="[Table2].[Last Updated].&amp;[2024-03-11T03:51:13]"/>
            <x15:cachedUniqueName index="87" name="[Table2].[Last Updated].&amp;[2024-03-11T04:30:04]"/>
            <x15:cachedUniqueName index="88" name="[Table2].[Last Updated].&amp;[2024-03-11T07:37:49]"/>
            <x15:cachedUniqueName index="89" name="[Table2].[Last Updated].&amp;[2024-03-11T09:30:33]"/>
            <x15:cachedUniqueName index="90" name="[Table2].[Last Updated].&amp;[2024-03-11T09:37:04]"/>
            <x15:cachedUniqueName index="91" name="[Table2].[Last Updated].&amp;[2024-03-11T15:09:30]"/>
            <x15:cachedUniqueName index="92" name="[Table2].[Last Updated].&amp;[2024-03-11T20:45:30]"/>
            <x15:cachedUniqueName index="93" name="[Table2].[Last Updated].&amp;[2024-03-11T23:42:49]"/>
            <x15:cachedUniqueName index="94" name="[Table2].[Last Updated].&amp;[2024-03-12T09:22:09]"/>
            <x15:cachedUniqueName index="95" name="[Table2].[Last Updated].&amp;[2024-03-12T16:15:40]"/>
            <x15:cachedUniqueName index="96" name="[Table2].[Last Updated].&amp;[2024-03-12T17:06:25]"/>
            <x15:cachedUniqueName index="97" name="[Table2].[Last Updated].&amp;[2024-03-12T17:11:04]"/>
            <x15:cachedUniqueName index="98" name="[Table2].[Last Updated].&amp;[2024-03-12T17:40:33]"/>
            <x15:cachedUniqueName index="99" name="[Table2].[Last Updated].&amp;[2024-03-12T18:06:36]"/>
            <x15:cachedUniqueName index="100" name="[Table2].[Last Updated].&amp;[2024-03-12T20:22:40]"/>
            <x15:cachedUniqueName index="101" name="[Table2].[Last Updated].&amp;[2024-03-13T02:58:59]"/>
            <x15:cachedUniqueName index="102" name="[Table2].[Last Updated].&amp;[2024-03-13T05:49:38]"/>
            <x15:cachedUniqueName index="103" name="[Table2].[Last Updated].&amp;[2024-03-13T09:31:59]"/>
            <x15:cachedUniqueName index="104" name="[Table2].[Last Updated].&amp;[2024-03-13T09:33:41]"/>
            <x15:cachedUniqueName index="105" name="[Table2].[Last Updated].&amp;[2024-03-13T09:37:01]"/>
            <x15:cachedUniqueName index="106" name="[Table2].[Last Updated].&amp;[2024-03-13T10:02:02]"/>
            <x15:cachedUniqueName index="107" name="[Table2].[Last Updated].&amp;[2024-03-13T10:40:48]"/>
            <x15:cachedUniqueName index="108" name="[Table2].[Last Updated].&amp;[2024-03-13T11:37:20]"/>
            <x15:cachedUniqueName index="109" name="[Table2].[Last Updated].&amp;[2024-03-13T13:58:55]"/>
            <x15:cachedUniqueName index="110" name="[Table2].[Last Updated].&amp;[2024-03-13T17:50:50]"/>
            <x15:cachedUniqueName index="111" name="[Table2].[Last Updated].&amp;[2024-03-13T19:01:09]"/>
            <x15:cachedUniqueName index="112" name="[Table2].[Last Updated].&amp;[2024-03-13T19:05:56]"/>
            <x15:cachedUniqueName index="113" name="[Table2].[Last Updated].&amp;[2024-03-14T03:39:09]"/>
            <x15:cachedUniqueName index="114" name="[Table2].[Last Updated].&amp;[2024-03-14T07:23:28]"/>
            <x15:cachedUniqueName index="115" name="[Table2].[Last Updated].&amp;[2024-03-14T08:33:40]"/>
            <x15:cachedUniqueName index="116" name="[Table2].[Last Updated].&amp;[2024-03-14T11:28:23]"/>
            <x15:cachedUniqueName index="117" name="[Table2].[Last Updated].&amp;[2024-03-14T13:13:29]"/>
            <x15:cachedUniqueName index="118" name="[Table2].[Last Updated].&amp;[2024-03-14T13:19:07]"/>
            <x15:cachedUniqueName index="119" name="[Table2].[Last Updated].&amp;[2024-03-14T15:34:41]"/>
            <x15:cachedUniqueName index="120" name="[Table2].[Last Updated].&amp;[2024-03-14T16:12:02]"/>
            <x15:cachedUniqueName index="121" name="[Table2].[Last Updated].&amp;[2024-03-14T20:43:05]"/>
            <x15:cachedUniqueName index="122" name="[Table2].[Last Updated].&amp;[2024-03-15T03:14:10]"/>
            <x15:cachedUniqueName index="123" name="[Table2].[Last Updated].&amp;[2024-03-15T07:37:26]"/>
            <x15:cachedUniqueName index="124" name="[Table2].[Last Updated].&amp;[2024-03-15T10:37:08]"/>
            <x15:cachedUniqueName index="125" name="[Table2].[Last Updated].&amp;[2024-03-15T11:26:06]"/>
            <x15:cachedUniqueName index="126" name="[Table2].[Last Updated].&amp;[2024-03-15T11:28:53]"/>
            <x15:cachedUniqueName index="127" name="[Table2].[Last Updated].&amp;[2024-03-15T11:50:00]"/>
            <x15:cachedUniqueName index="128" name="[Table2].[Last Updated].&amp;[2024-03-15T12:51:02]"/>
            <x15:cachedUniqueName index="129" name="[Table2].[Last Updated].&amp;[2024-03-15T13:47:53]"/>
            <x15:cachedUniqueName index="130" name="[Table2].[Last Updated].&amp;[2024-03-15T15:14:22]"/>
            <x15:cachedUniqueName index="131" name="[Table2].[Last Updated].&amp;[2024-03-15T15:52:46]"/>
            <x15:cachedUniqueName index="132" name="[Table2].[Last Updated].&amp;[2024-03-15T17:19:08]"/>
            <x15:cachedUniqueName index="133" name="[Table2].[Last Updated].&amp;[2024-03-15T17:31:27]"/>
            <x15:cachedUniqueName index="134" name="[Table2].[Last Updated].&amp;[2024-03-15T17:42:12]"/>
            <x15:cachedUniqueName index="135" name="[Table2].[Last Updated].&amp;[2024-03-15T18:42:00]"/>
            <x15:cachedUniqueName index="136" name="[Table2].[Last Updated].&amp;[2024-03-15T19:05:45]"/>
            <x15:cachedUniqueName index="137" name="[Table2].[Last Updated].&amp;[2024-03-15T19:24:33]"/>
            <x15:cachedUniqueName index="138" name="[Table2].[Last Updated].&amp;[2024-03-15T22:29:13]"/>
            <x15:cachedUniqueName index="139" name="[Table2].[Last Updated].&amp;[2024-03-15T23:13:02]"/>
            <x15:cachedUniqueName index="140" name="[Table2].[Last Updated].&amp;[2024-03-16T00:14:43]"/>
            <x15:cachedUniqueName index="141" name="[Table2].[Last Updated].&amp;[2024-03-16T02:06:00]"/>
            <x15:cachedUniqueName index="142" name="[Table2].[Last Updated].&amp;[2024-03-16T02:12:52]"/>
            <x15:cachedUniqueName index="143" name="[Table2].[Last Updated].&amp;[2024-03-16T02:46:25]"/>
            <x15:cachedUniqueName index="144" name="[Table2].[Last Updated].&amp;[2024-03-16T05:09:58]"/>
            <x15:cachedUniqueName index="145" name="[Table2].[Last Updated].&amp;[2024-03-16T05:23:22]"/>
            <x15:cachedUniqueName index="146" name="[Table2].[Last Updated].&amp;[2024-03-16T08:19:57]"/>
            <x15:cachedUniqueName index="147" name="[Table2].[Last Updated].&amp;[2024-03-16T08:36:58]"/>
            <x15:cachedUniqueName index="148" name="[Table2].[Last Updated].&amp;[2024-03-16T09:13:11]"/>
            <x15:cachedUniqueName index="149" name="[Table2].[Last Updated].&amp;[2024-03-16T09:13:23]"/>
            <x15:cachedUniqueName index="150" name="[Table2].[Last Updated].&amp;[2024-03-16T12:30:32]"/>
            <x15:cachedUniqueName index="151" name="[Table2].[Last Updated].&amp;[2024-03-16T12:30:51]"/>
            <x15:cachedUniqueName index="152" name="[Table2].[Last Updated].&amp;[2024-03-16T12:30:59]"/>
            <x15:cachedUniqueName index="153" name="[Table2].[Last Updated].&amp;[2024-03-16T12:44:08]"/>
            <x15:cachedUniqueName index="154" name="[Table2].[Last Updated].&amp;[2024-03-16T13:42:49]"/>
            <x15:cachedUniqueName index="155" name="[Table2].[Last Updated].&amp;[2024-03-16T14:16:01]"/>
            <x15:cachedUniqueName index="156" name="[Table2].[Last Updated].&amp;[2024-03-16T14:46:48]"/>
            <x15:cachedUniqueName index="157" name="[Table2].[Last Updated].&amp;[2024-03-16T15:22:05]"/>
            <x15:cachedUniqueName index="158" name="[Table2].[Last Updated].&amp;[2024-03-16T16:30:41]"/>
            <x15:cachedUniqueName index="159" name="[Table2].[Last Updated].&amp;[2024-03-16T17:01:39]"/>
            <x15:cachedUniqueName index="160" name="[Table2].[Last Updated].&amp;[2024-03-16T17:44:35]"/>
            <x15:cachedUniqueName index="161" name="[Table2].[Last Updated].&amp;[2024-03-16T19:15:06]"/>
            <x15:cachedUniqueName index="162" name="[Table2].[Last Updated].&amp;[2024-03-16T20:45:13]"/>
            <x15:cachedUniqueName index="163" name="[Table2].[Last Updated].&amp;[2024-03-16T21:09:42]"/>
            <x15:cachedUniqueName index="164" name="[Table2].[Last Updated].&amp;[2024-03-16T21:53:55]"/>
            <x15:cachedUniqueName index="165" name="[Table2].[Last Updated].&amp;[2024-03-17T09:22:33]"/>
            <x15:cachedUniqueName index="166" name="[Table2].[Last Updated].&amp;[2024-03-17T09:28:09]"/>
            <x15:cachedUniqueName index="167" name="[Table2].[Last Updated].&amp;[2024-03-17T09:32:46]"/>
            <x15:cachedUniqueName index="168" name="[Table2].[Last Updated].&amp;[2024-03-17T09:38:12]"/>
            <x15:cachedUniqueName index="169" name="[Table2].[Last Updated].&amp;[2024-03-17T10:37:39]"/>
            <x15:cachedUniqueName index="170" name="[Table2].[Last Updated].&amp;[2024-03-17T11:19:13]"/>
            <x15:cachedUniqueName index="171" name="[Table2].[Last Updated].&amp;[2024-03-17T11:34:20]"/>
            <x15:cachedUniqueName index="172" name="[Table2].[Last Updated].&amp;[2024-03-17T11:37:19]"/>
            <x15:cachedUniqueName index="173" name="[Table2].[Last Updated].&amp;[2024-03-17T11:37:40]"/>
            <x15:cachedUniqueName index="174" name="[Table2].[Last Updated].&amp;[2024-03-17T11:38:12]"/>
            <x15:cachedUniqueName index="175" name="[Table2].[Last Updated].&amp;[2024-03-17T11:38:55]"/>
            <x15:cachedUniqueName index="176" name="[Table2].[Last Updated].&amp;[2024-03-17T11:39:08]"/>
            <x15:cachedUniqueName index="177" name="[Table2].[Last Updated].&amp;[2024-03-17T11:39:38]"/>
            <x15:cachedUniqueName index="178" name="[Table2].[Last Updated].&amp;[2024-03-17T11:40:16]"/>
            <x15:cachedUniqueName index="179" name="[Table2].[Last Updated].&amp;[2024-03-17T11:43:56]"/>
            <x15:cachedUniqueName index="180" name="[Table2].[Last Updated].&amp;[2024-03-17T12:14:48]"/>
            <x15:cachedUniqueName index="181" name="[Table2].[Last Updated].&amp;[2024-03-17T12:17:44]"/>
            <x15:cachedUniqueName index="182" name="[Table2].[Last Updated].&amp;[2024-03-17T14:13:59]"/>
            <x15:cachedUniqueName index="183" name="[Table2].[Last Updated].&amp;[2024-03-17T15:16:24]"/>
            <x15:cachedUniqueName index="184" name="[Table2].[Last Updated].&amp;[2024-03-17T15:41:45]"/>
            <x15:cachedUniqueName index="185" name="[Table2].[Last Updated].&amp;[2024-03-17T18:15:39]"/>
            <x15:cachedUniqueName index="186" name="[Table2].[Last Updated].&amp;[2024-03-17T19:44:33]"/>
            <x15:cachedUniqueName index="187" name="[Table2].[Last Updated].&amp;[2024-03-17T20:51:19]"/>
            <x15:cachedUniqueName index="188" name="[Table2].[Last Updated].&amp;[2024-03-18T02:04:20]"/>
            <x15:cachedUniqueName index="189" name="[Table2].[Last Updated].&amp;[2024-03-18T03:34:53]"/>
            <x15:cachedUniqueName index="190" name="[Table2].[Last Updated].&amp;[2024-03-18T05:26:34]"/>
            <x15:cachedUniqueName index="191" name="[Table2].[Last Updated].&amp;[2024-03-18T08:01:01]"/>
            <x15:cachedUniqueName index="192" name="[Table2].[Last Updated].&amp;[2024-03-18T08:26:37]"/>
            <x15:cachedUniqueName index="193" name="[Table2].[Last Updated].&amp;[2024-03-18T08:34:44]"/>
            <x15:cachedUniqueName index="194" name="[Table2].[Last Updated].&amp;[2024-03-18T08:45:33]"/>
            <x15:cachedUniqueName index="195" name="[Table2].[Last Updated].&amp;[2024-03-18T09:30:42]"/>
            <x15:cachedUniqueName index="196" name="[Table2].[Last Updated].&amp;[2024-03-18T10:55:29]"/>
            <x15:cachedUniqueName index="197" name="[Table2].[Last Updated].&amp;[2024-03-18T14:38:27]"/>
            <x15:cachedUniqueName index="198" name="[Table2].[Last Updated].&amp;[2024-03-18T14:39:08]"/>
            <x15:cachedUniqueName index="199" name="[Table2].[Last Updated].&amp;[2024-03-18T14:48:44]"/>
            <x15:cachedUniqueName index="200" name="[Table2].[Last Updated].&amp;[2024-03-18T15:24:03]"/>
            <x15:cachedUniqueName index="201" name="[Table2].[Last Updated].&amp;[2024-03-18T15:52:35]"/>
            <x15:cachedUniqueName index="202" name="[Table2].[Last Updated].&amp;[2024-03-18T16:15:46]"/>
            <x15:cachedUniqueName index="203" name="[Table2].[Last Updated].&amp;[2024-03-18T16:44:20]"/>
            <x15:cachedUniqueName index="204" name="[Table2].[Last Updated].&amp;[2024-03-18T19:20:42]"/>
            <x15:cachedUniqueName index="205" name="[Table2].[Last Updated].&amp;[2024-03-18T19:41:43]"/>
            <x15:cachedUniqueName index="206" name="[Table2].[Last Updated].&amp;[2024-03-18T20:56:17]"/>
            <x15:cachedUniqueName index="207" name="[Table2].[Last Updated].&amp;[2024-03-18T21:20:11]"/>
            <x15:cachedUniqueName index="208" name="[Table2].[Last Updated].&amp;[2024-03-18T21:26:21]"/>
            <x15:cachedUniqueName index="209" name="[Table2].[Last Updated].&amp;[2024-03-19T06:43:30]"/>
            <x15:cachedUniqueName index="210" name="[Table2].[Last Updated].&amp;[2024-03-19T07:45:31]"/>
            <x15:cachedUniqueName index="211" name="[Table2].[Last Updated].&amp;[2024-03-19T08:37:16]"/>
            <x15:cachedUniqueName index="212" name="[Table2].[Last Updated].&amp;[2024-03-19T09:08:53]"/>
            <x15:cachedUniqueName index="213" name="[Table2].[Last Updated].&amp;[2024-03-19T09:13:03]"/>
            <x15:cachedUniqueName index="214" name="[Table2].[Last Updated].&amp;[2024-03-19T09:48:36]"/>
            <x15:cachedUniqueName index="215" name="[Table2].[Last Updated].&amp;[2024-03-19T10:33:07]"/>
            <x15:cachedUniqueName index="216" name="[Table2].[Last Updated].&amp;[2024-03-19T11:37:40]"/>
            <x15:cachedUniqueName index="217" name="[Table2].[Last Updated].&amp;[2024-03-19T12:04:26]"/>
            <x15:cachedUniqueName index="218" name="[Table2].[Last Updated].&amp;[2024-03-19T12:27:34]"/>
            <x15:cachedUniqueName index="219" name="[Table2].[Last Updated].&amp;[2024-03-19T13:15:33]"/>
            <x15:cachedUniqueName index="220" name="[Table2].[Last Updated].&amp;[2024-03-19T15:03:20]"/>
            <x15:cachedUniqueName index="221" name="[Table2].[Last Updated].&amp;[2024-03-19T15:04:04]"/>
            <x15:cachedUniqueName index="222" name="[Table2].[Last Updated].&amp;[2024-03-19T15:44:30]"/>
            <x15:cachedUniqueName index="223" name="[Table2].[Last Updated].&amp;[2024-03-19T15:46:01]"/>
            <x15:cachedUniqueName index="224" name="[Table2].[Last Updated].&amp;[2024-03-19T15:48:43]"/>
            <x15:cachedUniqueName index="225" name="[Table2].[Last Updated].&amp;[2024-03-19T16:41:48]"/>
            <x15:cachedUniqueName index="226" name="[Table2].[Last Updated].&amp;[2024-03-19T16:43:20]"/>
            <x15:cachedUniqueName index="227" name="[Table2].[Last Updated].&amp;[2024-03-19T17:29:51]"/>
            <x15:cachedUniqueName index="228" name="[Table2].[Last Updated].&amp;[2024-03-19T17:40:35]"/>
            <x15:cachedUniqueName index="229" name="[Table2].[Last Updated].&amp;[2024-03-19T18:09:04]"/>
            <x15:cachedUniqueName index="230" name="[Table2].[Last Updated].&amp;[2024-03-19T18:22:54]"/>
            <x15:cachedUniqueName index="231" name="[Table2].[Last Updated].&amp;[2024-03-19T18:24:26]"/>
            <x15:cachedUniqueName index="232" name="[Table2].[Last Updated].&amp;[2024-03-19T18:38:36]"/>
            <x15:cachedUniqueName index="233" name="[Table2].[Last Updated].&amp;[2024-03-19T19:06:00]"/>
            <x15:cachedUniqueName index="234" name="[Table2].[Last Updated].&amp;[2024-03-19T19:20:33]"/>
            <x15:cachedUniqueName index="235" name="[Table2].[Last Updated].&amp;[2024-03-19T22:33:32]"/>
            <x15:cachedUniqueName index="236" name="[Table2].[Last Updated].&amp;[2024-03-19T22:56:04]"/>
            <x15:cachedUniqueName index="237" name="[Table2].[Last Updated].&amp;[2024-03-19T22:59:41]"/>
            <x15:cachedUniqueName index="238" name="[Table2].[Last Updated].&amp;[2024-03-19T23:29:58]"/>
            <x15:cachedUniqueName index="239" name="[Table2].[Last Updated].&amp;[2024-03-20T00:27:05]"/>
            <x15:cachedUniqueName index="240" name="[Table2].[Last Updated].&amp;[2024-03-20T01:23:56]"/>
            <x15:cachedUniqueName index="241" name="[Table2].[Last Updated].&amp;[2024-03-20T04:16:27]"/>
            <x15:cachedUniqueName index="242" name="[Table2].[Last Updated].&amp;[2024-03-20T05:50:34]"/>
            <x15:cachedUniqueName index="243" name="[Table2].[Last Updated].&amp;[2024-03-20T06:16:20]"/>
            <x15:cachedUniqueName index="244" name="[Table2].[Last Updated].&amp;[2024-03-20T06:43:11]"/>
            <x15:cachedUniqueName index="245" name="[Table2].[Last Updated].&amp;[2024-03-20T07:59:19]"/>
            <x15:cachedUniqueName index="246" name="[Table2].[Last Updated].&amp;[2024-03-20T09:41:59]"/>
            <x15:cachedUniqueName index="247" name="[Table2].[Last Updated].&amp;[2024-03-20T10:32:37]"/>
            <x15:cachedUniqueName index="248" name="[Table2].[Last Updated].&amp;[2024-03-20T10:33:43]"/>
            <x15:cachedUniqueName index="249" name="[Table2].[Last Updated].&amp;[2024-03-20T10:40:38]"/>
            <x15:cachedUniqueName index="250" name="[Table2].[Last Updated].&amp;[2024-03-20T11:56:38]"/>
            <x15:cachedUniqueName index="251" name="[Table2].[Last Updated].&amp;[2024-03-20T12:28:06]"/>
            <x15:cachedUniqueName index="252" name="[Table2].[Last Updated].&amp;[2024-03-20T12:54:11]"/>
            <x15:cachedUniqueName index="253" name="[Table2].[Last Updated].&amp;[2024-03-20T13:03:25]"/>
            <x15:cachedUniqueName index="254" name="[Table2].[Last Updated].&amp;[2024-03-20T13:09:12]"/>
            <x15:cachedUniqueName index="255" name="[Table2].[Last Updated].&amp;[2024-03-20T13:20:54]"/>
            <x15:cachedUniqueName index="256" name="[Table2].[Last Updated].&amp;[2024-03-20T14:10:33]"/>
            <x15:cachedUniqueName index="257" name="[Table2].[Last Updated].&amp;[2024-03-20T14:29:09]"/>
            <x15:cachedUniqueName index="258" name="[Table2].[Last Updated].&amp;[2024-03-20T14:43:18]"/>
            <x15:cachedUniqueName index="259" name="[Table2].[Last Updated].&amp;[2024-03-20T15:18:21]"/>
            <x15:cachedUniqueName index="260" name="[Table2].[Last Updated].&amp;[2024-03-20T15:45:43]"/>
            <x15:cachedUniqueName index="261" name="[Table2].[Last Updated].&amp;[2024-03-20T16:10:31]"/>
            <x15:cachedUniqueName index="262" name="[Table2].[Last Updated].&amp;[2024-03-20T17:37:45]"/>
            <x15:cachedUniqueName index="263" name="[Table2].[Last Updated].&amp;[2024-03-20T17:45:18]"/>
            <x15:cachedUniqueName index="264" name="[Table2].[Last Updated].&amp;[2024-03-20T18:06:47]"/>
            <x15:cachedUniqueName index="265" name="[Table2].[Last Updated].&amp;[2024-03-20T18:27:48]"/>
            <x15:cachedUniqueName index="266" name="[Table2].[Last Updated].&amp;[2024-03-20T18:36:38]"/>
            <x15:cachedUniqueName index="267" name="[Table2].[Last Updated].&amp;[2024-03-20T19:16:37]"/>
            <x15:cachedUniqueName index="268" name="[Table2].[Last Updated].&amp;[2024-03-20T19:45:54]"/>
            <x15:cachedUniqueName index="269" name="[Table2].[Last Updated].&amp;[2024-03-20T20:09:23]"/>
            <x15:cachedUniqueName index="270" name="[Table2].[Last Updated].&amp;[2024-03-20T20:39:02]"/>
            <x15:cachedUniqueName index="271" name="[Table2].[Last Updated].&amp;[2024-03-20T20:44:28]"/>
            <x15:cachedUniqueName index="272" name="[Table2].[Last Updated].&amp;[2024-03-20T20:52:08]"/>
            <x15:cachedUniqueName index="273" name="[Table2].[Last Updated].&amp;[2024-03-20T21:16:42]"/>
            <x15:cachedUniqueName index="274" name="[Table2].[Last Updated].&amp;[2024-03-20T21:21:03]"/>
            <x15:cachedUniqueName index="275" name="[Table2].[Last Updated].&amp;[2024-03-20T22:52:48]"/>
            <x15:cachedUniqueName index="276" name="[Table2].[Last Updated].&amp;[2024-03-20T23:05:25]"/>
            <x15:cachedUniqueName index="277" name="[Table2].[Last Updated].&amp;[2024-03-20T23:42:53]"/>
            <x15:cachedUniqueName index="278" name="[Table2].[Last Updated].&amp;[2024-03-20T23:59:09]"/>
            <x15:cachedUniqueName index="280" name="[Table2].[Last Updated].&amp;[2024-03-21T00:10:23]"/>
            <x15:cachedUniqueName index="281" name="[Table2].[Last Updated].&amp;[2024-03-21T00:24:47]"/>
            <x15:cachedUniqueName index="282" name="[Table2].[Last Updated].&amp;[2024-03-21T01:44:29]"/>
            <x15:cachedUniqueName index="283" name="[Table2].[Last Updated].&amp;[2024-03-21T03:34:53]"/>
            <x15:cachedUniqueName index="284" name="[Table2].[Last Updated].&amp;[2024-03-21T05:43:41]"/>
            <x15:cachedUniqueName index="285" name="[Table2].[Last Updated].&amp;[2024-03-21T06:22:07]"/>
            <x15:cachedUniqueName index="286" name="[Table2].[Last Updated].&amp;[2024-03-21T06:39:59]"/>
            <x15:cachedUniqueName index="287" name="[Table2].[Last Updated].&amp;[2024-03-21T06:41:06]"/>
            <x15:cachedUniqueName index="288" name="[Table2].[Last Updated].&amp;[2024-03-21T06:58:02]"/>
            <x15:cachedUniqueName index="289" name="[Table2].[Last Updated].&amp;[2024-03-21T07:11:45]"/>
            <x15:cachedUniqueName index="290" name="[Table2].[Last Updated].&amp;[2024-03-21T07:27:08]"/>
            <x15:cachedUniqueName index="291" name="[Table2].[Last Updated].&amp;[2024-03-21T07:32:36]"/>
            <x15:cachedUniqueName index="292" name="[Table2].[Last Updated].&amp;[2024-03-21T07:36:26]"/>
            <x15:cachedUniqueName index="293" name="[Table2].[Last Updated].&amp;[2024-03-21T07:50:36]"/>
            <x15:cachedUniqueName index="294" name="[Table2].[Last Updated].&amp;[2024-03-21T07:53:03]"/>
            <x15:cachedUniqueName index="295" name="[Table2].[Last Updated].&amp;[2024-03-21T07:56:03]"/>
            <x15:cachedUniqueName index="296" name="[Table2].[Last Updated].&amp;[2024-03-21T07:59:07]"/>
            <x15:cachedUniqueName index="297" name="[Table2].[Last Updated].&amp;[2024-03-21T08:20:51]"/>
            <x15:cachedUniqueName index="298" name="[Table2].[Last Updated].&amp;[2024-03-21T08:40:15]"/>
            <x15:cachedUniqueName index="299" name="[Table2].[Last Updated].&amp;[2024-03-21T08:45:23]"/>
            <x15:cachedUniqueName index="300" name="[Table2].[Last Updated].&amp;[2024-03-21T08:49:20]"/>
            <x15:cachedUniqueName index="301" name="[Table2].[Last Updated].&amp;[2024-03-21T09:02:01]"/>
            <x15:cachedUniqueName index="302" name="[Table2].[Last Updated].&amp;[2024-03-21T09:06:31]"/>
            <x15:cachedUniqueName index="303" name="[Table2].[Last Updated].&amp;[2024-03-21T09:33:44]"/>
            <x15:cachedUniqueName index="304" name="[Table2].[Last Updated].&amp;[2024-03-21T09:39:57]"/>
            <x15:cachedUniqueName index="305" name="[Table2].[Last Updated].&amp;[2024-03-21T09:40:06]"/>
            <x15:cachedUniqueName index="306" name="[Table2].[Last Updated].&amp;[2024-03-21T09:49:10]"/>
            <x15:cachedUniqueName index="307" name="[Table2].[Last Updated].&amp;[2024-03-21T09:56:08]"/>
            <x15:cachedUniqueName index="308" name="[Table2].[Last Updated].&amp;[2024-03-21T10:00:07]"/>
            <x15:cachedUniqueName index="309" name="[Table2].[Last Updated].&amp;[2024-03-21T10:01:54]"/>
            <x15:cachedUniqueName index="310" name="[Table2].[Last Updated].&amp;[2024-03-21T10:02:07]"/>
            <x15:cachedUniqueName index="311" name="[Table2].[Last Updated].&amp;[2024-03-21T11:23:08]"/>
            <x15:cachedUniqueName index="312" name="[Table2].[Last Updated].&amp;[2024-03-21T12:02:21]"/>
            <x15:cachedUniqueName index="313" name="[Table2].[Last Updated].&amp;[2024-03-21T12:41:57]"/>
            <x15:cachedUniqueName index="314" name="[Table2].[Last Updated].&amp;[2024-03-21T13:31:47]"/>
            <x15:cachedUniqueName index="315" name="[Table2].[Last Updated].&amp;[2024-03-21T13:41:28]"/>
            <x15:cachedUniqueName index="316" name="[Table2].[Last Updated].&amp;[2024-03-21T13:43:42]"/>
            <x15:cachedUniqueName index="317" name="[Table2].[Last Updated].&amp;[2024-03-21T14:00:54]"/>
            <x15:cachedUniqueName index="318" name="[Table2].[Last Updated].&amp;[2024-03-21T14:28:23]"/>
            <x15:cachedUniqueName index="319" name="[Table2].[Last Updated].&amp;[2024-03-21T14:43:09]"/>
            <x15:cachedUniqueName index="320" name="[Table2].[Last Updated].&amp;[2024-03-21T15:07:11]"/>
            <x15:cachedUniqueName index="321" name="[Table2].[Last Updated].&amp;[2024-03-21T15:07:29]"/>
            <x15:cachedUniqueName index="322" name="[Table2].[Last Updated].&amp;[2024-03-21T15:32:31]"/>
            <x15:cachedUniqueName index="323" name="[Table2].[Last Updated].&amp;[2024-03-21T16:11:07]"/>
            <x15:cachedUniqueName index="324" name="[Table2].[Last Updated].&amp;[2024-03-21T16:16:24]"/>
            <x15:cachedUniqueName index="325" name="[Table2].[Last Updated].&amp;[2024-03-21T16:52:49]"/>
            <x15:cachedUniqueName index="326" name="[Table2].[Last Updated].&amp;[2024-03-21T17:08:14]"/>
            <x15:cachedUniqueName index="327" name="[Table2].[Last Updated].&amp;[2024-03-21T17:43:05]"/>
            <x15:cachedUniqueName index="328" name="[Table2].[Last Updated].&amp;[2024-03-21T18:00:42]"/>
            <x15:cachedUniqueName index="329" name="[Table2].[Last Updated].&amp;[2024-03-21T18:08:59]"/>
            <x15:cachedUniqueName index="330" name="[Table2].[Last Updated].&amp;[2024-03-21T18:20:33]"/>
            <x15:cachedUniqueName index="331" name="[Table2].[Last Updated].&amp;[2024-03-21T18:24:52]"/>
            <x15:cachedUniqueName index="332" name="[Table2].[Last Updated].&amp;[2024-03-21T19:02:41]"/>
            <x15:cachedUniqueName index="333" name="[Table2].[Last Updated].&amp;[2024-03-21T19:14:49]"/>
            <x15:cachedUniqueName index="334" name="[Table2].[Last Updated].&amp;[2024-03-21T19:16:09]"/>
            <x15:cachedUniqueName index="335" name="[Table2].[Last Updated].&amp;[2024-03-21T19:20:12]"/>
            <x15:cachedUniqueName index="336" name="[Table2].[Last Updated].&amp;[2024-03-21T19:20:13]"/>
            <x15:cachedUniqueName index="337" name="[Table2].[Last Updated].&amp;[2024-03-21T19:21:40]"/>
            <x15:cachedUniqueName index="338" name="[Table2].[Last Updated].&amp;[2024-03-21T19:21:49]"/>
            <x15:cachedUniqueName index="339" name="[Table2].[Last Updated].&amp;[2024-03-21T19:31:59]"/>
            <x15:cachedUniqueName index="340" name="[Table2].[Last Updated].&amp;[2024-03-21T19:32:25]"/>
            <x15:cachedUniqueName index="341" name="[Table2].[Last Updated].&amp;[2024-03-21T19:32:52]"/>
            <x15:cachedUniqueName index="342" name="[Table2].[Last Updated].&amp;[2024-03-21T19:51:46]"/>
            <x15:cachedUniqueName index="343" name="[Table2].[Last Updated].&amp;[2024-03-21T20:09:06]"/>
            <x15:cachedUniqueName index="344" name="[Table2].[Last Updated].&amp;[2024-03-21T20:17:38]"/>
            <x15:cachedUniqueName index="345" name="[Table2].[Last Updated].&amp;[2024-03-21T20:38:20]"/>
            <x15:cachedUniqueName index="346" name="[Table2].[Last Updated].&amp;[2024-03-21T22:16:00]"/>
            <x15:cachedUniqueName index="347" name="[Table2].[Last Updated].&amp;[2024-03-21T22:28:49]"/>
            <x15:cachedUniqueName index="348" name="[Table2].[Last Updated].&amp;[2024-03-21T22:39:15]"/>
            <x15:cachedUniqueName index="349" name="[Table2].[Last Updated].&amp;[2024-03-21T22:39:17]"/>
            <x15:cachedUniqueName index="350" name="[Table2].[Last Updated].&amp;[2024-03-21T22:40:20]"/>
            <x15:cachedUniqueName index="351" name="[Table2].[Last Updated].&amp;[2024-03-21T22:51:32]"/>
            <x15:cachedUniqueName index="352" name="[Table2].[Last Updated].&amp;[2024-03-21T23:15:46]"/>
            <x15:cachedUniqueName index="353" name="[Table2].[Last Updated].&amp;[2024-03-21T23:16:01]"/>
            <x15:cachedUniqueName index="354" name="[Table2].[Last Updated].&amp;[2024-03-21T23:18:09]"/>
            <x15:cachedUniqueName index="355" name="[Table2].[Last Updated].&amp;[2024-03-21T23:36:30]"/>
            <x15:cachedUniqueName index="356" name="[Table2].[Last Updated].&amp;[2024-03-22T00:25:54]"/>
            <x15:cachedUniqueName index="357" name="[Table2].[Last Updated].&amp;[2024-03-22T00:57:56]"/>
            <x15:cachedUniqueName index="358" name="[Table2].[Last Updated].&amp;[2024-03-22T01:08:01]"/>
            <x15:cachedUniqueName index="359" name="[Table2].[Last Updated].&amp;[2024-03-22T01:59:02]"/>
            <x15:cachedUniqueName index="360" name="[Table2].[Last Updated].&amp;[2024-03-22T02:15:28]"/>
            <x15:cachedUniqueName index="361" name="[Table2].[Last Updated].&amp;[2024-03-22T03:57:35]"/>
            <x15:cachedUniqueName index="362" name="[Table2].[Last Updated].&amp;[2024-03-22T03:59:00]"/>
            <x15:cachedUniqueName index="363" name="[Table2].[Last Updated].&amp;[2024-03-22T03:59:19]"/>
            <x15:cachedUniqueName index="364" name="[Table2].[Last Updated].&amp;[2024-03-22T04:50:01]"/>
            <x15:cachedUniqueName index="365" name="[Table2].[Last Updated].&amp;[2024-03-22T04:50:50]"/>
            <x15:cachedUniqueName index="366" name="[Table2].[Last Updated].&amp;[2024-03-22T04:59:36]"/>
            <x15:cachedUniqueName index="367" name="[Table2].[Last Updated].&amp;[2024-03-22T05:18:16]"/>
            <x15:cachedUniqueName index="368" name="[Table2].[Last Updated].&amp;[2024-03-22T05:35:53]"/>
            <x15:cachedUniqueName index="369" name="[Table2].[Last Updated].&amp;[2024-03-22T05:40:17]"/>
            <x15:cachedUniqueName index="370" name="[Table2].[Last Updated].&amp;[2024-03-22T05:56:33]"/>
            <x15:cachedUniqueName index="371" name="[Table2].[Last Updated].&amp;[2024-03-22T06:00:02]"/>
            <x15:cachedUniqueName index="372" name="[Table2].[Last Updated].&amp;[2024-03-22T06:00:09]"/>
            <x15:cachedUniqueName index="373" name="[Table2].[Last Updated].&amp;[2024-03-22T07:32:43]"/>
            <x15:cachedUniqueName index="374" name="[Table2].[Last Updated].&amp;[2024-03-22T07:34:36]"/>
            <x15:cachedUniqueName index="375" name="[Table2].[Last Updated].&amp;[2024-03-22T07:49:14]"/>
            <x15:cachedUniqueName index="376" name="[Table2].[Last Updated].&amp;[2024-03-22T08:22:07]"/>
            <x15:cachedUniqueName index="377" name="[Table2].[Last Updated].&amp;[2024-03-22T08:28:58]"/>
            <x15:cachedUniqueName index="378" name="[Table2].[Last Updated].&amp;[2024-03-22T08:29:08]"/>
            <x15:cachedUniqueName index="379" name="[Table2].[Last Updated].&amp;[2024-03-22T08:29:15]"/>
            <x15:cachedUniqueName index="380" name="[Table2].[Last Updated].&amp;[2024-03-22T08:31:19]"/>
            <x15:cachedUniqueName index="381" name="[Table2].[Last Updated].&amp;[2024-03-22T08:40:06]"/>
            <x15:cachedUniqueName index="382" name="[Table2].[Last Updated].&amp;[2024-03-22T08:47:26]"/>
            <x15:cachedUniqueName index="383" name="[Table2].[Last Updated].&amp;[2024-03-22T09:09:10]"/>
            <x15:cachedUniqueName index="384" name="[Table2].[Last Updated].&amp;[2024-03-22T09:17:01]"/>
            <x15:cachedUniqueName index="385" name="[Table2].[Last Updated].&amp;[2024-03-22T09:17:29]"/>
            <x15:cachedUniqueName index="386" name="[Table2].[Last Updated].&amp;[2024-03-22T09:23:27]"/>
            <x15:cachedUniqueName index="387" name="[Table2].[Last Updated].&amp;[2024-03-22T09:26:42]"/>
            <x15:cachedUniqueName index="388" name="[Table2].[Last Updated].&amp;[2024-03-22T09:28:38]"/>
            <x15:cachedUniqueName index="389" name="[Table2].[Last Updated].&amp;[2024-03-22T09:32:15]"/>
            <x15:cachedUniqueName index="390" name="[Table2].[Last Updated].&amp;[2024-03-22T09:46:38]"/>
            <x15:cachedUniqueName index="391" name="[Table2].[Last Updated].&amp;[2024-03-22T09:47:13]"/>
            <x15:cachedUniqueName index="392" name="[Table2].[Last Updated].&amp;[2024-03-22T10:00:19]"/>
            <x15:cachedUniqueName index="393" name="[Table2].[Last Updated].&amp;[2024-03-22T10:02:50]"/>
            <x15:cachedUniqueName index="394" name="[Table2].[Last Updated].&amp;[2024-03-22T10:04:40]"/>
            <x15:cachedUniqueName index="395" name="[Table2].[Last Updated].&amp;[2024-03-22T10:10:03]"/>
            <x15:cachedUniqueName index="396" name="[Table2].[Last Updated].&amp;[2024-03-22T10:16:51]"/>
            <x15:cachedUniqueName index="397" name="[Table2].[Last Updated].&amp;[2024-03-22T10:17:56]"/>
            <x15:cachedUniqueName index="398" name="[Table2].[Last Updated].&amp;[2024-03-22T10:22:29]"/>
            <x15:cachedUniqueName index="399" name="[Table2].[Last Updated].&amp;[2024-03-22T11:04:54]"/>
            <x15:cachedUniqueName index="400" name="[Table2].[Last Updated].&amp;[2024-03-22T11:20:42]"/>
            <x15:cachedUniqueName index="401" name="[Table2].[Last Updated].&amp;[2024-03-22T11:25:01]"/>
            <x15:cachedUniqueName index="402" name="[Table2].[Last Updated].&amp;[2024-03-22T11:35:59]"/>
            <x15:cachedUniqueName index="403" name="[Table2].[Last Updated].&amp;[2024-03-22T11:37:19]"/>
            <x15:cachedUniqueName index="404" name="[Table2].[Last Updated].&amp;[2024-03-22T11:37:30]"/>
            <x15:cachedUniqueName index="405" name="[Table2].[Last Updated].&amp;[2024-03-22T11:50:35]"/>
            <x15:cachedUniqueName index="406" name="[Table2].[Last Updated].&amp;[2024-03-22T11:50:40]"/>
            <x15:cachedUniqueName index="407" name="[Table2].[Last Updated].&amp;[2024-03-22T11:52:44]"/>
            <x15:cachedUniqueName index="408" name="[Table2].[Last Updated].&amp;[2024-03-22T11:53:06]"/>
            <x15:cachedUniqueName index="409" name="[Table2].[Last Updated].&amp;[2024-03-22T11:57:53]"/>
            <x15:cachedUniqueName index="410" name="[Table2].[Last Updated].&amp;[2024-03-22T11:57:54]"/>
            <x15:cachedUniqueName index="411" name="[Table2].[Last Updated].&amp;[2024-03-22T12:02:22]"/>
            <x15:cachedUniqueName index="412" name="[Table2].[Last Updated].&amp;[2024-03-22T12:31:45]"/>
            <x15:cachedUniqueName index="413" name="[Table2].[Last Updated].&amp;[2024-03-22T12:42:51]"/>
            <x15:cachedUniqueName index="414" name="[Table2].[Last Updated].&amp;[2024-03-22T12:46:11]"/>
            <x15:cachedUniqueName index="415" name="[Table2].[Last Updated].&amp;[2024-03-22T12:50:13]"/>
            <x15:cachedUniqueName index="416" name="[Table2].[Last Updated].&amp;[2024-03-22T12:57:17]"/>
            <x15:cachedUniqueName index="417" name="[Table2].[Last Updated].&amp;[2024-03-22T13:09:58]"/>
            <x15:cachedUniqueName index="418" name="[Table2].[Last Updated].&amp;[2024-03-22T13:15:02]"/>
            <x15:cachedUniqueName index="419" name="[Table2].[Last Updated].&amp;[2024-03-22T13:20:36]"/>
            <x15:cachedUniqueName index="420" name="[Table2].[Last Updated].&amp;[2024-03-22T13:27:09]"/>
            <x15:cachedUniqueName index="421" name="[Table2].[Last Updated].&amp;[2024-03-22T14:03:03]"/>
            <x15:cachedUniqueName index="422" name="[Table2].[Last Updated].&amp;[2024-03-22T14:08:35]"/>
            <x15:cachedUniqueName index="423" name="[Table2].[Last Updated].&amp;[2024-03-22T14:25:46]"/>
            <x15:cachedUniqueName index="424" name="[Table2].[Last Updated].&amp;[2024-03-22T14:31:55]"/>
            <x15:cachedUniqueName index="425" name="[Table2].[Last Updated].&amp;[2024-03-22T14:53:19]"/>
            <x15:cachedUniqueName index="426" name="[Table2].[Last Updated].&amp;[2024-03-22T15:05:34]"/>
            <x15:cachedUniqueName index="427" name="[Table2].[Last Updated].&amp;[2024-03-22T15:48:32]"/>
            <x15:cachedUniqueName index="428" name="[Table2].[Last Updated].&amp;[2024-03-22T16:32:10]"/>
            <x15:cachedUniqueName index="429" name="[Table2].[Last Updated].&amp;[2024-03-22T16:32:56]"/>
            <x15:cachedUniqueName index="430" name="[Table2].[Last Updated].&amp;[2024-03-22T16:37:14]"/>
            <x15:cachedUniqueName index="431" name="[Table2].[Last Updated].&amp;[2024-03-22T16:48:50]"/>
            <x15:cachedUniqueName index="432" name="[Table2].[Last Updated].&amp;[2024-03-22T16:53:06]"/>
            <x15:cachedUniqueName index="433" name="[Table2].[Last Updated].&amp;[2024-03-22T16:56:40]"/>
            <x15:cachedUniqueName index="434" name="[Table2].[Last Updated].&amp;[2024-03-22T17:01:35]"/>
            <x15:cachedUniqueName index="435" name="[Table2].[Last Updated].&amp;[2024-03-22T17:14:56]"/>
            <x15:cachedUniqueName index="436" name="[Table2].[Last Updated].&amp;[2024-03-22T17:27:49]"/>
            <x15:cachedUniqueName index="437" name="[Table2].[Last Updated].&amp;[2024-03-22T17:31:34]"/>
            <x15:cachedUniqueName index="438" name="[Table2].[Last Updated].&amp;[2024-03-22T17:39:13]"/>
            <x15:cachedUniqueName index="439" name="[Table2].[Last Updated].&amp;[2024-03-22T17:57:01]"/>
            <x15:cachedUniqueName index="440" name="[Table2].[Last Updated].&amp;[2024-03-22T17:57:33]"/>
            <x15:cachedUniqueName index="441" name="[Table2].[Last Updated].&amp;[2024-03-22T18:17:42]"/>
            <x15:cachedUniqueName index="442" name="[Table2].[Last Updated].&amp;[2024-03-22T18:18:03]"/>
            <x15:cachedUniqueName index="443" name="[Table2].[Last Updated].&amp;[2024-03-22T18:19:59]"/>
            <x15:cachedUniqueName index="444" name="[Table2].[Last Updated].&amp;[2024-03-22T18:23:16]"/>
            <x15:cachedUniqueName index="445" name="[Table2].[Last Updated].&amp;[2024-03-22T18:23:23]"/>
            <x15:cachedUniqueName index="446" name="[Table2].[Last Updated].&amp;[2024-03-22T18:38:27]"/>
            <x15:cachedUniqueName index="447" name="[Table2].[Last Updated].&amp;[2024-03-22T18:38:34]"/>
            <x15:cachedUniqueName index="448" name="[Table2].[Last Updated].&amp;[2024-03-22T18:48:58]"/>
            <x15:cachedUniqueName index="449" name="[Table2].[Last Updated].&amp;[2024-03-22T18:49:43]"/>
            <x15:cachedUniqueName index="450" name="[Table2].[Last Updated].&amp;[2024-03-22T18:50:59]"/>
            <x15:cachedUniqueName index="451" name="[Table2].[Last Updated].&amp;[2024-03-22T19:01:20]"/>
            <x15:cachedUniqueName index="452" name="[Table2].[Last Updated].&amp;[2024-03-22T19:01:37]"/>
            <x15:cachedUniqueName index="453" name="[Table2].[Last Updated].&amp;[2024-03-22T19:02:53]"/>
            <x15:cachedUniqueName index="454" name="[Table2].[Last Updated].&amp;[2024-03-22T19:16:28]"/>
            <x15:cachedUniqueName index="455" name="[Table2].[Last Updated].&amp;[2024-03-22T19:20:44]"/>
            <x15:cachedUniqueName index="456" name="[Table2].[Last Updated].&amp;[2024-03-22T19:40:47]"/>
            <x15:cachedUniqueName index="457" name="[Table2].[Last Updated].&amp;[2024-03-22T19:42:23]"/>
            <x15:cachedUniqueName index="458" name="[Table2].[Last Updated].&amp;[2024-03-22T19:48:31]"/>
            <x15:cachedUniqueName index="459" name="[Table2].[Last Updated].&amp;[2024-03-22T20:18:57]"/>
            <x15:cachedUniqueName index="460" name="[Table2].[Last Updated].&amp;[2024-03-22T20:37:35]"/>
            <x15:cachedUniqueName index="461" name="[Table2].[Last Updated].&amp;[2024-03-22T20:56:36]"/>
            <x15:cachedUniqueName index="462" name="[Table2].[Last Updated].&amp;[2024-03-22T21:26:49]"/>
            <x15:cachedUniqueName index="463" name="[Table2].[Last Updated].&amp;[2024-03-22T21:41:09]"/>
            <x15:cachedUniqueName index="464" name="[Table2].[Last Updated].&amp;[2024-03-22T21:55:43]"/>
            <x15:cachedUniqueName index="465" name="[Table2].[Last Updated].&amp;[2024-03-22T22:34:16]"/>
            <x15:cachedUniqueName index="466" name="[Table2].[Last Updated].&amp;[2024-03-22T22:37:03]"/>
            <x15:cachedUniqueName index="467" name="[Table2].[Last Updated].&amp;[2024-03-22T22:47:05]"/>
            <x15:cachedUniqueName index="468" name="[Table2].[Last Updated].&amp;[2024-03-22T23:00:15]"/>
            <x15:cachedUniqueName index="469" name="[Table2].[Last Updated].&amp;[2024-03-22T23:22:50]"/>
            <x15:cachedUniqueName index="470" name="[Table2].[Last Updated].&amp;[2024-03-22T23:30:09]"/>
            <x15:cachedUniqueName index="471" name="[Table2].[Last Updated].&amp;[2024-03-23T00:04:13]"/>
            <x15:cachedUniqueName index="472" name="[Table2].[Last Updated].&amp;[2024-03-23T00:18:08]"/>
            <x15:cachedUniqueName index="473" name="[Table2].[Last Updated].&amp;[2024-03-23T00:24:59]"/>
            <x15:cachedUniqueName index="474" name="[Table2].[Last Updated].&amp;[2024-03-23T00:41:58]"/>
            <x15:cachedUniqueName index="475" name="[Table2].[Last Updated].&amp;[2024-03-23T00:47:54]"/>
            <x15:cachedUniqueName index="476" name="[Table2].[Last Updated].&amp;[2024-03-23T01:07:01]"/>
            <x15:cachedUniqueName index="477" name="[Table2].[Last Updated].&amp;[2024-03-23T01:40:32]"/>
            <x15:cachedUniqueName index="478" name="[Table2].[Last Updated].&amp;[2024-03-23T02:11:39]"/>
            <x15:cachedUniqueName index="479" name="[Table2].[Last Updated].&amp;[2024-03-23T02:25:32]"/>
            <x15:cachedUniqueName index="480" name="[Table2].[Last Updated].&amp;[2024-03-23T02:25:57]"/>
            <x15:cachedUniqueName index="481" name="[Table2].[Last Updated].&amp;[2024-03-23T02:38:43]"/>
            <x15:cachedUniqueName index="482" name="[Table2].[Last Updated].&amp;[2024-03-23T03:00:09]"/>
            <x15:cachedUniqueName index="483" name="[Table2].[Last Updated].&amp;[2024-03-23T03:08:18]"/>
            <x15:cachedUniqueName index="484" name="[Table2].[Last Updated].&amp;[2024-03-23T03:08:19]"/>
            <x15:cachedUniqueName index="485" name="[Table2].[Last Updated].&amp;[2024-03-23T03:25:35]"/>
            <x15:cachedUniqueName index="486" name="[Table2].[Last Updated].&amp;[2024-03-23T03:58:47]"/>
            <x15:cachedUniqueName index="487" name="[Table2].[Last Updated].&amp;[2024-03-23T04:02:53]"/>
            <x15:cachedUniqueName index="488" name="[Table2].[Last Updated].&amp;[2024-03-23T04:20:02]"/>
            <x15:cachedUniqueName index="489" name="[Table2].[Last Updated].&amp;[2024-03-23T04:38:13]"/>
            <x15:cachedUniqueName index="490" name="[Table2].[Last Updated].&amp;[2024-03-23T04:38:15]"/>
            <x15:cachedUniqueName index="491" name="[Table2].[Last Updated].&amp;[2024-03-23T04:45:58]"/>
            <x15:cachedUniqueName index="492" name="[Table2].[Last Updated].&amp;[2024-03-23T05:20:25]"/>
            <x15:cachedUniqueName index="493" name="[Table2].[Last Updated].&amp;[2024-03-23T05:27:01]"/>
            <x15:cachedUniqueName index="494" name="[Table2].[Last Updated].&amp;[2024-03-23T05:27:24]"/>
            <x15:cachedUniqueName index="495" name="[Table2].[Last Updated].&amp;[2024-03-23T05:29:20]"/>
            <x15:cachedUniqueName index="496" name="[Table2].[Last Updated].&amp;[2024-03-23T05:39:50]"/>
            <x15:cachedUniqueName index="497" name="[Table2].[Last Updated].&amp;[2024-03-23T05:43:30]"/>
            <x15:cachedUniqueName index="498" name="[Table2].[Last Updated].&amp;[2024-03-23T05:48:20]"/>
            <x15:cachedUniqueName index="499" name="[Table2].[Last Updated].&amp;[2024-03-23T06:45:23]"/>
            <x15:cachedUniqueName index="500" name="[Table2].[Last Updated].&amp;[2024-03-23T06:57:41]"/>
            <x15:cachedUniqueName index="501" name="[Table2].[Last Updated].&amp;[2024-03-23T07:03:35]"/>
            <x15:cachedUniqueName index="502" name="[Table2].[Last Updated].&amp;[2024-03-23T07:16:20]"/>
            <x15:cachedUniqueName index="503" name="[Table2].[Last Updated].&amp;[2024-03-23T07:17:14]"/>
            <x15:cachedUniqueName index="504" name="[Table2].[Last Updated].&amp;[2024-03-23T07:21:23]"/>
            <x15:cachedUniqueName index="505" name="[Table2].[Last Updated].&amp;[2024-03-23T07:39:28]"/>
            <x15:cachedUniqueName index="506" name="[Table2].[Last Updated].&amp;[2024-03-23T07:48:48]"/>
            <x15:cachedUniqueName index="507" name="[Table2].[Last Updated].&amp;[2024-03-23T07:51:26]"/>
            <x15:cachedUniqueName index="508" name="[Table2].[Last Updated].&amp;[2024-03-23T08:01:21]"/>
            <x15:cachedUniqueName index="509" name="[Table2].[Last Updated].&amp;[2024-03-23T08:07:24]"/>
            <x15:cachedUniqueName index="510" name="[Table2].[Last Updated].&amp;[2024-03-23T08:07:32]"/>
            <x15:cachedUniqueName index="511" name="[Table2].[Last Updated].&amp;[2024-03-23T08:07:43]"/>
            <x15:cachedUniqueName index="512" name="[Table2].[Last Updated].&amp;[2024-03-23T08:07:45]"/>
            <x15:cachedUniqueName index="513" name="[Table2].[Last Updated].&amp;[2024-03-23T08:08:50]"/>
            <x15:cachedUniqueName index="514" name="[Table2].[Last Updated].&amp;[2024-03-23T08:22:12]"/>
            <x15:cachedUniqueName index="515" name="[Table2].[Last Updated].&amp;[2024-03-23T08:22:19]"/>
            <x15:cachedUniqueName index="516" name="[Table2].[Last Updated].&amp;[2024-03-23T08:37:31]"/>
            <x15:cachedUniqueName index="517" name="[Table2].[Last Updated].&amp;[2024-03-23T08:37:49]"/>
            <x15:cachedUniqueName index="518" name="[Table2].[Last Updated].&amp;[2024-03-23T08:39:28]"/>
            <x15:cachedUniqueName index="519" name="[Table2].[Last Updated].&amp;[2024-03-23T08:39:30]"/>
            <x15:cachedUniqueName index="520" name="[Table2].[Last Updated].&amp;[2024-03-23T08:39:31]"/>
            <x15:cachedUniqueName index="521" name="[Table2].[Last Updated].&amp;[2024-03-23T08:44:06]"/>
            <x15:cachedUniqueName index="522" name="[Table2].[Last Updated].&amp;[2024-03-23T08:46:31]"/>
            <x15:cachedUniqueName index="523" name="[Table2].[Last Updated].&amp;[2024-03-23T08:46:32]"/>
            <x15:cachedUniqueName index="524" name="[Table2].[Last Updated].&amp;[2024-03-23T08:48:22]"/>
            <x15:cachedUniqueName index="525" name="[Table2].[Last Updated].&amp;[2024-03-23T08:57:02]"/>
            <x15:cachedUniqueName index="526" name="[Table2].[Last Updated].&amp;[2024-03-23T08:58:49]"/>
            <x15:cachedUniqueName index="527" name="[Table2].[Last Updated].&amp;[2024-03-23T09:06:49]"/>
            <x15:cachedUniqueName index="528" name="[Table2].[Last Updated].&amp;[2024-03-23T09:08:21]"/>
            <x15:cachedUniqueName index="529" name="[Table2].[Last Updated].&amp;[2024-03-23T09:08:51]"/>
            <x15:cachedUniqueName index="530" name="[Table2].[Last Updated].&amp;[2024-03-23T09:09:05]"/>
            <x15:cachedUniqueName index="531" name="[Table2].[Last Updated].&amp;[2024-03-23T09:20:53]"/>
            <x15:cachedUniqueName index="532" name="[Table2].[Last Updated].&amp;[2024-03-23T09:23:09]"/>
            <x15:cachedUniqueName index="533" name="[Table2].[Last Updated].&amp;[2024-03-23T09:24:03]"/>
            <x15:cachedUniqueName index="534" name="[Table2].[Last Updated].&amp;[2024-03-23T09:26:33]"/>
            <x15:cachedUniqueName index="535" name="[Table2].[Last Updated].&amp;[2024-03-23T09:26:46]"/>
            <x15:cachedUniqueName index="536" name="[Table2].[Last Updated].&amp;[2024-03-23T09:27:28]"/>
            <x15:cachedUniqueName index="537" name="[Table2].[Last Updated].&amp;[2024-03-23T09:32:48]"/>
            <x15:cachedUniqueName index="538" name="[Table2].[Last Updated].&amp;[2024-03-23T09:40:17]"/>
            <x15:cachedUniqueName index="539" name="[Table2].[Last Updated].&amp;[2024-03-23T09:40:55]"/>
            <x15:cachedUniqueName index="540" name="[Table2].[Last Updated].&amp;[2024-03-23T09:45:25]"/>
            <x15:cachedUniqueName index="541" name="[Table2].[Last Updated].&amp;[2024-03-23T10:20:53]"/>
            <x15:cachedUniqueName index="542" name="[Table2].[Last Updated].&amp;[2024-03-23T10:21:16]"/>
            <x15:cachedUniqueName index="543" name="[Table2].[Last Updated].&amp;[2024-03-23T10:26:22]"/>
            <x15:cachedUniqueName index="544" name="[Table2].[Last Updated].&amp;[2024-03-23T10:28:54]"/>
            <x15:cachedUniqueName index="545" name="[Table2].[Last Updated].&amp;[2024-03-23T10:32:44]"/>
            <x15:cachedUniqueName index="546" name="[Table2].[Last Updated].&amp;[2024-03-23T10:37:59]"/>
            <x15:cachedUniqueName index="547" name="[Table2].[Last Updated].&amp;[2024-03-23T10:39:37]"/>
            <x15:cachedUniqueName index="548" name="[Table2].[Last Updated].&amp;[2024-03-23T10:46:14]"/>
            <x15:cachedUniqueName index="549" name="[Table2].[Last Updated].&amp;[2024-03-23T11:00:52]"/>
            <x15:cachedUniqueName index="550" name="[Table2].[Last Updated].&amp;[2024-03-23T11:09:04]"/>
            <x15:cachedUniqueName index="551" name="[Table2].[Last Updated].&amp;[2024-03-23T11:24:47]"/>
            <x15:cachedUniqueName index="552" name="[Table2].[Last Updated].&amp;[2024-03-23T11:29:21]"/>
            <x15:cachedUniqueName index="553" name="[Table2].[Last Updated].&amp;[2024-03-23T11:42:30]"/>
            <x15:cachedUniqueName index="554" name="[Table2].[Last Updated].&amp;[2024-03-23T11:43:18]"/>
            <x15:cachedUniqueName index="555" name="[Table2].[Last Updated].&amp;[2024-03-23T11:50:59]"/>
            <x15:cachedUniqueName index="556" name="[Table2].[Last Updated].&amp;[2024-03-23T12:08:57]"/>
            <x15:cachedUniqueName index="557" name="[Table2].[Last Updated].&amp;[2024-03-23T12:09:40]"/>
            <x15:cachedUniqueName index="558" name="[Table2].[Last Updated].&amp;[2024-03-23T12:42:34]"/>
            <x15:cachedUniqueName index="559" name="[Table2].[Last Updated].&amp;[2024-03-23T12:45:56]"/>
            <x15:cachedUniqueName index="560" name="[Table2].[Last Updated].&amp;[2024-03-23T13:00:07]"/>
            <x15:cachedUniqueName index="561" name="[Table2].[Last Updated].&amp;[2024-03-23T13:02:17]"/>
            <x15:cachedUniqueName index="562" name="[Table2].[Last Updated].&amp;[2024-03-23T13:17:51]"/>
            <x15:cachedUniqueName index="563" name="[Table2].[Last Updated].&amp;[2024-03-23T13:21:23]"/>
            <x15:cachedUniqueName index="564" name="[Table2].[Last Updated].&amp;[2024-03-23T13:26:47]"/>
            <x15:cachedUniqueName index="565" name="[Table2].[Last Updated].&amp;[2024-03-23T13:46:24]"/>
            <x15:cachedUniqueName index="566" name="[Table2].[Last Updated].&amp;[2024-03-23T14:11:08]"/>
            <x15:cachedUniqueName index="567" name="[Table2].[Last Updated].&amp;[2024-03-23T14:18:39]"/>
            <x15:cachedUniqueName index="568" name="[Table2].[Last Updated].&amp;[2024-03-23T14:34:55]"/>
            <x15:cachedUniqueName index="569" name="[Table2].[Last Updated].&amp;[2024-03-23T14:38:05]"/>
            <x15:cachedUniqueName index="570" name="[Table2].[Last Updated].&amp;[2024-03-23T14:39:34]"/>
            <x15:cachedUniqueName index="571" name="[Table2].[Last Updated].&amp;[2024-03-23T15:09:18]"/>
            <x15:cachedUniqueName index="572" name="[Table2].[Last Updated].&amp;[2024-03-23T15:18:17]"/>
            <x15:cachedUniqueName index="573" name="[Table2].[Last Updated].&amp;[2024-03-23T15:19:07]"/>
            <x15:cachedUniqueName index="574" name="[Table2].[Last Updated].&amp;[2024-03-23T15:27:18]"/>
            <x15:cachedUniqueName index="575" name="[Table2].[Last Updated].&amp;[2024-03-23T15:45:55]"/>
            <x15:cachedUniqueName index="576" name="[Table2].[Last Updated].&amp;[2024-03-23T15:48:20]"/>
            <x15:cachedUniqueName index="577" name="[Table2].[Last Updated].&amp;[2024-03-23T16:03:42]"/>
            <x15:cachedUniqueName index="578" name="[Table2].[Last Updated].&amp;[2024-03-23T16:11:19]"/>
            <x15:cachedUniqueName index="579" name="[Table2].[Last Updated].&amp;[2024-03-23T16:28:06]"/>
            <x15:cachedUniqueName index="580" name="[Table2].[Last Updated].&amp;[2024-03-23T16:29:12]"/>
            <x15:cachedUniqueName index="581" name="[Table2].[Last Updated].&amp;[2024-03-23T16:30:10]"/>
            <x15:cachedUniqueName index="582" name="[Table2].[Last Updated].&amp;[2024-03-23T16:32:28]"/>
            <x15:cachedUniqueName index="583" name="[Table2].[Last Updated].&amp;[2024-03-23T16:34:42]"/>
            <x15:cachedUniqueName index="584" name="[Table2].[Last Updated].&amp;[2024-03-23T16:44:49]"/>
            <x15:cachedUniqueName index="585" name="[Table2].[Last Updated].&amp;[2024-03-23T16:50:30]"/>
            <x15:cachedUniqueName index="586" name="[Table2].[Last Updated].&amp;[2024-03-23T17:06:03]"/>
            <x15:cachedUniqueName index="587" name="[Table2].[Last Updated].&amp;[2024-03-23T17:14:52]"/>
            <x15:cachedUniqueName index="588" name="[Table2].[Last Updated].&amp;[2024-03-23T17:21:52]"/>
            <x15:cachedUniqueName index="589" name="[Table2].[Last Updated].&amp;[2024-03-23T17:25:38]"/>
            <x15:cachedUniqueName index="590" name="[Table2].[Last Updated].&amp;[2024-03-23T17:33:21]"/>
            <x15:cachedUniqueName index="591" name="[Table2].[Last Updated].&amp;[2024-03-23T17:35:17]"/>
            <x15:cachedUniqueName index="592" name="[Table2].[Last Updated].&amp;[2024-03-23T17:35:18]"/>
            <x15:cachedUniqueName index="593" name="[Table2].[Last Updated].&amp;[2024-03-23T17:37:22]"/>
            <x15:cachedUniqueName index="594" name="[Table2].[Last Updated].&amp;[2024-03-23T17:38:31]"/>
            <x15:cachedUniqueName index="595" name="[Table2].[Last Updated].&amp;[2024-03-23T17:42:12]"/>
            <x15:cachedUniqueName index="596" name="[Table2].[Last Updated].&amp;[2024-03-23T17:44:35]"/>
            <x15:cachedUniqueName index="597" name="[Table2].[Last Updated].&amp;[2024-03-23T18:03:02]"/>
            <x15:cachedUniqueName index="598" name="[Table2].[Last Updated].&amp;[2024-03-23T18:07:56]"/>
            <x15:cachedUniqueName index="599" name="[Table2].[Last Updated].&amp;[2024-03-23T18:11:56]"/>
            <x15:cachedUniqueName index="600" name="[Table2].[Last Updated].&amp;[2024-03-23T18:21:52]"/>
            <x15:cachedUniqueName index="601" name="[Table2].[Last Updated].&amp;[2024-03-23T18:36:28]"/>
            <x15:cachedUniqueName index="602" name="[Table2].[Last Updated].&amp;[2024-03-23T18:43:56]"/>
            <x15:cachedUniqueName index="603" name="[Table2].[Last Updated].&amp;[2024-03-23T18:45:09]"/>
            <x15:cachedUniqueName index="604" name="[Table2].[Last Updated].&amp;[2024-03-23T18:45:23]"/>
            <x15:cachedUniqueName index="605" name="[Table2].[Last Updated].&amp;[2024-03-23T18:50:00]"/>
            <x15:cachedUniqueName index="606" name="[Table2].[Last Updated].&amp;[2024-03-23T18:59:51]"/>
            <x15:cachedUniqueName index="607" name="[Table2].[Last Updated].&amp;[2024-03-23T19:11:36]"/>
            <x15:cachedUniqueName index="608" name="[Table2].[Last Updated].&amp;[2024-03-23T19:12:32]"/>
            <x15:cachedUniqueName index="609" name="[Table2].[Last Updated].&amp;[2024-03-23T19:13:34]"/>
            <x15:cachedUniqueName index="610" name="[Table2].[Last Updated].&amp;[2024-03-23T19:16:37]"/>
            <x15:cachedUniqueName index="611" name="[Table2].[Last Updated].&amp;[2024-03-23T19:44:36]"/>
            <x15:cachedUniqueName index="612" name="[Table2].[Last Updated].&amp;[2024-03-23T19:44:52]"/>
            <x15:cachedUniqueName index="613" name="[Table2].[Last Updated].&amp;[2024-03-23T19:46:45]"/>
            <x15:cachedUniqueName index="614" name="[Table2].[Last Updated].&amp;[2024-03-23T19:47:23]"/>
            <x15:cachedUniqueName index="615" name="[Table2].[Last Updated].&amp;[2024-03-23T19:49:00]"/>
            <x15:cachedUniqueName index="616" name="[Table2].[Last Updated].&amp;[2024-03-23T19:54:34]"/>
            <x15:cachedUniqueName index="617" name="[Table2].[Last Updated].&amp;[2024-03-23T19:57:55]"/>
            <x15:cachedUniqueName index="618" name="[Table2].[Last Updated].&amp;[2024-03-23T20:04:11]"/>
            <x15:cachedUniqueName index="619" name="[Table2].[Last Updated].&amp;[2024-03-23T20:05:17]"/>
            <x15:cachedUniqueName index="620" name="[Table2].[Last Updated].&amp;[2024-03-23T20:05:31]"/>
            <x15:cachedUniqueName index="621" name="[Table2].[Last Updated].&amp;[2024-03-23T20:14:23]"/>
            <x15:cachedUniqueName index="622" name="[Table2].[Last Updated].&amp;[2024-03-23T20:20:11]"/>
            <x15:cachedUniqueName index="623" name="[Table2].[Last Updated].&amp;[2024-03-23T20:20:19]"/>
            <x15:cachedUniqueName index="624" name="[Table2].[Last Updated].&amp;[2024-03-23T20:23:14]"/>
            <x15:cachedUniqueName index="625" name="[Table2].[Last Updated].&amp;[2024-03-23T20:23:26]"/>
            <x15:cachedUniqueName index="626" name="[Table2].[Last Updated].&amp;[2024-03-23T20:44:22]"/>
            <x15:cachedUniqueName index="627" name="[Table2].[Last Updated].&amp;[2024-03-23T20:46:56]"/>
            <x15:cachedUniqueName index="628" name="[Table2].[Last Updated].&amp;[2024-03-23T20:57:06]"/>
            <x15:cachedUniqueName index="629" name="[Table2].[Last Updated].&amp;[2024-03-23T21:06:08]"/>
            <x15:cachedUniqueName index="630" name="[Table2].[Last Updated].&amp;[2024-03-23T21:08:23]"/>
            <x15:cachedUniqueName index="631" name="[Table2].[Last Updated].&amp;[2024-03-23T21:10:46]"/>
            <x15:cachedUniqueName index="632" name="[Table2].[Last Updated].&amp;[2024-03-23T21:13:14]"/>
            <x15:cachedUniqueName index="633" name="[Table2].[Last Updated].&amp;[2024-03-23T21:24:43]"/>
            <x15:cachedUniqueName index="634" name="[Table2].[Last Updated].&amp;[2024-03-23T21:29:48]"/>
            <x15:cachedUniqueName index="635" name="[Table2].[Last Updated].&amp;[2024-03-23T21:35:04]"/>
            <x15:cachedUniqueName index="636" name="[Table2].[Last Updated].&amp;[2024-03-23T21:45:55]"/>
            <x15:cachedUniqueName index="637" name="[Table2].[Last Updated].&amp;[2024-03-23T21:50:21]"/>
            <x15:cachedUniqueName index="638" name="[Table2].[Last Updated].&amp;[2024-03-23T21:56:47]"/>
            <x15:cachedUniqueName index="639" name="[Table2].[Last Updated].&amp;[2024-03-23T21:56:49]"/>
            <x15:cachedUniqueName index="640" name="[Table2].[Last Updated].&amp;[2024-03-23T21:56:59]"/>
            <x15:cachedUniqueName index="641" name="[Table2].[Last Updated].&amp;[2024-03-23T21:59:23]"/>
            <x15:cachedUniqueName index="642" name="[Table2].[Last Updated].&amp;[2024-03-23T22:10:24]"/>
            <x15:cachedUniqueName index="643" name="[Table2].[Last Updated].&amp;[2024-03-23T22:10:28]"/>
            <x15:cachedUniqueName index="644" name="[Table2].[Last Updated].&amp;[2024-03-23T22:14:29]"/>
            <x15:cachedUniqueName index="645" name="[Table2].[Last Updated].&amp;[2024-03-23T22:18:49]"/>
            <x15:cachedUniqueName index="646" name="[Table2].[Last Updated].&amp;[2024-03-23T22:20:26]"/>
            <x15:cachedUniqueName index="647" name="[Table2].[Last Updated].&amp;[2024-03-23T22:26:34]"/>
            <x15:cachedUniqueName index="648" name="[Table2].[Last Updated].&amp;[2024-03-23T22:35:31]"/>
            <x15:cachedUniqueName index="649" name="[Table2].[Last Updated].&amp;[2024-03-23T22:43:23]"/>
            <x15:cachedUniqueName index="650" name="[Table2].[Last Updated].&amp;[2024-03-23T22:52:13]"/>
            <x15:cachedUniqueName index="651" name="[Table2].[Last Updated].&amp;[2024-03-23T22:52:22]"/>
            <x15:cachedUniqueName index="652" name="[Table2].[Last Updated].&amp;[2024-03-23T22:52:49]"/>
            <x15:cachedUniqueName index="653" name="[Table2].[Last Updated].&amp;[2024-03-23T23:00:53]"/>
            <x15:cachedUniqueName index="654" name="[Table2].[Last Updated].&amp;[2024-03-23T23:07:49]"/>
            <x15:cachedUniqueName index="655" name="[Table2].[Last Updated].&amp;[2024-03-23T23:12:15]"/>
            <x15:cachedUniqueName index="656" name="[Table2].[Last Updated].&amp;[2024-03-23T23:20:00]"/>
            <x15:cachedUniqueName index="657" name="[Table2].[Last Updated].&amp;[2024-03-23T23:20:23]"/>
            <x15:cachedUniqueName index="658" name="[Table2].[Last Updated].&amp;[2024-03-23T23:31:35]"/>
            <x15:cachedUniqueName index="659" name="[Table2].[Last Updated].&amp;[2024-03-23T23:46:32]"/>
            <x15:cachedUniqueName index="660" name="[Table2].[Last Updated].&amp;[2024-03-23T23:59:20]"/>
            <x15:cachedUniqueName index="661" name="[Table2].[Last Updated].&amp;[2024-03-23T23:59:45]"/>
            <x15:cachedUniqueName index="662" name="[Table2].[Last Updated].&amp;[2024-03-24T00:01:17]"/>
            <x15:cachedUniqueName index="663" name="[Table2].[Last Updated].&amp;[2024-03-24T00:02:00]"/>
            <x15:cachedUniqueName index="664" name="[Table2].[Last Updated].&amp;[2024-03-24T00:02:15]"/>
            <x15:cachedUniqueName index="665" name="[Table2].[Last Updated].&amp;[2024-03-24T00:02:27]"/>
            <x15:cachedUniqueName index="666" name="[Table2].[Last Updated].&amp;[2024-03-24T00:09:17]"/>
            <x15:cachedUniqueName index="667" name="[Table2].[Last Updated].&amp;[2024-03-24T00:10:31]"/>
            <x15:cachedUniqueName index="668" name="[Table2].[Last Updated].&amp;[2024-03-24T00:10:39]"/>
            <x15:cachedUniqueName index="669" name="[Table2].[Last Updated].&amp;[2024-03-24T00:13:42]"/>
            <x15:cachedUniqueName index="670" name="[Table2].[Last Updated].&amp;[2024-03-24T00:13:55]"/>
            <x15:cachedUniqueName index="671" name="[Table2].[Last Updated].&amp;[2024-03-24T00:14:35]"/>
            <x15:cachedUniqueName index="672" name="[Table2].[Last Updated].&amp;[2024-03-24T00:15:22]"/>
            <x15:cachedUniqueName index="673" name="[Table2].[Last Updated].&amp;[2024-03-24T00:16:00]"/>
            <x15:cachedUniqueName index="674" name="[Table2].[Last Updated].&amp;[2024-03-24T00:20:22]"/>
            <x15:cachedUniqueName index="675" name="[Table2].[Last Updated].&amp;[2024-03-24T00:24:35]"/>
            <x15:cachedUniqueName index="676" name="[Table2].[Last Updated].&amp;[2024-03-24T00:24:54]"/>
            <x15:cachedUniqueName index="677" name="[Table2].[Last Updated].&amp;[2024-03-24T00:31:06]"/>
            <x15:cachedUniqueName index="678" name="[Table2].[Last Updated].&amp;[2024-03-24T00:31:08]"/>
            <x15:cachedUniqueName index="679" name="[Table2].[Last Updated].&amp;[2024-03-24T00:33:04]"/>
            <x15:cachedUniqueName index="680" name="[Table2].[Last Updated].&amp;[2024-03-24T00:33:39]"/>
            <x15:cachedUniqueName index="681" name="[Table2].[Last Updated].&amp;[2024-03-24T00:47:14]"/>
            <x15:cachedUniqueName index="682" name="[Table2].[Last Updated].&amp;[2024-03-24T00:48:30]"/>
            <x15:cachedUniqueName index="683" name="[Table2].[Last Updated].&amp;[2024-03-24T00:56:01]"/>
            <x15:cachedUniqueName index="684" name="[Table2].[Last Updated].&amp;[2024-03-24T00:56:45]"/>
            <x15:cachedUniqueName index="685" name="[Table2].[Last Updated].&amp;[2024-03-24T00:58:38]"/>
            <x15:cachedUniqueName index="686" name="[Table2].[Last Updated].&amp;[2024-03-24T01:04:08]"/>
            <x15:cachedUniqueName index="687" name="[Table2].[Last Updated].&amp;[2024-03-24T01:20:13]"/>
            <x15:cachedUniqueName index="688" name="[Table2].[Last Updated].&amp;[2024-03-24T01:20:40]"/>
            <x15:cachedUniqueName index="689" name="[Table2].[Last Updated].&amp;[2024-03-24T01:25:38]"/>
            <x15:cachedUniqueName index="690" name="[Table2].[Last Updated].&amp;[2024-03-24T01:40:01]"/>
            <x15:cachedUniqueName index="691" name="[Table2].[Last Updated].&amp;[2024-03-24T01:40:45]"/>
            <x15:cachedUniqueName index="692" name="[Table2].[Last Updated].&amp;[2024-03-24T01:41:58]"/>
            <x15:cachedUniqueName index="693" name="[Table2].[Last Updated].&amp;[2024-03-24T01:43:19]"/>
            <x15:cachedUniqueName index="694" name="[Table2].[Last Updated].&amp;[2024-03-24T01:43:20]"/>
            <x15:cachedUniqueName index="695" name="[Table2].[Last Updated].&amp;[2024-03-24T01:43:21]"/>
            <x15:cachedUniqueName index="696" name="[Table2].[Last Updated].&amp;[2024-03-24T01:45:52]"/>
            <x15:cachedUniqueName index="697" name="[Table2].[Last Updated].&amp;[2024-03-24T01:46:35]"/>
            <x15:cachedUniqueName index="698" name="[Table2].[Last Updated].&amp;[2024-03-24T02:00:07]"/>
            <x15:cachedUniqueName index="699" name="[Table2].[Last Updated].&amp;[2024-03-24T02:09:23]"/>
            <x15:cachedUniqueName index="700" name="[Table2].[Last Updated].&amp;[2024-03-24T02:15:09]"/>
            <x15:cachedUniqueName index="701" name="[Table2].[Last Updated].&amp;[2024-03-24T02:24:38]"/>
            <x15:cachedUniqueName index="702" name="[Table2].[Last Updated].&amp;[2024-03-24T02:29:59]"/>
            <x15:cachedUniqueName index="703" name="[Table2].[Last Updated].&amp;[2024-03-24T02:33:19]"/>
            <x15:cachedUniqueName index="704" name="[Table2].[Last Updated].&amp;[2024-03-24T02:35:10]"/>
            <x15:cachedUniqueName index="705" name="[Table2].[Last Updated].&amp;[2024-03-24T02:41:49]"/>
            <x15:cachedUniqueName index="706" name="[Table2].[Last Updated].&amp;[2024-03-24T02:49:19]"/>
            <x15:cachedUniqueName index="707" name="[Table2].[Last Updated].&amp;[2024-03-24T02:57:18]"/>
            <x15:cachedUniqueName index="708" name="[Table2].[Last Updated].&amp;[2024-03-24T03:08:22]"/>
            <x15:cachedUniqueName index="709" name="[Table2].[Last Updated].&amp;[2024-03-24T03:20:23]"/>
            <x15:cachedUniqueName index="710" name="[Table2].[Last Updated].&amp;[2024-03-24T03:20:57]"/>
            <x15:cachedUniqueName index="711" name="[Table2].[Last Updated].&amp;[2024-03-24T03:20:58]"/>
            <x15:cachedUniqueName index="712" name="[Table2].[Last Updated].&amp;[2024-03-24T03:25:20]"/>
            <x15:cachedUniqueName index="713" name="[Table2].[Last Updated].&amp;[2024-03-24T03:30:43]"/>
            <x15:cachedUniqueName index="714" name="[Table2].[Last Updated].&amp;[2024-03-24T03:36:50]"/>
            <x15:cachedUniqueName index="715" name="[Table2].[Last Updated].&amp;[2024-03-24T03:48:03]"/>
            <x15:cachedUniqueName index="716" name="[Table2].[Last Updated].&amp;[2024-03-24T03:56:56]"/>
            <x15:cachedUniqueName index="717" name="[Table2].[Last Updated].&amp;[2024-03-24T03:59:39]"/>
            <x15:cachedUniqueName index="718" name="[Table2].[Last Updated].&amp;[2024-03-24T04:03:31]"/>
            <x15:cachedUniqueName index="719" name="[Table2].[Last Updated].&amp;[2024-03-24T04:19:41]"/>
            <x15:cachedUniqueName index="720" name="[Table2].[Last Updated].&amp;[2024-03-24T04:20:12]"/>
            <x15:cachedUniqueName index="721" name="[Table2].[Last Updated].&amp;[2024-03-24T04:22:27]"/>
            <x15:cachedUniqueName index="722" name="[Table2].[Last Updated].&amp;[2024-03-24T04:29:16]"/>
            <x15:cachedUniqueName index="723" name="[Table2].[Last Updated].&amp;[2024-03-24T05:02:25]"/>
            <x15:cachedUniqueName index="724" name="[Table2].[Last Updated].&amp;[2024-03-24T05:13:20]"/>
            <x15:cachedUniqueName index="725" name="[Table2].[Last Updated].&amp;[2024-03-24T05:18:15]"/>
            <x15:cachedUniqueName index="726" name="[Table2].[Last Updated].&amp;[2024-03-24T05:27:02]"/>
            <x15:cachedUniqueName index="727" name="[Table2].[Last Updated].&amp;[2024-03-24T05:30:37]"/>
            <x15:cachedUniqueName index="728" name="[Table2].[Last Updated].&amp;[2024-03-24T05:43:37]"/>
            <x15:cachedUniqueName index="729" name="[Table2].[Last Updated].&amp;[2024-03-24T05:43:51]"/>
            <x15:cachedUniqueName index="730" name="[Table2].[Last Updated].&amp;[2024-03-24T05:44:31]"/>
            <x15:cachedUniqueName index="731" name="[Table2].[Last Updated].&amp;[2024-03-24T05:51:04]"/>
            <x15:cachedUniqueName index="732" name="[Table2].[Last Updated].&amp;[2024-03-24T05:51:42]"/>
            <x15:cachedUniqueName index="733" name="[Table2].[Last Updated].&amp;[2024-03-24T05:53:37]"/>
            <x15:cachedUniqueName index="734" name="[Table2].[Last Updated].&amp;[2024-03-24T05:54:34]"/>
            <x15:cachedUniqueName index="735" name="[Table2].[Last Updated].&amp;[2024-03-24T05:54:57]"/>
            <x15:cachedUniqueName index="736" name="[Table2].[Last Updated].&amp;[2024-03-24T06:07:15]"/>
            <x15:cachedUniqueName index="737" name="[Table2].[Last Updated].&amp;[2024-03-24T06:07:43]"/>
            <x15:cachedUniqueName index="738" name="[Table2].[Last Updated].&amp;[2024-03-24T06:08:29]"/>
            <x15:cachedUniqueName index="739" name="[Table2].[Last Updated].&amp;[2024-03-24T06:09:16]"/>
            <x15:cachedUniqueName index="740" name="[Table2].[Last Updated].&amp;[2024-03-24T06:14:31]"/>
            <x15:cachedUniqueName index="741" name="[Table2].[Last Updated].&amp;[2024-03-24T06:15:40]"/>
            <x15:cachedUniqueName index="742" name="[Table2].[Last Updated].&amp;[2024-03-24T06:21:19]"/>
            <x15:cachedUniqueName index="743" name="[Table2].[Last Updated].&amp;[2024-03-24T06:21:20]"/>
            <x15:cachedUniqueName index="744" name="[Table2].[Last Updated].&amp;[2024-03-24T06:26:11]"/>
            <x15:cachedUniqueName index="745" name="[Table2].[Last Updated].&amp;[2024-03-24T06:26:36]"/>
            <x15:cachedUniqueName index="746" name="[Table2].[Last Updated].&amp;[2024-03-24T06:34:10]"/>
            <x15:cachedUniqueName index="747" name="[Table2].[Last Updated].&amp;[2024-03-24T06:34:25]"/>
            <x15:cachedUniqueName index="748" name="[Table2].[Last Updated].&amp;[2024-03-24T06:39:48]"/>
            <x15:cachedUniqueName index="749" name="[Table2].[Last Updated].&amp;[2024-03-24T06:43:00]"/>
            <x15:cachedUniqueName index="750" name="[Table2].[Last Updated].&amp;[2024-03-24T06:45:32]"/>
            <x15:cachedUniqueName index="751" name="[Table2].[Last Updated].&amp;[2024-03-24T06:48:06]"/>
            <x15:cachedUniqueName index="752" name="[Table2].[Last Updated].&amp;[2024-03-24T06:55:05]"/>
            <x15:cachedUniqueName index="753" name="[Table2].[Last Updated].&amp;[2024-03-24T06:58:53]"/>
            <x15:cachedUniqueName index="754" name="[Table2].[Last Updated].&amp;[2024-03-24T07:02:34]"/>
            <x15:cachedUniqueName index="755" name="[Table2].[Last Updated].&amp;[2024-03-24T07:07:02]"/>
            <x15:cachedUniqueName index="756" name="[Table2].[Last Updated].&amp;[2024-03-24T07:10:03]"/>
            <x15:cachedUniqueName index="757" name="[Table2].[Last Updated].&amp;[2024-03-24T07:11:06]"/>
            <x15:cachedUniqueName index="758" name="[Table2].[Last Updated].&amp;[2024-03-24T07:13:17]"/>
            <x15:cachedUniqueName index="759" name="[Table2].[Last Updated].&amp;[2024-03-24T07:13:24]"/>
            <x15:cachedUniqueName index="760" name="[Table2].[Last Updated].&amp;[2024-03-24T07:13:32]"/>
            <x15:cachedUniqueName index="761" name="[Table2].[Last Updated].&amp;[2024-03-24T07:13:43]"/>
            <x15:cachedUniqueName index="762" name="[Table2].[Last Updated].&amp;[2024-03-24T07:14:08]"/>
            <x15:cachedUniqueName index="763" name="[Table2].[Last Updated].&amp;[2024-03-24T07:15:03]"/>
            <x15:cachedUniqueName index="764" name="[Table2].[Last Updated].&amp;[2024-03-24T07:15:49]"/>
            <x15:cachedUniqueName index="765" name="[Table2].[Last Updated].&amp;[2024-03-24T07:16:10]"/>
            <x15:cachedUniqueName index="766" name="[Table2].[Last Updated].&amp;[2024-03-24T07:16:53]"/>
            <x15:cachedUniqueName index="767" name="[Table2].[Last Updated].&amp;[2024-03-24T07:21:08]"/>
            <x15:cachedUniqueName index="768" name="[Table2].[Last Updated].&amp;[2024-03-24T07:21:29]"/>
            <x15:cachedUniqueName index="769" name="[Table2].[Last Updated].&amp;[2024-03-24T07:22:11]"/>
            <x15:cachedUniqueName index="770" name="[Table2].[Last Updated].&amp;[2024-03-24T07:28:09]"/>
            <x15:cachedUniqueName index="771" name="[Table2].[Last Updated].&amp;[2024-03-24T07:32:37]"/>
            <x15:cachedUniqueName index="772" name="[Table2].[Last Updated].&amp;[2024-03-24T07:33:32]"/>
            <x15:cachedUniqueName index="773" name="[Table2].[Last Updated].&amp;[2024-03-24T07:35:03]"/>
            <x15:cachedUniqueName index="774" name="[Table2].[Last Updated].&amp;[2024-03-24T07:35:23]"/>
            <x15:cachedUniqueName index="775" name="[Table2].[Last Updated].&amp;[2024-03-24T07:41:02]"/>
            <x15:cachedUniqueName index="776" name="[Table2].[Last Updated].&amp;[2024-03-24T07:41:09]"/>
            <x15:cachedUniqueName index="777" name="[Table2].[Last Updated].&amp;[2024-03-24T07:43:03]"/>
            <x15:cachedUniqueName index="778" name="[Table2].[Last Updated].&amp;[2024-03-24T07:43:15]"/>
            <x15:cachedUniqueName index="779" name="[Table2].[Last Updated].&amp;[2024-03-24T07:51:28]"/>
            <x15:cachedUniqueName index="780" name="[Table2].[Last Updated].&amp;[2024-03-24T07:53:23]"/>
            <x15:cachedUniqueName index="781" name="[Table2].[Last Updated].&amp;[2024-03-24T07:53:38]"/>
            <x15:cachedUniqueName index="782" name="[Table2].[Last Updated].&amp;[2024-03-24T07:53:46]"/>
            <x15:cachedUniqueName index="783" name="[Table2].[Last Updated].&amp;[2024-03-24T07:53:50]"/>
            <x15:cachedUniqueName index="784" name="[Table2].[Last Updated].&amp;[2024-03-24T07:55:09]"/>
            <x15:cachedUniqueName index="785" name="[Table2].[Last Updated].&amp;[2024-03-24T07:55:27]"/>
            <x15:cachedUniqueName index="786" name="[Table2].[Last Updated].&amp;[2024-03-24T07:55:47]"/>
            <x15:cachedUniqueName index="787" name="[Table2].[Last Updated].&amp;[2024-03-24T07:55:54]"/>
            <x15:cachedUniqueName index="788" name="[Table2].[Last Updated].&amp;[2024-03-24T07:56:19]"/>
            <x15:cachedUniqueName index="789" name="[Table2].[Last Updated].&amp;[2024-03-24T07:56:25]"/>
            <x15:cachedUniqueName index="790" name="[Table2].[Last Updated].&amp;[2024-03-24T07:57:49]"/>
            <x15:cachedUniqueName index="791" name="[Table2].[Last Updated].&amp;[2024-03-24T07:58:01]"/>
            <x15:cachedUniqueName index="792" name="[Table2].[Last Updated].&amp;[2024-03-24T07:58:17]"/>
            <x15:cachedUniqueName index="793" name="[Table2].[Last Updated].&amp;[2024-03-24T07:58:46]"/>
            <x15:cachedUniqueName index="794" name="[Table2].[Last Updated].&amp;[2024-03-24T07:58:54]"/>
            <x15:cachedUniqueName index="795" name="[Table2].[Last Updated].&amp;[2024-03-24T07:59:03]"/>
            <x15:cachedUniqueName index="796" name="[Table2].[Last Updated].&amp;[2024-03-24T08:02:07]"/>
            <x15:cachedUniqueName index="797" name="[Table2].[Last Updated].&amp;[2024-03-24T08:08:36]"/>
            <x15:cachedUniqueName index="798" name="[Table2].[Last Updated].&amp;[2024-03-24T08:09:07]"/>
            <x15:cachedUniqueName index="799" name="[Table2].[Last Updated].&amp;[2024-03-24T08:09:10]"/>
            <x15:cachedUniqueName index="800" name="[Table2].[Last Updated].&amp;[2024-03-24T08:09:29]"/>
            <x15:cachedUniqueName index="801" name="[Table2].[Last Updated].&amp;[2024-03-24T08:09:37]"/>
            <x15:cachedUniqueName index="802" name="[Table2].[Last Updated].&amp;[2024-03-24T08:09:49]"/>
            <x15:cachedUniqueName index="803" name="[Table2].[Last Updated].&amp;[2024-03-24T08:14:07]"/>
            <x15:cachedUniqueName index="804" name="[Table2].[Last Updated].&amp;[2024-03-24T08:14:43]"/>
            <x15:cachedUniqueName index="805" name="[Table2].[Last Updated].&amp;[2024-03-24T08:14:55]"/>
            <x15:cachedUniqueName index="806" name="[Table2].[Last Updated].&amp;[2024-03-24T08:16:12]"/>
            <x15:cachedUniqueName index="807" name="[Table2].[Last Updated].&amp;[2024-03-24T08:16:13]"/>
            <x15:cachedUniqueName index="808" name="[Table2].[Last Updated].&amp;[2024-03-24T08:20:12]"/>
            <x15:cachedUniqueName index="809" name="[Table2].[Last Updated].&amp;[2024-03-24T08:20:39]"/>
            <x15:cachedUniqueName index="810" name="[Table2].[Last Updated].&amp;[2024-03-24T08:21:08]"/>
            <x15:cachedUniqueName index="811" name="[Table2].[Last Updated].&amp;[2024-03-24T08:24:47]"/>
            <x15:cachedUniqueName index="812" name="[Table2].[Last Updated].&amp;[2024-03-24T08:25:48]"/>
            <x15:cachedUniqueName index="813" name="[Table2].[Last Updated].&amp;[2024-03-24T08:29:02]"/>
            <x15:cachedUniqueName index="814" name="[Table2].[Last Updated].&amp;[2024-03-24T08:30:22]"/>
            <x15:cachedUniqueName index="815" name="[Table2].[Last Updated].&amp;[2024-03-24T08:32:16]"/>
            <x15:cachedUniqueName index="816" name="[Table2].[Last Updated].&amp;[2024-03-24T08:32:51]"/>
            <x15:cachedUniqueName index="817" name="[Table2].[Last Updated].&amp;[2024-03-24T08:33:10]"/>
            <x15:cachedUniqueName index="818" name="[Table2].[Last Updated].&amp;[2024-03-24T08:34:05]"/>
            <x15:cachedUniqueName index="819" name="[Table2].[Last Updated].&amp;[2024-03-24T08:35:47]"/>
            <x15:cachedUniqueName index="820" name="[Table2].[Last Updated].&amp;[2024-03-24T08:44:02]"/>
            <x15:cachedUniqueName index="821" name="[Table2].[Last Updated].&amp;[2024-03-24T08:44:38]"/>
            <x15:cachedUniqueName index="822" name="[Table2].[Last Updated].&amp;[2024-03-24T08:44:53]"/>
            <x15:cachedUniqueName index="823" name="[Table2].[Last Updated].&amp;[2024-03-24T08:44:55]"/>
            <x15:cachedUniqueName index="824" name="[Table2].[Last Updated].&amp;[2024-03-24T08:44:57]"/>
            <x15:cachedUniqueName index="825" name="[Table2].[Last Updated].&amp;[2024-03-24T08:45:15]"/>
            <x15:cachedUniqueName index="826" name="[Table2].[Last Updated].&amp;[2024-03-24T08:47:04]"/>
            <x15:cachedUniqueName index="827" name="[Table2].[Last Updated].&amp;[2024-03-24T08:49:02]"/>
            <x15:cachedUniqueName index="828" name="[Table2].[Last Updated].&amp;[2024-03-24T08:49:52]"/>
            <x15:cachedUniqueName index="829" name="[Table2].[Last Updated].&amp;[2024-03-24T08:50:11]"/>
            <x15:cachedUniqueName index="830" name="[Table2].[Last Updated].&amp;[2024-03-24T08:50:32]"/>
            <x15:cachedUniqueName index="831" name="[Table2].[Last Updated].&amp;[2024-03-24T08:50:35]"/>
            <x15:cachedUniqueName index="832" name="[Table2].[Last Updated].&amp;[2024-03-24T08:50:39]"/>
            <x15:cachedUniqueName index="833" name="[Table2].[Last Updated].&amp;[2024-03-24T08:52:14]"/>
            <x15:cachedUniqueName index="834" name="[Table2].[Last Updated].&amp;[2024-03-24T08:53:14]"/>
            <x15:cachedUniqueName index="835" name="[Table2].[Last Updated].&amp;[2024-03-24T08:54:56]"/>
            <x15:cachedUniqueName index="836" name="[Table2].[Last Updated].&amp;[2024-03-24T08:56:44]"/>
            <x15:cachedUniqueName index="837" name="[Table2].[Last Updated].&amp;[2024-03-24T08:56:45]"/>
            <x15:cachedUniqueName index="838" name="[Table2].[Last Updated].&amp;[2024-03-24T08:57:22]"/>
            <x15:cachedUniqueName index="839" name="[Table2].[Last Updated].&amp;[2024-03-24T09:02:39]"/>
            <x15:cachedUniqueName index="840" name="[Table2].[Last Updated].&amp;[2024-03-24T09:06:07]"/>
            <x15:cachedUniqueName index="841" name="[Table2].[Last Updated].&amp;[2024-03-24T09:08:14]"/>
            <x15:cachedUniqueName index="842" name="[Table2].[Last Updated].&amp;[2024-03-24T09:08:17]"/>
            <x15:cachedUniqueName index="843" name="[Table2].[Last Updated].&amp;[2024-03-24T09:10:18]"/>
            <x15:cachedUniqueName index="844" name="[Table2].[Last Updated].&amp;[2024-03-24T09:12:14]"/>
            <x15:cachedUniqueName index="845" name="[Table2].[Last Updated].&amp;[2024-03-24T09:17:35]"/>
            <x15:cachedUniqueName index="846" name="[Table2].[Last Updated].&amp;[2024-03-24T09:20:14]"/>
            <x15:cachedUniqueName index="847" name="[Table2].[Last Updated].&amp;[2024-03-24T09:22:09]"/>
            <x15:cachedUniqueName index="848" name="[Table2].[Last Updated].&amp;[2024-03-24T09:22:44]"/>
            <x15:cachedUniqueName index="849" name="[Table2].[Last Updated].&amp;[2024-03-24T09:23:11]"/>
            <x15:cachedUniqueName index="850" name="[Table2].[Last Updated].&amp;[2024-03-24T09:26:23]"/>
            <x15:cachedUniqueName index="851" name="[Table2].[Last Updated].&amp;[2024-03-24T09:27:04]"/>
            <x15:cachedUniqueName index="852" name="[Table2].[Last Updated].&amp;[2024-03-24T09:32:11]"/>
            <x15:cachedUniqueName index="853" name="[Table2].[Last Updated].&amp;[2024-03-24T09:35:06]"/>
            <x15:cachedUniqueName index="854" name="[Table2].[Last Updated].&amp;[2024-03-24T09:36:50]"/>
            <x15:cachedUniqueName index="855" name="[Table2].[Last Updated].&amp;[2024-03-24T09:36:53]"/>
            <x15:cachedUniqueName index="856" name="[Table2].[Last Updated].&amp;[2024-03-24T09:36:54]"/>
            <x15:cachedUniqueName index="857" name="[Table2].[Last Updated].&amp;[2024-03-24T09:37:13]"/>
            <x15:cachedUniqueName index="858" name="[Table2].[Last Updated].&amp;[2024-03-24T09:42:05]"/>
            <x15:cachedUniqueName index="859" name="[Table2].[Last Updated].&amp;[2024-03-24T09:46:46]"/>
            <x15:cachedUniqueName index="860" name="[Table2].[Last Updated].&amp;[2024-03-24T09:46:54]"/>
            <x15:cachedUniqueName index="861" name="[Table2].[Last Updated].&amp;[2024-03-24T09:50:28]"/>
            <x15:cachedUniqueName index="862" name="[Table2].[Last Updated].&amp;[2024-03-24T09:52:03]"/>
            <x15:cachedUniqueName index="863" name="[Table2].[Last Updated].&amp;[2024-03-24T09:54:04]"/>
            <x15:cachedUniqueName index="864" name="[Table2].[Last Updated].&amp;[2024-03-24T09:56:02]"/>
            <x15:cachedUniqueName index="865" name="[Table2].[Last Updated].&amp;[2024-03-24T09:56:14]"/>
            <x15:cachedUniqueName index="866" name="[Table2].[Last Updated].&amp;[2024-03-24T09:57:09]"/>
            <x15:cachedUniqueName index="867" name="[Table2].[Last Updated].&amp;[2024-03-24T09:58:09]"/>
            <x15:cachedUniqueName index="868" name="[Table2].[Last Updated].&amp;[2024-03-24T10:00:08]"/>
            <x15:cachedUniqueName index="869" name="[Table2].[Last Updated].&amp;[2024-03-24T10:01:25]"/>
            <x15:cachedUniqueName index="870" name="[Table2].[Last Updated].&amp;[2024-03-24T10:03:02]"/>
            <x15:cachedUniqueName index="871" name="[Table2].[Last Updated].&amp;[2024-03-24T10:03:04]"/>
            <x15:cachedUniqueName index="872" name="[Table2].[Last Updated].&amp;[2024-03-24T10:07:16]"/>
            <x15:cachedUniqueName index="873" name="[Table2].[Last Updated].&amp;[2024-03-24T10:10:30]"/>
            <x15:cachedUniqueName index="874" name="[Table2].[Last Updated].&amp;[2024-03-24T10:12:08]"/>
            <x15:cachedUniqueName index="875" name="[Table2].[Last Updated].&amp;[2024-03-24T10:13:10]"/>
            <x15:cachedUniqueName index="876" name="[Table2].[Last Updated].&amp;[2024-03-24T10:13:17]"/>
            <x15:cachedUniqueName index="877" name="[Table2].[Last Updated].&amp;[2024-03-24T10:16:08]"/>
            <x15:cachedUniqueName index="878" name="[Table2].[Last Updated].&amp;[2024-03-24T10:17:45]"/>
            <x15:cachedUniqueName index="879" name="[Table2].[Last Updated].&amp;[2024-03-24T10:18:05]"/>
            <x15:cachedUniqueName index="880" name="[Table2].[Last Updated].&amp;[2024-03-24T10:18:06]"/>
            <x15:cachedUniqueName index="881" name="[Table2].[Last Updated].&amp;[2024-03-24T10:18:07]"/>
            <x15:cachedUniqueName index="882" name="[Table2].[Last Updated].&amp;[2024-03-24T10:18:08]"/>
            <x15:cachedUniqueName index="883" name="[Table2].[Last Updated].&amp;[2024-03-24T10:20:09]"/>
            <x15:cachedUniqueName index="884" name="[Table2].[Last Updated].&amp;[2024-03-24T10:21:08]"/>
            <x15:cachedUniqueName index="885" name="[Table2].[Last Updated].&amp;[2024-03-24T10:21:12]"/>
            <x15:cachedUniqueName index="886" name="[Table2].[Last Updated].&amp;[2024-03-24T10:21:23]"/>
            <x15:cachedUniqueName index="887" name="[Table2].[Last Updated].&amp;[2024-03-24T10:22:34]"/>
            <x15:cachedUniqueName index="888" name="[Table2].[Last Updated].&amp;[2024-03-24T10:25:34]"/>
            <x15:cachedUniqueName index="889" name="[Table2].[Last Updated].&amp;[2024-03-24T10:26:59]"/>
            <x15:cachedUniqueName index="890" name="[Table2].[Last Updated].&amp;[2024-03-24T10:27:08]"/>
            <x15:cachedUniqueName index="892" name="[Table2].[Last Updated].&amp;[2024-04-01T21:47:48]"/>
            <x15:cachedUniqueName index="893" name="[Table2].[Last Updated].&amp;[2024-04-02T11:24:36]"/>
            <x15:cachedUniqueName index="894" name="[Table2].[Last Updated].&amp;[2024-04-05T00:52:00]"/>
            <x15:cachedUniqueName index="895" name="[Table2].[Last Updated].&amp;[2024-04-05T00:53:07]"/>
            <x15:cachedUniqueName index="896" name="[Table2].[Last Updated].&amp;[2024-04-08T05:02:35]"/>
            <x15:cachedUniqueName index="897" name="[Table2].[Last Updated].&amp;[2024-04-09T05:59:11]"/>
            <x15:cachedUniqueName index="898" name="[Table2].[Last Updated].&amp;[2024-04-11T04:33:41]"/>
            <x15:cachedUniqueName index="899" name="[Table2].[Last Updated].&amp;[2024-04-12T07:43:55]"/>
            <x15:cachedUniqueName index="900" name="[Table2].[Last Updated].&amp;[2024-04-12T08:49:37]"/>
            <x15:cachedUniqueName index="901" name="[Table2].[Last Updated].&amp;[2024-04-12T09:33:58]"/>
            <x15:cachedUniqueName index="902" name="[Table2].[Last Updated].&amp;[2024-04-12T11:01:52]"/>
            <x15:cachedUniqueName index="903" name="[Table2].[Last Updated].&amp;[2024-04-12T14:07:41]"/>
            <x15:cachedUniqueName index="904" name="[Table2].[Last Updated].&amp;[2024-04-12T15:57:06]"/>
            <x15:cachedUniqueName index="905" name="[Table2].[Last Updated].&amp;[2024-04-12T21:26:05]"/>
            <x15:cachedUniqueName index="906" name="[Table2].[Last Updated].&amp;[2024-04-14T16:22:25]"/>
            <x15:cachedUniqueName index="907" name="[Table2].[Last Updated].&amp;[2024-04-15T10:18:57]"/>
            <x15:cachedUniqueName index="908" name="[Table2].[Last Updated].&amp;[2024-04-16T13:49:22]"/>
            <x15:cachedUniqueName index="909" name="[Table2].[Last Updated].&amp;[2024-04-17T23:41:54]"/>
            <x15:cachedUniqueName index="910" name="[Table2].[Last Updated].&amp;[2024-04-21T19:30:34]"/>
            <x15:cachedUniqueName index="911" name="[Table2].[Last Updated].&amp;[2024-04-21T21:21:42]"/>
            <x15:cachedUniqueName index="912" name="[Table2].[Last Updated].&amp;[2024-04-21T23:06:38]"/>
            <x15:cachedUniqueName index="913" name="[Table2].[Last Updated].&amp;[2024-04-22T05:34:36]"/>
            <x15:cachedUniqueName index="914" name="[Table2].[Last Updated].&amp;[2024-04-23T03:57:22]"/>
            <x15:cachedUniqueName index="915" name="[Table2].[Last Updated].&amp;[2024-04-23T04:55:18]"/>
            <x15:cachedUniqueName index="916" name="[Table2].[Last Updated].&amp;[2024-04-23T19:35:29]"/>
            <x15:cachedUniqueName index="917" name="[Table2].[Last Updated].&amp;[2024-04-23T20:25:43]"/>
            <x15:cachedUniqueName index="918" name="[Table2].[Last Updated].&amp;[2024-04-24T15:40:00]"/>
            <x15:cachedUniqueName index="919" name="[Table2].[Last Updated].&amp;[2024-04-24T22:58:09]"/>
            <x15:cachedUniqueName index="920" name="[Table2].[Last Updated].&amp;[2024-04-26T08:32:12]"/>
            <x15:cachedUniqueName index="921" name="[Table2].[Last Updated].&amp;[2024-04-26T10:06:31]"/>
            <x15:cachedUniqueName index="922" name="[Table2].[Last Updated].&amp;[2024-04-26T20:26:52]"/>
            <x15:cachedUniqueName index="923" name="[Table2].[Last Updated].&amp;[2024-04-28T09:27:00]"/>
            <x15:cachedUniqueName index="924" name="[Table2].[Last Updated].&amp;[2024-04-28T20:19:23]"/>
            <x15:cachedUniqueName index="925" name="[Table2].[Last Updated].&amp;[2024-04-29T17:51:10]"/>
            <x15:cachedUniqueName index="926" name="[Table2].[Last Updated].&amp;[2024-04-29T18:02:01]"/>
            <x15:cachedUniqueName index="927" name="[Table2].[Last Updated].&amp;[2024-04-29T18:20:43]"/>
            <x15:cachedUniqueName index="928" name="[Table2].[Last Updated].&amp;[2024-04-29T19:07:25]"/>
            <x15:cachedUniqueName index="929" name="[Table2].[Last Updated].&amp;[2024-04-30T06:45:20]"/>
            <x15:cachedUniqueName index="930" name="[Table2].[Last Updated].&amp;[2024-04-30T08:56:26]"/>
            <x15:cachedUniqueName index="931" name="[Table2].[Last Updated].&amp;[2024-04-30T11:41:49]"/>
            <x15:cachedUniqueName index="932" name="[Table2].[Last Updated].&amp;[2024-04-30T19:09:09]"/>
            <x15:cachedUniqueName index="933" name="[Table2].[Last Updated].&amp;[2024-04-30T20:11:27]"/>
          </x15:cachedUniqueNames>
        </ext>
      </extLst>
    </cacheField>
    <cacheField name="[Table2].[Last Updated (Month)].[Last Updated (Month)]" caption="Last Updated (Month)" numFmtId="0" hierarchy="27" level="1">
      <sharedItems count="7">
        <s v="Oct"/>
        <s v="Nov"/>
        <s v="Sep"/>
        <s v="Jan"/>
        <s v="Feb"/>
        <s v="Mar"/>
        <s v="Apr"/>
      </sharedItems>
    </cacheField>
    <cacheField name="[Table2].[Last Updated (Year)].[Last Updated (Year)]" caption="Last Updated (Year)" numFmtId="0" hierarchy="25" level="1">
      <sharedItems count="3">
        <s v="2024"/>
        <s v="2022"/>
        <s v="2023"/>
      </sharedItems>
    </cacheField>
    <cacheField name="[Measures].[Sum of Revenue]" caption="Sum of Revenue" numFmtId="0" hierarchy="36" level="32767"/>
    <cacheField name="[Table2].[Brand Name].[Brand Name]" caption="Brand Name" numFmtId="0" hierarchy="14" level="1">
      <sharedItems count="46">
        <s v="Abercrombie &amp; Fitch"/>
        <s v="Al Wataniah"/>
        <s v="Armaf"/>
        <s v="As Picture Show"/>
        <s v="As Shown"/>
        <s v="Avon"/>
        <s v="Bath &amp; BodUnknown Works"/>
        <s v="BUnknown Al Hambra"/>
        <s v="Calvin Klein"/>
        <s v="Carolina Herrera"/>
        <s v="Chanel"/>
        <s v="Claude Marsal"/>
        <s v="Creed"/>
        <s v="Dana"/>
        <s v="Diesel"/>
        <s v="Dior"/>
        <s v="Dolce &amp; Gabbana"/>
        <s v="Dolce&amp;Gabbana"/>
        <s v="Dossier"/>
        <s v="Eau de Cologne"/>
        <s v="Ed HardUnknown"/>
        <s v="Estee Lauder"/>
        <s v="Fc"/>
        <s v="Fragrance Couture"/>
        <s v="Giorgio Armani"/>
        <s v="Guerlain"/>
        <s v="Have A Scent"/>
        <s v="Hermès"/>
        <s v="Hugo Boss"/>
        <s v="Jil Sander"/>
        <s v="Lalique"/>
        <s v="Lapidus"/>
        <s v="Louis Vuitton"/>
        <s v="Macarena"/>
        <s v="Maison Martin Margiela"/>
        <s v="Mancera"/>
        <s v="Mandarin Duck"/>
        <s v="Paco Rabanne"/>
        <s v="Polo Ralph Lauren"/>
        <s v="Prada"/>
        <s v="Ralph Lauren"/>
        <s v="Secertmu"/>
        <s v="The Baron"/>
        <s v="Unbranded"/>
        <s v="Unknownsl"/>
        <s v="Unknownves Saint Laurent"/>
      </sharedItems>
    </cacheField>
    <cacheField name="[Table2].[Last Updated (Quarter)].[Last Updated (Quarter)]" caption="Last Updated (Quarter)" numFmtId="0" hierarchy="26" level="1">
      <sharedItems containsSemiMixedTypes="0" containsNonDate="0" containsString="0"/>
    </cacheField>
    <cacheField name="[Table2].[Country].[Country]" caption="Country" numFmtId="0" hierarchy="24" level="1">
      <sharedItems count="7">
        <s v="Hong Kong"/>
        <s v="United States"/>
        <s v="Canada" u="1"/>
        <s v="India" u="1"/>
        <s v="Taiwan" u="1"/>
        <s v="China" u="1"/>
        <s v="HongKong" u="1"/>
      </sharedItems>
    </cacheField>
  </cacheFields>
  <cacheHierarchies count="40">
    <cacheHierarchy uniqueName="[Parfum].[Parfum ID]" caption="Parfum ID" attribute="1" defaultMemberUniqueName="[Parfum].[Parfum ID].[All]" allUniqueName="[Parfum].[Parfum ID].[All]" dimensionUniqueName="[Parfum]" displayFolder="" count="0" memberValueDatatype="130" unbalanced="0"/>
    <cacheHierarchy uniqueName="[Parfum].[Brand Name]" caption="Brand Name" attribute="1" defaultMemberUniqueName="[Parfum].[Brand Name].[All]" allUniqueName="[Parfum].[Brand Name].[All]" dimensionUniqueName="[Parfum]" displayFolder="" count="0" memberValueDatatype="130" unbalanced="0"/>
    <cacheHierarchy uniqueName="[Parfum].[Category]" caption="Category" attribute="1" defaultMemberUniqueName="[Parfum].[Category].[All]" allUniqueName="[Parfum].[Category].[All]" dimensionUniqueName="[Parfum]" displayFolder="" count="0" memberValueDatatype="130" unbalanced="0"/>
    <cacheHierarchy uniqueName="[Parfum].[Type]" caption="Type" attribute="1" defaultMemberUniqueName="[Parfum].[Type].[All]" allUniqueName="[Parfum].[Type].[All]" dimensionUniqueName="[Parfum]" displayFolder="" count="0" memberValueDatatype="130" unbalanced="0"/>
    <cacheHierarchy uniqueName="[Sales].[Transaction ID]" caption="Transaction ID" attribute="1" defaultMemberUniqueName="[Sales].[Transaction ID].[All]" allUniqueName="[Sales].[Transaction ID].[All]" dimensionUniqueName="[Sales]" displayFolder="" count="0" memberValueDatatype="130" unbalanced="0"/>
    <cacheHierarchy uniqueName="[Sales].[Parfum ID]" caption="Parfum ID" attribute="1" defaultMemberUniqueName="[Sales].[Parfum ID].[All]" allUniqueName="[Sales].[Parfum ID].[All]" dimensionUniqueName="[Sales]" displayFolder="" count="0" memberValueDatatype="130" unbalanced="0"/>
    <cacheHierarchy uniqueName="[Sales].[Sold price]" caption="Sold price" attribute="1" defaultMemberUniqueName="[Sales].[Sold price].[All]" allUniqueName="[Sales].[Sold price].[All]" dimensionUniqueName="[Sales]" displayFolder="" count="0" memberValueDatatype="20" unbalanced="0"/>
    <cacheHierarchy uniqueName="[Sales].[Updated time]" caption="Updated time" attribute="1" time="1" defaultMemberUniqueName="[Sales].[Updated time].[All]" allUniqueName="[Sales].[Updated time].[All]" dimensionUniqueName="[Sales]" displayFolder="" count="0" memberValueDatatype="7" unbalanced="0"/>
    <cacheHierarchy uniqueName="[Sales].[Availability]" caption="Availability" attribute="1" defaultMemberUniqueName="[Sales].[Availability].[All]" allUniqueName="[Sales].[Availability].[All]" dimensionUniqueName="[Sales]" displayFolder="" count="0" memberValueDatatype="20" unbalanced="0"/>
    <cacheHierarchy uniqueName="[Table1].[Timeline]" caption="Timeline" attribute="1" time="1" defaultMemberUniqueName="[Table1].[Timeline].[All]" allUniqueName="[Table1].[Timeline].[All]" dimensionUniqueName="[Table1]" displayFolder="" count="0" memberValueDatatype="7" unbalanced="0"/>
    <cacheHierarchy uniqueName="[Table1].[Values]" caption="Values" attribute="1" time="1" defaultMemberUniqueName="[Table1].[Values].[All]" allUniqueName="[Table1].[Values].[All]" dimensionUniqueName="[Table1]" displayFolder="" count="0" memberValueDatatype="7" unbalanced="0"/>
    <cacheHierarchy uniqueName="[Table1].[Forecast]" caption="Forecast" attribute="1" time="1" defaultMemberUniqueName="[Table1].[Forecast].[All]" allUniqueName="[Table1].[Forecast].[All]" dimensionUniqueName="[Table1]" displayFolder="" count="0" memberValueDatatype="7" unbalanced="0"/>
    <cacheHierarchy uniqueName="[Table1].[Lower Confidence Bound]" caption="Lower Confidence Bound" attribute="1" time="1" defaultMemberUniqueName="[Table1].[Lower Confidence Bound].[All]" allUniqueName="[Table1].[Lower Confidence Bound].[All]" dimensionUniqueName="[Table1]" displayFolder="" count="0" memberValueDatatype="7" unbalanced="0"/>
    <cacheHierarchy uniqueName="[Table1].[Upper Confidence Bound]" caption="Upper Confidence Bound" attribute="1" time="1" defaultMemberUniqueName="[Table1].[Upper Confidence Bound].[All]" allUniqueName="[Table1].[Upper Confidence Bound].[All]" dimensionUniqueName="[Table1]" displayFolder="" count="0" memberValueDatatype="7" unbalanced="0"/>
    <cacheHierarchy uniqueName="[Table2].[Brand Name]" caption="Brand Name" attribute="1" defaultMemberUniqueName="[Table2].[Brand Name].[All]" allUniqueName="[Table2].[Brand Name].[All]" dimensionUniqueName="[Table2]" displayFolder="" count="2" memberValueDatatype="130" unbalanced="0">
      <fieldsUsage count="2">
        <fieldUsage x="-1"/>
        <fieldUsage x="4"/>
      </fieldsUsage>
    </cacheHierarchy>
    <cacheHierarchy uniqueName="[Table2].[Type]" caption="Type" attribute="1" defaultMemberUniqueName="[Table2].[Type].[All]" allUniqueName="[Table2].[Type].[All]" dimensionUniqueName="[Table2]" displayFolder="" count="0" memberValueDatatype="130" unbalanced="0"/>
    <cacheHierarchy uniqueName="[Table2].[Price with Currency]" caption="Price with Currency" attribute="1" defaultMemberUniqueName="[Table2].[Price with Currency].[All]" allUniqueName="[Table2].[Price with Currency].[All]" dimensionUniqueName="[Table2]" displayFolder="" count="0" memberValueDatatype="5" unbalanced="0"/>
    <cacheHierarchy uniqueName="[Table2].[Available Stock]" caption="Available Stock" attribute="1" defaultMemberUniqueName="[Table2].[Available Stock].[All]" allUniqueName="[Table2].[Available Stock].[All]" dimensionUniqueName="[Table2]" displayFolder="" count="0" memberValueDatatype="20" unbalanced="0"/>
    <cacheHierarchy uniqueName="[Table2].[Sold]" caption="Sold" attribute="1" defaultMemberUniqueName="[Table2].[Sold].[All]" allUniqueName="[Table2].[Sold].[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Parfum Quality]" caption="Parfum Quality" attribute="1" defaultMemberUniqueName="[Table2].[Parfum Quality].[All]" allUniqueName="[Table2].[Parfum Quality].[All]" dimensionUniqueName="[Table2]" displayFolder="" count="0" memberValueDatatype="130" unbalanced="0"/>
    <cacheHierarchy uniqueName="[Table2].[Last Updated]" caption="Last Updated" attribute="1" time="1" defaultMemberUniqueName="[Table2].[Last Updated].[All]" allUniqueName="[Table2].[Last Updated].[All]" dimensionUniqueName="[Table2]" displayFolder="" count="2" memberValueDatatype="7" unbalanced="0">
      <fieldsUsage count="2">
        <fieldUsage x="-1"/>
        <fieldUsage x="0"/>
      </fieldsUsage>
    </cacheHierarchy>
    <cacheHierarchy uniqueName="[Table2].[Item Location]" caption="Item Location" attribute="1" defaultMemberUniqueName="[Table2].[Item Location].[All]" allUniqueName="[Table2].[Item Location].[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ountry]" caption="Country" attribute="1" defaultMemberUniqueName="[Table2].[Country].[All]" allUniqueName="[Table2].[Country].[All]" dimensionUniqueName="[Table2]" displayFolder="" count="2" memberValueDatatype="130" unbalanced="0">
      <fieldsUsage count="2">
        <fieldUsage x="-1"/>
        <fieldUsage x="6"/>
      </fieldsUsage>
    </cacheHierarchy>
    <cacheHierarchy uniqueName="[Table2].[Last Updated (Year)]" caption="Last Updated (Year)" attribute="1" defaultMemberUniqueName="[Table2].[Last Updated (Year)].[All]" allUniqueName="[Table2].[Last Updated (Year)].[All]" dimensionUniqueName="[Table2]" displayFolder="" count="2" memberValueDatatype="130" unbalanced="0">
      <fieldsUsage count="2">
        <fieldUsage x="-1"/>
        <fieldUsage x="2"/>
      </fieldsUsage>
    </cacheHierarchy>
    <cacheHierarchy uniqueName="[Table2].[Last Updated (Quarter)]" caption="Last Updated (Quarter)" attribute="1" defaultMemberUniqueName="[Table2].[Last Updated (Quarter)].[All]" allUniqueName="[Table2].[Last Updated (Quarter)].[All]" dimensionUniqueName="[Table2]" displayFolder="" count="2" memberValueDatatype="130" unbalanced="0">
      <fieldsUsage count="2">
        <fieldUsage x="-1"/>
        <fieldUsage x="5"/>
      </fieldsUsage>
    </cacheHierarchy>
    <cacheHierarchy uniqueName="[Table2].[Last Updated (Month)]" caption="Last Updated (Month)" attribute="1" defaultMemberUniqueName="[Table2].[Last Updated (Month)].[All]" allUniqueName="[Table2].[Last Updated (Month)].[All]" dimensionUniqueName="[Table2]" displayFolder="" count="2" memberValueDatatype="130" unbalanced="0">
      <fieldsUsage count="2">
        <fieldUsage x="-1"/>
        <fieldUsage x="1"/>
      </fieldsUsage>
    </cacheHierarchy>
    <cacheHierarchy uniqueName="[Table2].[Last Updated (Month Index)]" caption="Last Updated (Month Index)" attribute="1" defaultMemberUniqueName="[Table2].[Last Updated (Month Index)].[All]" allUniqueName="[Table2].[Last Updated (Month Index)].[All]" dimensionUniqueName="[Table2]" displayFolder="" count="0" memberValueDatatype="20" unbalanced="0" hidden="1"/>
    <cacheHierarchy uniqueName="[Measures].[__XL_Count Sales]" caption="__XL_Count Sales" measure="1" displayFolder="" measureGroup="Sales" count="0" hidden="1"/>
    <cacheHierarchy uniqueName="[Measures].[__XL_Count Parfum]" caption="__XL_Count Parfum" measure="1" displayFolder="" measureGroup="Parfum"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old]" caption="Sum of Sold" measure="1" displayFolder="" measureGroup="Table2" count="0" hidden="1">
      <extLst>
        <ext xmlns:x15="http://schemas.microsoft.com/office/spreadsheetml/2010/11/main" uri="{B97F6D7D-B522-45F9-BDA1-12C45D357490}">
          <x15:cacheHierarchy aggregatedColumn="18"/>
        </ext>
      </extLst>
    </cacheHierarchy>
    <cacheHierarchy uniqueName="[Measures].[Average of Sold]" caption="Average of Sold" measure="1" displayFolder="" measureGroup="Table2"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Table2"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Available Stock]" caption="Sum of Available Stock" measure="1" displayFolder="" measureGroup="Table2" count="0" hidden="1">
      <extLst>
        <ext xmlns:x15="http://schemas.microsoft.com/office/spreadsheetml/2010/11/main" uri="{B97F6D7D-B522-45F9-BDA1-12C45D357490}">
          <x15:cacheHierarchy aggregatedColumn="17"/>
        </ext>
      </extLst>
    </cacheHierarchy>
    <cacheHierarchy uniqueName="[Measures].[Max of Revenue]" caption="Max of Revenue" measure="1" displayFolder="" measureGroup="Table2"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Parfum" uniqueName="[Parfum]" caption="Parfum"/>
    <dimension name="Sales" uniqueName="[Sales]" caption="Sales"/>
    <dimension name="Table1" uniqueName="[Table1]" caption="Table1"/>
    <dimension name="Table2" uniqueName="[Table2]" caption="Table2"/>
  </dimensions>
  <measureGroups count="4">
    <measureGroup name="Parfum" caption="Parfum"/>
    <measureGroup name="Sales" caption="Sales"/>
    <measureGroup name="Table1" caption="Table1"/>
    <measureGroup name="Table2" caption="Table2"/>
  </measureGroups>
  <maps count="5">
    <map measureGroup="0" dimension="1"/>
    <map measureGroup="1"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B" refreshedDate="45980.917929745374" backgroundQuery="1" createdVersion="3" refreshedVersion="8" minRefreshableVersion="3" recordCount="0" supportSubquery="1" supportAdvancedDrill="1" xr:uid="{0EB5CE11-E4A5-40EE-ACC3-957CBFD5639A}">
  <cacheSource type="external" connectionId="5">
    <extLst>
      <ext xmlns:x14="http://schemas.microsoft.com/office/spreadsheetml/2009/9/main" uri="{F057638F-6D5F-4e77-A914-E7F072B9BCA8}">
        <x14:sourceConnection name="ThisWorkbookDataModel"/>
      </ext>
    </extLst>
  </cacheSource>
  <cacheFields count="0"/>
  <cacheHierarchies count="40">
    <cacheHierarchy uniqueName="[Parfum].[Parfum ID]" caption="Parfum ID" attribute="1" defaultMemberUniqueName="[Parfum].[Parfum ID].[All]" allUniqueName="[Parfum].[Parfum ID].[All]" dimensionUniqueName="[Parfum]" displayFolder="" count="0" memberValueDatatype="130" unbalanced="0"/>
    <cacheHierarchy uniqueName="[Parfum].[Brand Name]" caption="Brand Name" attribute="1" defaultMemberUniqueName="[Parfum].[Brand Name].[All]" allUniqueName="[Parfum].[Brand Name].[All]" dimensionUniqueName="[Parfum]" displayFolder="" count="0" memberValueDatatype="130" unbalanced="0"/>
    <cacheHierarchy uniqueName="[Parfum].[Category]" caption="Category" attribute="1" defaultMemberUniqueName="[Parfum].[Category].[All]" allUniqueName="[Parfum].[Category].[All]" dimensionUniqueName="[Parfum]" displayFolder="" count="0" memberValueDatatype="130" unbalanced="0"/>
    <cacheHierarchy uniqueName="[Parfum].[Type]" caption="Type" attribute="1" defaultMemberUniqueName="[Parfum].[Type].[All]" allUniqueName="[Parfum].[Type].[All]" dimensionUniqueName="[Parfum]" displayFolder="" count="0" memberValueDatatype="130" unbalanced="0"/>
    <cacheHierarchy uniqueName="[Sales].[Transaction ID]" caption="Transaction ID" attribute="1" defaultMemberUniqueName="[Sales].[Transaction ID].[All]" allUniqueName="[Sales].[Transaction ID].[All]" dimensionUniqueName="[Sales]" displayFolder="" count="0" memberValueDatatype="130" unbalanced="0"/>
    <cacheHierarchy uniqueName="[Sales].[Parfum ID]" caption="Parfum ID" attribute="1" defaultMemberUniqueName="[Sales].[Parfum ID].[All]" allUniqueName="[Sales].[Parfum ID].[All]" dimensionUniqueName="[Sales]" displayFolder="" count="0" memberValueDatatype="130" unbalanced="0"/>
    <cacheHierarchy uniqueName="[Sales].[Sold price]" caption="Sold price" attribute="1" defaultMemberUniqueName="[Sales].[Sold price].[All]" allUniqueName="[Sales].[Sold price].[All]" dimensionUniqueName="[Sales]" displayFolder="" count="0" memberValueDatatype="20" unbalanced="0"/>
    <cacheHierarchy uniqueName="[Sales].[Updated time]" caption="Updated time" attribute="1" time="1" defaultMemberUniqueName="[Sales].[Updated time].[All]" allUniqueName="[Sales].[Updated time].[All]" dimensionUniqueName="[Sales]" displayFolder="" count="0" memberValueDatatype="7" unbalanced="0"/>
    <cacheHierarchy uniqueName="[Sales].[Availability]" caption="Availability" attribute="1" defaultMemberUniqueName="[Sales].[Availability].[All]" allUniqueName="[Sales].[Availability].[All]" dimensionUniqueName="[Sales]" displayFolder="" count="0" memberValueDatatype="20" unbalanced="0"/>
    <cacheHierarchy uniqueName="[Table1].[Timeline]" caption="Timeline" attribute="1" time="1" defaultMemberUniqueName="[Table1].[Timeline].[All]" allUniqueName="[Table1].[Timeline].[All]" dimensionUniqueName="[Table1]" displayFolder="" count="0" memberValueDatatype="7" unbalanced="0"/>
    <cacheHierarchy uniqueName="[Table1].[Values]" caption="Values" attribute="1" time="1" defaultMemberUniqueName="[Table1].[Values].[All]" allUniqueName="[Table1].[Values].[All]" dimensionUniqueName="[Table1]" displayFolder="" count="0" memberValueDatatype="7" unbalanced="0"/>
    <cacheHierarchy uniqueName="[Table1].[Forecast]" caption="Forecast" attribute="1" time="1" defaultMemberUniqueName="[Table1].[Forecast].[All]" allUniqueName="[Table1].[Forecast].[All]" dimensionUniqueName="[Table1]" displayFolder="" count="0" memberValueDatatype="7" unbalanced="0"/>
    <cacheHierarchy uniqueName="[Table1].[Lower Confidence Bound]" caption="Lower Confidence Bound" attribute="1" time="1" defaultMemberUniqueName="[Table1].[Lower Confidence Bound].[All]" allUniqueName="[Table1].[Lower Confidence Bound].[All]" dimensionUniqueName="[Table1]" displayFolder="" count="0" memberValueDatatype="7" unbalanced="0"/>
    <cacheHierarchy uniqueName="[Table1].[Upper Confidence Bound]" caption="Upper Confidence Bound" attribute="1" time="1" defaultMemberUniqueName="[Table1].[Upper Confidence Bound].[All]" allUniqueName="[Table1].[Upper Confidence Bound].[All]" dimensionUniqueName="[Table1]" displayFolder="" count="0" memberValueDatatype="7" unbalanced="0"/>
    <cacheHierarchy uniqueName="[Table2].[Brand Name]" caption="Brand Name" attribute="1" defaultMemberUniqueName="[Table2].[Brand Name].[All]" allUniqueName="[Table2].[Brand Name].[All]" dimensionUniqueName="[Table2]" displayFolder="" count="0" memberValueDatatype="130" unbalanced="0"/>
    <cacheHierarchy uniqueName="[Table2].[Type]" caption="Type" attribute="1" defaultMemberUniqueName="[Table2].[Type].[All]" allUniqueName="[Table2].[Type].[All]" dimensionUniqueName="[Table2]" displayFolder="" count="0" memberValueDatatype="130" unbalanced="0"/>
    <cacheHierarchy uniqueName="[Table2].[Price with Currency]" caption="Price with Currency" attribute="1" defaultMemberUniqueName="[Table2].[Price with Currency].[All]" allUniqueName="[Table2].[Price with Currency].[All]" dimensionUniqueName="[Table2]" displayFolder="" count="0" memberValueDatatype="5" unbalanced="0"/>
    <cacheHierarchy uniqueName="[Table2].[Available Stock]" caption="Available Stock" attribute="1" defaultMemberUniqueName="[Table2].[Available Stock].[All]" allUniqueName="[Table2].[Available Stock].[All]" dimensionUniqueName="[Table2]" displayFolder="" count="0" memberValueDatatype="20" unbalanced="0"/>
    <cacheHierarchy uniqueName="[Table2].[Sold]" caption="Sold" attribute="1" defaultMemberUniqueName="[Table2].[Sold].[All]" allUniqueName="[Table2].[Sold].[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Parfum Quality]" caption="Parfum Quality" attribute="1" defaultMemberUniqueName="[Table2].[Parfum Quality].[All]" allUniqueName="[Table2].[Parfum Quality].[All]" dimensionUniqueName="[Table2]" displayFolder="" count="0" memberValueDatatype="130" unbalanced="0"/>
    <cacheHierarchy uniqueName="[Table2].[Last Updated]" caption="Last Updated" attribute="1" time="1" defaultMemberUniqueName="[Table2].[Last Updated].[All]" allUniqueName="[Table2].[Last Updated].[All]" dimensionUniqueName="[Table2]" displayFolder="" count="0" memberValueDatatype="7" unbalanced="0"/>
    <cacheHierarchy uniqueName="[Table2].[Item Location]" caption="Item Location" attribute="1" defaultMemberUniqueName="[Table2].[Item Location].[All]" allUniqueName="[Table2].[Item Location].[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Last Updated (Year)]" caption="Last Updated (Year)" attribute="1" defaultMemberUniqueName="[Table2].[Last Updated (Year)].[All]" allUniqueName="[Table2].[Last Updated (Year)].[All]" dimensionUniqueName="[Table2]" displayFolder="" count="0" memberValueDatatype="130" unbalanced="0"/>
    <cacheHierarchy uniqueName="[Table2].[Last Updated (Quarter)]" caption="Last Updated (Quarter)" attribute="1" defaultMemberUniqueName="[Table2].[Last Updated (Quarter)].[All]" allUniqueName="[Table2].[Last Updated (Quarter)].[All]" dimensionUniqueName="[Table2]" displayFolder="" count="0" memberValueDatatype="130" unbalanced="0"/>
    <cacheHierarchy uniqueName="[Table2].[Last Updated (Month)]" caption="Last Updated (Month)" attribute="1" defaultMemberUniqueName="[Table2].[Last Updated (Month)].[All]" allUniqueName="[Table2].[Last Updated (Month)].[All]" dimensionUniqueName="[Table2]" displayFolder="" count="0" memberValueDatatype="130" unbalanced="0"/>
    <cacheHierarchy uniqueName="[Table2].[Last Updated (Month Index)]" caption="Last Updated (Month Index)" attribute="1" defaultMemberUniqueName="[Table2].[Last Updated (Month Index)].[All]" allUniqueName="[Table2].[Last Updated (Month Index)].[All]" dimensionUniqueName="[Table2]" displayFolder="" count="0" memberValueDatatype="20" unbalanced="0" hidden="1"/>
    <cacheHierarchy uniqueName="[Measures].[__XL_Count Sales]" caption="__XL_Count Sales" measure="1" displayFolder="" measureGroup="Sales" count="0" hidden="1"/>
    <cacheHierarchy uniqueName="[Measures].[__XL_Count Parfum]" caption="__XL_Count Parfum" measure="1" displayFolder="" measureGroup="Parfum"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old]" caption="Sum of Sold" measure="1" displayFolder="" measureGroup="Table2" count="0" hidden="1">
      <extLst>
        <ext xmlns:x15="http://schemas.microsoft.com/office/spreadsheetml/2010/11/main" uri="{B97F6D7D-B522-45F9-BDA1-12C45D357490}">
          <x15:cacheHierarchy aggregatedColumn="18"/>
        </ext>
      </extLst>
    </cacheHierarchy>
    <cacheHierarchy uniqueName="[Measures].[Average of Sold]" caption="Average of Sold" measure="1" displayFolder="" measureGroup="Table2"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19"/>
        </ext>
      </extLst>
    </cacheHierarchy>
    <cacheHierarchy uniqueName="[Measures].[Sum of Available Stock]" caption="Sum of Available Stock" measure="1" displayFolder="" measureGroup="Table2" count="0" hidden="1">
      <extLst>
        <ext xmlns:x15="http://schemas.microsoft.com/office/spreadsheetml/2010/11/main" uri="{B97F6D7D-B522-45F9-BDA1-12C45D357490}">
          <x15:cacheHierarchy aggregatedColumn="17"/>
        </ext>
      </extLst>
    </cacheHierarchy>
    <cacheHierarchy uniqueName="[Measures].[Max of Revenue]" caption="Max of Revenue" measure="1" displayFolder="" measureGroup="Table2"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Parfum" uniqueName="[Parfum]" caption="Parfum"/>
    <dimension name="Sales" uniqueName="[Sales]" caption="Sales"/>
    <dimension name="Table1" uniqueName="[Table1]" caption="Table1"/>
    <dimension name="Table2" uniqueName="[Table2]" caption="Table2"/>
  </dimensions>
  <measureGroups count="4">
    <measureGroup name="Parfum" caption="Parfum"/>
    <measureGroup name="Sales" caption="Sales"/>
    <measureGroup name="Table1" caption="Table1"/>
    <measureGroup name="Table2" caption="Table2"/>
  </measureGroups>
  <maps count="5">
    <map measureGroup="0" dimension="1"/>
    <map measureGroup="1" dimension="1"/>
    <map measureGroup="1" dimension="2"/>
    <map measureGroup="2" dimension="3"/>
    <map measureGroup="3" dimension="4"/>
  </maps>
  <extLst>
    <ext xmlns:x14="http://schemas.microsoft.com/office/spreadsheetml/2009/9/main" uri="{725AE2AE-9491-48be-B2B4-4EB974FC3084}">
      <x14:pivotCacheDefinition slicerData="1" pivotCacheId="1599352994"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B" refreshedDate="45980.917934837962" backgroundQuery="1" createdVersion="3" refreshedVersion="8" minRefreshableVersion="3" recordCount="0" supportSubquery="1" supportAdvancedDrill="1" xr:uid="{0401C7B2-7AD9-4F64-90EB-79D2750F8CE4}">
  <cacheSource type="external" connectionId="5">
    <extLst>
      <ext xmlns:x14="http://schemas.microsoft.com/office/spreadsheetml/2009/9/main" uri="{F057638F-6D5F-4e77-A914-E7F072B9BCA8}">
        <x14:sourceConnection name="ThisWorkbookDataModel"/>
      </ext>
    </extLst>
  </cacheSource>
  <cacheFields count="0"/>
  <cacheHierarchies count="40">
    <cacheHierarchy uniqueName="[Parfum].[Parfum ID]" caption="Parfum ID" attribute="1" defaultMemberUniqueName="[Parfum].[Parfum ID].[All]" allUniqueName="[Parfum].[Parfum ID].[All]" dimensionUniqueName="[Parfum]" displayFolder="" count="0" memberValueDatatype="130" unbalanced="0"/>
    <cacheHierarchy uniqueName="[Parfum].[Brand Name]" caption="Brand Name" attribute="1" defaultMemberUniqueName="[Parfum].[Brand Name].[All]" allUniqueName="[Parfum].[Brand Name].[All]" dimensionUniqueName="[Parfum]" displayFolder="" count="0" memberValueDatatype="130" unbalanced="0"/>
    <cacheHierarchy uniqueName="[Parfum].[Category]" caption="Category" attribute="1" defaultMemberUniqueName="[Parfum].[Category].[All]" allUniqueName="[Parfum].[Category].[All]" dimensionUniqueName="[Parfum]" displayFolder="" count="0" memberValueDatatype="130" unbalanced="0"/>
    <cacheHierarchy uniqueName="[Parfum].[Type]" caption="Type" attribute="1" defaultMemberUniqueName="[Parfum].[Type].[All]" allUniqueName="[Parfum].[Type].[All]" dimensionUniqueName="[Parfum]" displayFolder="" count="0" memberValueDatatype="130" unbalanced="0"/>
    <cacheHierarchy uniqueName="[Sales].[Transaction ID]" caption="Transaction ID" attribute="1" defaultMemberUniqueName="[Sales].[Transaction ID].[All]" allUniqueName="[Sales].[Transaction ID].[All]" dimensionUniqueName="[Sales]" displayFolder="" count="0" memberValueDatatype="130" unbalanced="0"/>
    <cacheHierarchy uniqueName="[Sales].[Parfum ID]" caption="Parfum ID" attribute="1" defaultMemberUniqueName="[Sales].[Parfum ID].[All]" allUniqueName="[Sales].[Parfum ID].[All]" dimensionUniqueName="[Sales]" displayFolder="" count="0" memberValueDatatype="130" unbalanced="0"/>
    <cacheHierarchy uniqueName="[Sales].[Sold price]" caption="Sold price" attribute="1" defaultMemberUniqueName="[Sales].[Sold price].[All]" allUniqueName="[Sales].[Sold price].[All]" dimensionUniqueName="[Sales]" displayFolder="" count="0" memberValueDatatype="20" unbalanced="0"/>
    <cacheHierarchy uniqueName="[Sales].[Updated time]" caption="Updated time" attribute="1" time="1" defaultMemberUniqueName="[Sales].[Updated time].[All]" allUniqueName="[Sales].[Updated time].[All]" dimensionUniqueName="[Sales]" displayFolder="" count="0" memberValueDatatype="7" unbalanced="0"/>
    <cacheHierarchy uniqueName="[Sales].[Availability]" caption="Availability" attribute="1" defaultMemberUniqueName="[Sales].[Availability].[All]" allUniqueName="[Sales].[Availability].[All]" dimensionUniqueName="[Sales]" displayFolder="" count="0" memberValueDatatype="20" unbalanced="0"/>
    <cacheHierarchy uniqueName="[Table1].[Timeline]" caption="Timeline" attribute="1" time="1" defaultMemberUniqueName="[Table1].[Timeline].[All]" allUniqueName="[Table1].[Timeline].[All]" dimensionUniqueName="[Table1]" displayFolder="" count="0" memberValueDatatype="7" unbalanced="0"/>
    <cacheHierarchy uniqueName="[Table1].[Values]" caption="Values" attribute="1" time="1" defaultMemberUniqueName="[Table1].[Values].[All]" allUniqueName="[Table1].[Values].[All]" dimensionUniqueName="[Table1]" displayFolder="" count="0" memberValueDatatype="7" unbalanced="0"/>
    <cacheHierarchy uniqueName="[Table1].[Forecast]" caption="Forecast" attribute="1" time="1" defaultMemberUniqueName="[Table1].[Forecast].[All]" allUniqueName="[Table1].[Forecast].[All]" dimensionUniqueName="[Table1]" displayFolder="" count="0" memberValueDatatype="7" unbalanced="0"/>
    <cacheHierarchy uniqueName="[Table1].[Lower Confidence Bound]" caption="Lower Confidence Bound" attribute="1" time="1" defaultMemberUniqueName="[Table1].[Lower Confidence Bound].[All]" allUniqueName="[Table1].[Lower Confidence Bound].[All]" dimensionUniqueName="[Table1]" displayFolder="" count="0" memberValueDatatype="7" unbalanced="0"/>
    <cacheHierarchy uniqueName="[Table1].[Upper Confidence Bound]" caption="Upper Confidence Bound" attribute="1" time="1" defaultMemberUniqueName="[Table1].[Upper Confidence Bound].[All]" allUniqueName="[Table1].[Upper Confidence Bound].[All]" dimensionUniqueName="[Table1]" displayFolder="" count="0" memberValueDatatype="7" unbalanced="0"/>
    <cacheHierarchy uniqueName="[Table2].[Brand Name]" caption="Brand Name" attribute="1" defaultMemberUniqueName="[Table2].[Brand Name].[All]" allUniqueName="[Table2].[Brand Name].[All]" dimensionUniqueName="[Table2]" displayFolder="" count="0" memberValueDatatype="130" unbalanced="0"/>
    <cacheHierarchy uniqueName="[Table2].[Type]" caption="Type" attribute="1" defaultMemberUniqueName="[Table2].[Type].[All]" allUniqueName="[Table2].[Type].[All]" dimensionUniqueName="[Table2]" displayFolder="" count="0" memberValueDatatype="130" unbalanced="0"/>
    <cacheHierarchy uniqueName="[Table2].[Price with Currency]" caption="Price with Currency" attribute="1" defaultMemberUniqueName="[Table2].[Price with Currency].[All]" allUniqueName="[Table2].[Price with Currency].[All]" dimensionUniqueName="[Table2]" displayFolder="" count="0" memberValueDatatype="5" unbalanced="0"/>
    <cacheHierarchy uniqueName="[Table2].[Available Stock]" caption="Available Stock" attribute="1" defaultMemberUniqueName="[Table2].[Available Stock].[All]" allUniqueName="[Table2].[Available Stock].[All]" dimensionUniqueName="[Table2]" displayFolder="" count="0" memberValueDatatype="20" unbalanced="0"/>
    <cacheHierarchy uniqueName="[Table2].[Sold]" caption="Sold" attribute="1" defaultMemberUniqueName="[Table2].[Sold].[All]" allUniqueName="[Table2].[Sold].[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Parfum Quality]" caption="Parfum Quality" attribute="1" defaultMemberUniqueName="[Table2].[Parfum Quality].[All]" allUniqueName="[Table2].[Parfum Quality].[All]" dimensionUniqueName="[Table2]" displayFolder="" count="0" memberValueDatatype="130" unbalanced="0"/>
    <cacheHierarchy uniqueName="[Table2].[Last Updated]" caption="Last Updated" attribute="1" time="1" defaultMemberUniqueName="[Table2].[Last Updated].[All]" allUniqueName="[Table2].[Last Updated].[All]" dimensionUniqueName="[Table2]" displayFolder="" count="0" memberValueDatatype="7" unbalanced="0"/>
    <cacheHierarchy uniqueName="[Table2].[Item Location]" caption="Item Location" attribute="1" defaultMemberUniqueName="[Table2].[Item Location].[All]" allUniqueName="[Table2].[Item Location].[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Last Updated (Year)]" caption="Last Updated (Year)" attribute="1" defaultMemberUniqueName="[Table2].[Last Updated (Year)].[All]" allUniqueName="[Table2].[Last Updated (Year)].[All]" dimensionUniqueName="[Table2]" displayFolder="" count="0" memberValueDatatype="130" unbalanced="0"/>
    <cacheHierarchy uniqueName="[Table2].[Last Updated (Quarter)]" caption="Last Updated (Quarter)" attribute="1" defaultMemberUniqueName="[Table2].[Last Updated (Quarter)].[All]" allUniqueName="[Table2].[Last Updated (Quarter)].[All]" dimensionUniqueName="[Table2]" displayFolder="" count="0" memberValueDatatype="130" unbalanced="0"/>
    <cacheHierarchy uniqueName="[Table2].[Last Updated (Month)]" caption="Last Updated (Month)" attribute="1" defaultMemberUniqueName="[Table2].[Last Updated (Month)].[All]" allUniqueName="[Table2].[Last Updated (Month)].[All]" dimensionUniqueName="[Table2]" displayFolder="" count="0" memberValueDatatype="130" unbalanced="0"/>
    <cacheHierarchy uniqueName="[Table2].[Last Updated (Month Index)]" caption="Last Updated (Month Index)" attribute="1" defaultMemberUniqueName="[Table2].[Last Updated (Month Index)].[All]" allUniqueName="[Table2].[Last Updated (Month Index)].[All]" dimensionUniqueName="[Table2]" displayFolder="" count="0" memberValueDatatype="20" unbalanced="0" hidden="1"/>
    <cacheHierarchy uniqueName="[Measures].[__XL_Count Sales]" caption="__XL_Count Sales" measure="1" displayFolder="" measureGroup="Sales" count="0" hidden="1"/>
    <cacheHierarchy uniqueName="[Measures].[__XL_Count Parfum]" caption="__XL_Count Parfum" measure="1" displayFolder="" measureGroup="Parfum"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old]" caption="Sum of Sold" measure="1" displayFolder="" measureGroup="Table2" count="0" hidden="1">
      <extLst>
        <ext xmlns:x15="http://schemas.microsoft.com/office/spreadsheetml/2010/11/main" uri="{B97F6D7D-B522-45F9-BDA1-12C45D357490}">
          <x15:cacheHierarchy aggregatedColumn="18"/>
        </ext>
      </extLst>
    </cacheHierarchy>
    <cacheHierarchy uniqueName="[Measures].[Average of Sold]" caption="Average of Sold" measure="1" displayFolder="" measureGroup="Table2"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19"/>
        </ext>
      </extLst>
    </cacheHierarchy>
    <cacheHierarchy uniqueName="[Measures].[Sum of Available Stock]" caption="Sum of Available Stock" measure="1" displayFolder="" measureGroup="Table2" count="0" hidden="1">
      <extLst>
        <ext xmlns:x15="http://schemas.microsoft.com/office/spreadsheetml/2010/11/main" uri="{B97F6D7D-B522-45F9-BDA1-12C45D357490}">
          <x15:cacheHierarchy aggregatedColumn="17"/>
        </ext>
      </extLst>
    </cacheHierarchy>
    <cacheHierarchy uniqueName="[Measures].[Max of Revenue]" caption="Max of Revenue" measure="1" displayFolder="" measureGroup="Table2"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Parfum" uniqueName="[Parfum]" caption="Parfum"/>
    <dimension name="Sales" uniqueName="[Sales]" caption="Sales"/>
    <dimension name="Table1" uniqueName="[Table1]" caption="Table1"/>
    <dimension name="Table2" uniqueName="[Table2]" caption="Table2"/>
  </dimensions>
  <measureGroups count="4">
    <measureGroup name="Parfum" caption="Parfum"/>
    <measureGroup name="Sales" caption="Sales"/>
    <measureGroup name="Table1" caption="Table1"/>
    <measureGroup name="Table2" caption="Table2"/>
  </measureGroups>
  <maps count="5">
    <map measureGroup="0" dimension="1"/>
    <map measureGroup="1" dimension="1"/>
    <map measureGroup="1" dimension="2"/>
    <map measureGroup="2" dimension="3"/>
    <map measureGroup="3" dimension="4"/>
  </maps>
  <extLst>
    <ext xmlns:x14="http://schemas.microsoft.com/office/spreadsheetml/2009/9/main" uri="{725AE2AE-9491-48be-B2B4-4EB974FC3084}">
      <x14:pivotCacheDefinition slicerData="1" pivotCacheId="1433030362"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B" refreshedDate="45980.989440972226" backgroundQuery="1" createdVersion="3" refreshedVersion="8" minRefreshableVersion="3" recordCount="0" supportSubquery="1" supportAdvancedDrill="1" xr:uid="{A2DEC8B8-13BF-4F81-AA96-67250C42E8AD}">
  <cacheSource type="external" connectionId="5">
    <extLst>
      <ext xmlns:x14="http://schemas.microsoft.com/office/spreadsheetml/2009/9/main" uri="{F057638F-6D5F-4e77-A914-E7F072B9BCA8}">
        <x14:sourceConnection name="ThisWorkbookDataModel"/>
      </ext>
    </extLst>
  </cacheSource>
  <cacheFields count="0"/>
  <cacheHierarchies count="40">
    <cacheHierarchy uniqueName="[Parfum].[Parfum ID]" caption="Parfum ID" attribute="1" defaultMemberUniqueName="[Parfum].[Parfum ID].[All]" allUniqueName="[Parfum].[Parfum ID].[All]" dimensionUniqueName="[Parfum]" displayFolder="" count="0" memberValueDatatype="130" unbalanced="0"/>
    <cacheHierarchy uniqueName="[Parfum].[Brand Name]" caption="Brand Name" attribute="1" defaultMemberUniqueName="[Parfum].[Brand Name].[All]" allUniqueName="[Parfum].[Brand Name].[All]" dimensionUniqueName="[Parfum]" displayFolder="" count="0" memberValueDatatype="130" unbalanced="0"/>
    <cacheHierarchy uniqueName="[Parfum].[Category]" caption="Category" attribute="1" defaultMemberUniqueName="[Parfum].[Category].[All]" allUniqueName="[Parfum].[Category].[All]" dimensionUniqueName="[Parfum]" displayFolder="" count="0" memberValueDatatype="130" unbalanced="0"/>
    <cacheHierarchy uniqueName="[Parfum].[Type]" caption="Type" attribute="1" defaultMemberUniqueName="[Parfum].[Type].[All]" allUniqueName="[Parfum].[Type].[All]" dimensionUniqueName="[Parfum]" displayFolder="" count="0" memberValueDatatype="130" unbalanced="0"/>
    <cacheHierarchy uniqueName="[Sales].[Transaction ID]" caption="Transaction ID" attribute="1" defaultMemberUniqueName="[Sales].[Transaction ID].[All]" allUniqueName="[Sales].[Transaction ID].[All]" dimensionUniqueName="[Sales]" displayFolder="" count="0" memberValueDatatype="130" unbalanced="0"/>
    <cacheHierarchy uniqueName="[Sales].[Parfum ID]" caption="Parfum ID" attribute="1" defaultMemberUniqueName="[Sales].[Parfum ID].[All]" allUniqueName="[Sales].[Parfum ID].[All]" dimensionUniqueName="[Sales]" displayFolder="" count="0" memberValueDatatype="130" unbalanced="0"/>
    <cacheHierarchy uniqueName="[Sales].[Sold price]" caption="Sold price" attribute="1" defaultMemberUniqueName="[Sales].[Sold price].[All]" allUniqueName="[Sales].[Sold price].[All]" dimensionUniqueName="[Sales]" displayFolder="" count="0" memberValueDatatype="20" unbalanced="0"/>
    <cacheHierarchy uniqueName="[Sales].[Updated time]" caption="Updated time" attribute="1" time="1" defaultMemberUniqueName="[Sales].[Updated time].[All]" allUniqueName="[Sales].[Updated time].[All]" dimensionUniqueName="[Sales]" displayFolder="" count="0" memberValueDatatype="7" unbalanced="0"/>
    <cacheHierarchy uniqueName="[Sales].[Availability]" caption="Availability" attribute="1" defaultMemberUniqueName="[Sales].[Availability].[All]" allUniqueName="[Sales].[Availability].[All]" dimensionUniqueName="[Sales]" displayFolder="" count="0" memberValueDatatype="20" unbalanced="0"/>
    <cacheHierarchy uniqueName="[Table1].[Timeline]" caption="Timeline" attribute="1" time="1" defaultMemberUniqueName="[Table1].[Timeline].[All]" allUniqueName="[Table1].[Timeline].[All]" dimensionUniqueName="[Table1]" displayFolder="" count="0" memberValueDatatype="7" unbalanced="0"/>
    <cacheHierarchy uniqueName="[Table1].[Values]" caption="Values" attribute="1" time="1" defaultMemberUniqueName="[Table1].[Values].[All]" allUniqueName="[Table1].[Values].[All]" dimensionUniqueName="[Table1]" displayFolder="" count="0" memberValueDatatype="7" unbalanced="0"/>
    <cacheHierarchy uniqueName="[Table1].[Forecast]" caption="Forecast" attribute="1" time="1" defaultMemberUniqueName="[Table1].[Forecast].[All]" allUniqueName="[Table1].[Forecast].[All]" dimensionUniqueName="[Table1]" displayFolder="" count="0" memberValueDatatype="7" unbalanced="0"/>
    <cacheHierarchy uniqueName="[Table1].[Lower Confidence Bound]" caption="Lower Confidence Bound" attribute="1" time="1" defaultMemberUniqueName="[Table1].[Lower Confidence Bound].[All]" allUniqueName="[Table1].[Lower Confidence Bound].[All]" dimensionUniqueName="[Table1]" displayFolder="" count="0" memberValueDatatype="7" unbalanced="0"/>
    <cacheHierarchy uniqueName="[Table1].[Upper Confidence Bound]" caption="Upper Confidence Bound" attribute="1" time="1" defaultMemberUniqueName="[Table1].[Upper Confidence Bound].[All]" allUniqueName="[Table1].[Upper Confidence Bound].[All]" dimensionUniqueName="[Table1]" displayFolder="" count="0" memberValueDatatype="7" unbalanced="0"/>
    <cacheHierarchy uniqueName="[Table2].[Brand Name]" caption="Brand Name" attribute="1" defaultMemberUniqueName="[Table2].[Brand Name].[All]" allUniqueName="[Table2].[Brand Name].[All]" dimensionUniqueName="[Table2]" displayFolder="" count="0" memberValueDatatype="130" unbalanced="0"/>
    <cacheHierarchy uniqueName="[Table2].[Type]" caption="Type" attribute="1" defaultMemberUniqueName="[Table2].[Type].[All]" allUniqueName="[Table2].[Type].[All]" dimensionUniqueName="[Table2]" displayFolder="" count="0" memberValueDatatype="130" unbalanced="0"/>
    <cacheHierarchy uniqueName="[Table2].[Price with Currency]" caption="Price with Currency" attribute="1" defaultMemberUniqueName="[Table2].[Price with Currency].[All]" allUniqueName="[Table2].[Price with Currency].[All]" dimensionUniqueName="[Table2]" displayFolder="" count="0" memberValueDatatype="5" unbalanced="0"/>
    <cacheHierarchy uniqueName="[Table2].[Available Stock]" caption="Available Stock" attribute="1" defaultMemberUniqueName="[Table2].[Available Stock].[All]" allUniqueName="[Table2].[Available Stock].[All]" dimensionUniqueName="[Table2]" displayFolder="" count="0" memberValueDatatype="20" unbalanced="0"/>
    <cacheHierarchy uniqueName="[Table2].[Sold]" caption="Sold" attribute="1" defaultMemberUniqueName="[Table2].[Sold].[All]" allUniqueName="[Table2].[Sold].[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Parfum Quality]" caption="Parfum Quality" attribute="1" defaultMemberUniqueName="[Table2].[Parfum Quality].[All]" allUniqueName="[Table2].[Parfum Quality].[All]" dimensionUniqueName="[Table2]" displayFolder="" count="0" memberValueDatatype="130" unbalanced="0"/>
    <cacheHierarchy uniqueName="[Table2].[Last Updated]" caption="Last Updated" attribute="1" time="1" defaultMemberUniqueName="[Table2].[Last Updated].[All]" allUniqueName="[Table2].[Last Updated].[All]" dimensionUniqueName="[Table2]" displayFolder="" count="2" memberValueDatatype="7" unbalanced="0"/>
    <cacheHierarchy uniqueName="[Table2].[Item Location]" caption="Item Location" attribute="1" defaultMemberUniqueName="[Table2].[Item Location].[All]" allUniqueName="[Table2].[Item Location].[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Last Updated (Year)]" caption="Last Updated (Year)" attribute="1" defaultMemberUniqueName="[Table2].[Last Updated (Year)].[All]" allUniqueName="[Table2].[Last Updated (Year)].[All]" dimensionUniqueName="[Table2]" displayFolder="" count="0" memberValueDatatype="130" unbalanced="0"/>
    <cacheHierarchy uniqueName="[Table2].[Last Updated (Quarter)]" caption="Last Updated (Quarter)" attribute="1" defaultMemberUniqueName="[Table2].[Last Updated (Quarter)].[All]" allUniqueName="[Table2].[Last Updated (Quarter)].[All]" dimensionUniqueName="[Table2]" displayFolder="" count="0" memberValueDatatype="130" unbalanced="0"/>
    <cacheHierarchy uniqueName="[Table2].[Last Updated (Month)]" caption="Last Updated (Month)" attribute="1" defaultMemberUniqueName="[Table2].[Last Updated (Month)].[All]" allUniqueName="[Table2].[Last Updated (Month)].[All]" dimensionUniqueName="[Table2]" displayFolder="" count="0" memberValueDatatype="130" unbalanced="0"/>
    <cacheHierarchy uniqueName="[Table2].[Last Updated (Month Index)]" caption="Last Updated (Month Index)" attribute="1" defaultMemberUniqueName="[Table2].[Last Updated (Month Index)].[All]" allUniqueName="[Table2].[Last Updated (Month Index)].[All]" dimensionUniqueName="[Table2]" displayFolder="" count="0" memberValueDatatype="20" unbalanced="0" hidden="1"/>
    <cacheHierarchy uniqueName="[Measures].[__XL_Count Sales]" caption="__XL_Count Sales" measure="1" displayFolder="" measureGroup="Sales" count="0" hidden="1"/>
    <cacheHierarchy uniqueName="[Measures].[__XL_Count Parfum]" caption="__XL_Count Parfum" measure="1" displayFolder="" measureGroup="Parfum"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old]" caption="Sum of Sold" measure="1" displayFolder="" measureGroup="Table2" count="0" hidden="1">
      <extLst>
        <ext xmlns:x15="http://schemas.microsoft.com/office/spreadsheetml/2010/11/main" uri="{B97F6D7D-B522-45F9-BDA1-12C45D357490}">
          <x15:cacheHierarchy aggregatedColumn="18"/>
        </ext>
      </extLst>
    </cacheHierarchy>
    <cacheHierarchy uniqueName="[Measures].[Average of Sold]" caption="Average of Sold" measure="1" displayFolder="" measureGroup="Table2"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19"/>
        </ext>
      </extLst>
    </cacheHierarchy>
    <cacheHierarchy uniqueName="[Measures].[Sum of Available Stock]" caption="Sum of Available Stock" measure="1" displayFolder="" measureGroup="Table2" count="0" hidden="1">
      <extLst>
        <ext xmlns:x15="http://schemas.microsoft.com/office/spreadsheetml/2010/11/main" uri="{B97F6D7D-B522-45F9-BDA1-12C45D357490}">
          <x15:cacheHierarchy aggregatedColumn="17"/>
        </ext>
      </extLst>
    </cacheHierarchy>
    <cacheHierarchy uniqueName="[Measures].[Max of Revenue]" caption="Max of Revenue" measure="1" displayFolder="" measureGroup="Table2"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pivotCacheId="169831737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Dolce&amp;Gabbana"/>
    <s v="Eau de Toilette"/>
    <x v="0"/>
    <n v="0"/>
    <n v="45"/>
    <n v="2474.5500000000002"/>
    <s v="Normal Quality"/>
    <d v="2022-10-20T18:26:14"/>
    <s v="Bellaire"/>
    <s v=" Texas"/>
    <x v="0"/>
  </r>
  <r>
    <s v="Mandarin Duck"/>
    <s v="Eau de Toilette"/>
    <x v="1"/>
    <n v="0"/>
    <n v="75"/>
    <n v="2099.25"/>
    <s v="Normal Quality"/>
    <d v="2022-11-02T03:03:01"/>
    <s v="Edison"/>
    <s v="New York"/>
    <x v="0"/>
  </r>
  <r>
    <s v="Unknownves Saint Laurent"/>
    <s v="Eau de Toilette"/>
    <x v="2"/>
    <n v="8"/>
    <n v="69"/>
    <n v="1169.55"/>
    <s v="Normal Quality"/>
    <d v="2023-09-15T06:32:59"/>
    <s v="Stafford"/>
    <s v=" Texas"/>
    <x v="0"/>
  </r>
  <r>
    <s v="The Baron"/>
    <s v="Eau de Cologne"/>
    <x v="3"/>
    <n v="8"/>
    <n v="1"/>
    <n v="34.99"/>
    <s v="Normal Quality"/>
    <d v="2023-11-12T12:18:20"/>
    <s v="Canton"/>
    <s v=" Michigan"/>
    <x v="0"/>
  </r>
  <r>
    <s v="Eau de Cologne"/>
    <s v="Eau de Parfum"/>
    <x v="4"/>
    <n v="0"/>
    <n v="331"/>
    <n v="6586.9"/>
    <s v="Normal Quality"/>
    <d v="2023-11-21T08:32:55"/>
    <s v="Stony Brook"/>
    <s v=" New York"/>
    <x v="0"/>
  </r>
  <r>
    <s v="Avon"/>
    <s v="Eau de Cologne"/>
    <x v="5"/>
    <n v="6"/>
    <n v="37"/>
    <n v="1905.13"/>
    <s v="Normal Quality"/>
    <d v="2024-01-08T17:39:02"/>
    <s v="Humacao"/>
    <s v=" Puerto Rico"/>
    <x v="0"/>
  </r>
  <r>
    <s v="Chanel"/>
    <s v="Eau de Toilette"/>
    <x v="6"/>
    <n v="10"/>
    <n v="286"/>
    <n v="6292"/>
    <s v="Normal Quality"/>
    <d v="2024-01-10T14:19:12"/>
    <s v="Albany"/>
    <s v=" New York"/>
    <x v="0"/>
  </r>
  <r>
    <s v="Hermès"/>
    <s v="Eau de Toilette"/>
    <x v="7"/>
    <n v="3"/>
    <n v="40"/>
    <n v="1599.6000000000001"/>
    <s v="Normal Quality"/>
    <d v="2024-02-08T10:42:37"/>
    <s v="Miami"/>
    <s v=" Florida"/>
    <x v="0"/>
  </r>
  <r>
    <s v="Dana"/>
    <s v="Eau de Cologne"/>
    <x v="8"/>
    <n v="9"/>
    <n v="647"/>
    <n v="9698.5300000000007"/>
    <s v="Normal Quality"/>
    <d v="2024-02-16T20:33:33"/>
    <s v="Orlando"/>
    <s v=" Florida"/>
    <x v="0"/>
  </r>
  <r>
    <s v="Claude Marsal"/>
    <s v="Eau de Parfum"/>
    <x v="9"/>
    <n v="0"/>
    <n v="9"/>
    <n v="1620"/>
    <s v="Normal Quality"/>
    <d v="2024-02-21T16:08:12"/>
    <s v="Orlando"/>
    <s v=" Florida"/>
    <x v="0"/>
  </r>
  <r>
    <s v="Secertmu"/>
    <s v="Eau de Parfum"/>
    <x v="10"/>
    <n v="10"/>
    <n v="38"/>
    <n v="302.48"/>
    <s v="Normal Quality"/>
    <d v="2024-02-22T02:08:53"/>
    <s v="San Francisco"/>
    <s v=" California"/>
    <x v="0"/>
  </r>
  <r>
    <s v="Creed"/>
    <s v="Eau de Parfum"/>
    <x v="11"/>
    <n v="3"/>
    <n v="30"/>
    <n v="478.5"/>
    <s v="Normal Quality"/>
    <d v="2024-02-26T12:33:18"/>
    <s v="Midway City"/>
    <s v=" California"/>
    <x v="0"/>
  </r>
  <r>
    <s v="Paco Rabanne"/>
    <s v="Eau de Parfum"/>
    <x v="12"/>
    <n v="10"/>
    <n v="13"/>
    <n v="909.86999999999989"/>
    <s v="Normal Quality"/>
    <d v="2024-02-28T07:26:54"/>
    <s v="Keyport"/>
    <s v="New York"/>
    <x v="0"/>
  </r>
  <r>
    <s v="Estee Lauder"/>
    <s v="Eau de Cologne"/>
    <x v="13"/>
    <n v="0"/>
    <n v="24"/>
    <n v="419.76"/>
    <s v="Normal Quality"/>
    <d v="2024-02-28T07:27:01"/>
    <s v="Keyport"/>
    <s v="New York"/>
    <x v="0"/>
  </r>
  <r>
    <s v="Moschino"/>
    <s v="Eau de Parfum"/>
    <x v="14"/>
    <n v="2"/>
    <n v="5"/>
    <n v="199.75"/>
    <s v="Normal Quality"/>
    <d v="2024-03-01T09:56:57"/>
    <s v="Huntington Station"/>
    <s v=" New York"/>
    <x v="0"/>
  </r>
  <r>
    <s v="Paco Rabanne"/>
    <s v="Eau de Toilette"/>
    <x v="15"/>
    <n v="10"/>
    <n v="38"/>
    <n v="721.61999999999989"/>
    <s v="Normal Quality"/>
    <d v="2024-03-01T11:40:14"/>
    <s v="Brooklyn"/>
    <s v=" New York"/>
    <x v="0"/>
  </r>
  <r>
    <s v="Polo Ralph Lauren"/>
    <s v="Eau de Parfum"/>
    <x v="16"/>
    <n v="54"/>
    <n v="5"/>
    <n v="516"/>
    <s v="Normal Quality"/>
    <d v="2024-03-01T15:10:55"/>
    <s v="Seattle"/>
    <s v=" Washington"/>
    <x v="0"/>
  </r>
  <r>
    <s v="TiffanUnknown"/>
    <s v="Eau de Toilette"/>
    <x v="17"/>
    <n v="10"/>
    <n v="19"/>
    <n v="949.81000000000006"/>
    <s v="Normal Quality"/>
    <d v="2024-03-01T23:21:12"/>
    <s v="California Or Hong Kong"/>
    <s v=" Hong Kong"/>
    <x v="0"/>
  </r>
  <r>
    <s v="Rochas"/>
    <s v="Eau de Toilette"/>
    <x v="18"/>
    <n v="10"/>
    <n v="433"/>
    <n v="10630.15"/>
    <s v="Normal Quality"/>
    <d v="2024-03-02T01:30:34"/>
    <s v="Dallas"/>
    <s v=" Texas"/>
    <x v="0"/>
  </r>
  <r>
    <s v="Hugo Boss"/>
    <s v="Eau de Parfum"/>
    <x v="19"/>
    <n v="4"/>
    <n v="87"/>
    <n v="5687.1900000000005"/>
    <s v="Normal Quality"/>
    <d v="2024-03-02T01:30:37"/>
    <s v="Dallas"/>
    <s v=" Texas"/>
    <x v="0"/>
  </r>
  <r>
    <s v="MUnknownrurgia"/>
    <s v="Eau de Toilette"/>
    <x v="20"/>
    <n v="0"/>
    <n v="3093"/>
    <n v="28486.530000000002"/>
    <s v="High Quality"/>
    <d v="2024-03-02T01:30:50"/>
    <s v="Dallas"/>
    <s v=" Texas"/>
    <x v="0"/>
  </r>
  <r>
    <s v="Eau de Cologne"/>
    <s v="Eau de Toilette"/>
    <x v="4"/>
    <n v="10"/>
    <n v="294"/>
    <n v="5850.5999999999995"/>
    <s v="Normal Quality"/>
    <d v="2024-03-02T13:48:09"/>
    <s v="Rochester"/>
    <s v=" New York"/>
    <x v="0"/>
  </r>
  <r>
    <s v="Dolce&amp;Gabbana"/>
    <s v="Eau de Parfum"/>
    <x v="21"/>
    <n v="47"/>
    <n v="1"/>
    <n v="91"/>
    <s v="Normal Quality"/>
    <d v="2024-03-02T19:37:12"/>
    <s v="Manor"/>
    <s v=" Texas"/>
    <x v="0"/>
  </r>
  <r>
    <s v="Eau de Cologne"/>
    <s v="Eau de Cologne"/>
    <x v="22"/>
    <n v="10"/>
    <n v="15"/>
    <n v="629.85"/>
    <s v="Normal Quality"/>
    <d v="2024-03-02T21:01:55"/>
    <s v="Fredericksburg"/>
    <s v=" Virginia"/>
    <x v="0"/>
  </r>
  <r>
    <s v="GivenchUnknown"/>
    <s v="Eau de Parfum"/>
    <x v="23"/>
    <n v="0"/>
    <n v="2"/>
    <n v="140"/>
    <s v="Normal Quality"/>
    <d v="2024-03-03T11:43:56"/>
    <s v="Franklin Square"/>
    <s v=" New York"/>
    <x v="0"/>
  </r>
  <r>
    <s v="Bharara"/>
    <s v="Eau de Parfum"/>
    <x v="24"/>
    <n v="10"/>
    <n v="142"/>
    <n v="11216.58"/>
    <s v="Normal Quality"/>
    <d v="2024-03-03T14:45:35"/>
    <s v="Miami"/>
    <s v=" Florida"/>
    <x v="0"/>
  </r>
  <r>
    <s v="Estée Lauder"/>
    <s v="Eau de Cologne"/>
    <x v="25"/>
    <n v="5"/>
    <n v="10"/>
    <n v="199.89999999999998"/>
    <s v="Normal Quality"/>
    <d v="2024-03-03T17:56:21"/>
    <s v="New York"/>
    <s v=" New York"/>
    <x v="0"/>
  </r>
  <r>
    <s v="Roberto Cavalli"/>
    <s v="Eau de Toilette"/>
    <x v="26"/>
    <n v="2"/>
    <n v="8"/>
    <n v="343.6"/>
    <s v="Normal Quality"/>
    <d v="2024-03-04T05:03:56"/>
    <s v="Keyport"/>
    <s v="New York"/>
    <x v="0"/>
  </r>
  <r>
    <s v="Roja"/>
    <s v="Eau de Parfum"/>
    <x v="27"/>
    <n v="10"/>
    <n v="26"/>
    <n v="2859.74"/>
    <s v="Normal Quality"/>
    <d v="2024-03-04T05:57:21"/>
    <s v="Rowland Heights"/>
    <s v=" California"/>
    <x v="0"/>
  </r>
  <r>
    <s v="GuUnknown Laroche"/>
    <s v="Eau de Toilette"/>
    <x v="25"/>
    <n v="0"/>
    <n v="58"/>
    <n v="1159.4199999999998"/>
    <s v="Normal Quality"/>
    <d v="2024-03-04T06:13:01"/>
    <s v="East Meadow"/>
    <s v=" New York"/>
    <x v="0"/>
  </r>
  <r>
    <s v="Calvin Klein"/>
    <s v="Eau de Toilette"/>
    <x v="28"/>
    <n v="7"/>
    <n v="124"/>
    <n v="3594.7599999999998"/>
    <s v="Normal Quality"/>
    <d v="2024-03-05T01:21:25"/>
    <s v="Edison"/>
    <s v="New York"/>
    <x v="0"/>
  </r>
  <r>
    <s v="Falic Fashion Group"/>
    <s v="Eau de Toilette"/>
    <x v="29"/>
    <n v="10"/>
    <n v="14"/>
    <n v="419.72"/>
    <s v="Normal Quality"/>
    <d v="2024-03-05T09:23:49"/>
    <s v="Burlington"/>
    <s v=" Ontario"/>
    <x v="1"/>
  </r>
  <r>
    <s v="Roja Dove"/>
    <s v="Eau de Parfum"/>
    <x v="30"/>
    <n v="10"/>
    <n v="25"/>
    <n v="3249.75"/>
    <s v="Normal Quality"/>
    <d v="2024-03-05T18:27:16"/>
    <s v="Pomona"/>
    <s v=" California"/>
    <x v="0"/>
  </r>
  <r>
    <s v="Penhaligon'S"/>
    <s v="Eau de Parfum"/>
    <x v="31"/>
    <n v="10"/>
    <n v="1"/>
    <n v="188.99"/>
    <s v="Normal Quality"/>
    <d v="2024-03-05T19:10:00"/>
    <s v="Ottawa"/>
    <s v=" Canada"/>
    <x v="1"/>
  </r>
  <r>
    <s v="Unbranded"/>
    <s v="Eau de Toilette"/>
    <x v="7"/>
    <n v="10"/>
    <n v="18"/>
    <n v="719.82"/>
    <s v="Normal Quality"/>
    <d v="2024-03-05T23:09:40"/>
    <s v="California"/>
    <s v=" United States"/>
    <x v="2"/>
  </r>
  <r>
    <s v="Dossier"/>
    <s v="Eau de Parfum"/>
    <x v="32"/>
    <n v="5"/>
    <n v="16"/>
    <n v="320"/>
    <s v="Normal Quality"/>
    <d v="2024-03-05T23:17:39"/>
    <s v="Los Angeles"/>
    <s v=" California"/>
    <x v="0"/>
  </r>
  <r>
    <s v="Dossier"/>
    <s v="Eau de Parfum"/>
    <x v="33"/>
    <n v="0"/>
    <n v="19"/>
    <n v="551"/>
    <s v="Normal Quality"/>
    <d v="2024-03-05T23:18:46"/>
    <s v="Los Angeles"/>
    <s v=" California"/>
    <x v="0"/>
  </r>
  <r>
    <s v="Bvlgari"/>
    <s v="Eau de Parfum"/>
    <x v="34"/>
    <n v="65"/>
    <n v="25"/>
    <n v="749.75"/>
    <s v="Normal Quality"/>
    <d v="2024-03-06T00:00:00"/>
    <s v="Keyport"/>
    <s v="New York"/>
    <x v="0"/>
  </r>
  <r>
    <s v="Dior"/>
    <s v="Eau de Toilette"/>
    <x v="35"/>
    <n v="9"/>
    <n v="51"/>
    <n v="4334.49"/>
    <s v="Normal Quality"/>
    <d v="2024-03-06T04:40:12"/>
    <s v="Sterling Heights"/>
    <s v=" Michigan"/>
    <x v="0"/>
  </r>
  <r>
    <s v="Unknownves Saint Laurent"/>
    <s v="Eau de Parfum"/>
    <x v="36"/>
    <n v="26"/>
    <n v="13"/>
    <n v="1677"/>
    <s v="Normal Quality"/>
    <d v="2024-03-06T12:23:40"/>
    <s v="Mclean"/>
    <s v=" Virginia"/>
    <x v="0"/>
  </r>
  <r>
    <s v="Mirage Brands"/>
    <s v="Eau de Toilette"/>
    <x v="37"/>
    <n v="47"/>
    <n v="105"/>
    <n v="1436.3999999999999"/>
    <s v="Normal Quality"/>
    <d v="2024-03-06T16:50:06"/>
    <s v="Cumming"/>
    <s v=" Georgia"/>
    <x v="0"/>
  </r>
  <r>
    <s v="Metaherbal Labs"/>
    <s v="Unscented"/>
    <x v="14"/>
    <n v="10"/>
    <n v="353"/>
    <n v="14102.35"/>
    <s v="Normal Quality"/>
    <d v="2024-03-06T19:01:20"/>
    <s v="Orange"/>
    <s v=" Connecticut"/>
    <x v="0"/>
  </r>
  <r>
    <s v="ReUnknownane Tradition"/>
    <s v="Eau de Toilette"/>
    <x v="38"/>
    <n v="0"/>
    <n v="214"/>
    <n v="5555.4400000000005"/>
    <s v="Normal Quality"/>
    <d v="2024-03-06T21:18:47"/>
    <s v="Dallas"/>
    <s v=" Texas"/>
    <x v="0"/>
  </r>
  <r>
    <s v="Kenneth Cole"/>
    <s v="Eau de Toilette"/>
    <x v="39"/>
    <n v="10"/>
    <n v="58"/>
    <n v="1082.28"/>
    <s v="Normal Quality"/>
    <d v="2024-03-06T23:28:14"/>
    <s v="Dallas"/>
    <s v=" Texas"/>
    <x v="0"/>
  </r>
  <r>
    <s v="Kenneth Cole"/>
    <s v="Eau de Toilette"/>
    <x v="40"/>
    <n v="10"/>
    <n v="415"/>
    <n v="10167.5"/>
    <s v="Normal Quality"/>
    <d v="2024-03-07T07:48:23"/>
    <s v="Orlando"/>
    <s v=" Florida"/>
    <x v="0"/>
  </r>
  <r>
    <s v="CotUnknown"/>
    <s v="Eau de Cologne"/>
    <x v="41"/>
    <n v="10"/>
    <n v="34"/>
    <n v="574.59999999999991"/>
    <s v="Normal Quality"/>
    <d v="2024-03-07T11:07:48"/>
    <s v="Midway City"/>
    <s v=" California"/>
    <x v="0"/>
  </r>
  <r>
    <s v="As Shown"/>
    <s v="Eau de Toilette"/>
    <x v="42"/>
    <n v="10"/>
    <n v="17"/>
    <n v="696.83"/>
    <s v="Normal Quality"/>
    <d v="2024-03-08T01:44:16"/>
    <s v="Nevada/California"/>
    <s v=" USA"/>
    <x v="2"/>
  </r>
  <r>
    <s v="Paco Rabanne"/>
    <s v="Eau de Parfum"/>
    <x v="43"/>
    <n v="93"/>
    <n v="18"/>
    <n v="215.1"/>
    <s v="Normal Quality"/>
    <d v="2024-03-08T03:13:17"/>
    <s v="Pearland"/>
    <s v=" Texas"/>
    <x v="0"/>
  </r>
  <r>
    <s v="Unknownsl"/>
    <s v="Eau de Toilette"/>
    <x v="44"/>
    <n v="8"/>
    <n v="42"/>
    <n v="1596"/>
    <s v="Normal Quality"/>
    <d v="2024-03-08T03:42:07"/>
    <s v="Wakefield"/>
    <s v=" Massachusetts"/>
    <x v="2"/>
  </r>
  <r>
    <s v="GivenchUnknown"/>
    <s v="Eau de Parfum"/>
    <x v="45"/>
    <n v="0"/>
    <n v="8"/>
    <n v="588.16"/>
    <s v="Normal Quality"/>
    <d v="2024-03-08T06:01:12"/>
    <s v="Dallas"/>
    <s v=" Texas"/>
    <x v="0"/>
  </r>
  <r>
    <s v="IsseUnknown MiUnknownake"/>
    <s v="Eau de Toilette"/>
    <x v="46"/>
    <n v="6"/>
    <n v="27"/>
    <n v="1204.47"/>
    <s v="Normal Quality"/>
    <d v="2024-03-08T07:49:55"/>
    <s v="Dallas"/>
    <s v=" Texas"/>
    <x v="0"/>
  </r>
  <r>
    <s v="Prada"/>
    <s v="Eau de Toilette"/>
    <x v="47"/>
    <n v="4"/>
    <n v="65"/>
    <n v="4455.75"/>
    <s v="Normal Quality"/>
    <d v="2024-03-08T08:02:39"/>
    <s v="Middle Grove"/>
    <s v=" New York"/>
    <x v="0"/>
  </r>
  <r>
    <s v="MarUnknown KaUnknown"/>
    <s v="Eau de Cologne"/>
    <x v="48"/>
    <n v="10"/>
    <n v="24"/>
    <n v="720"/>
    <s v="Normal Quality"/>
    <d v="2024-03-08T08:37:11"/>
    <s v="Douglasville"/>
    <s v=" Georgia"/>
    <x v="0"/>
  </r>
  <r>
    <s v="Bvlgari"/>
    <s v="Eau de Parfum"/>
    <x v="49"/>
    <n v="6"/>
    <n v="15"/>
    <n v="974.84999999999991"/>
    <s v="Normal Quality"/>
    <d v="2024-03-08T09:23:26"/>
    <s v="Miami"/>
    <s v=" Florida"/>
    <x v="0"/>
  </r>
  <r>
    <s v="Ralph Lauren"/>
    <s v="Eau de Toilette"/>
    <x v="50"/>
    <n v="4"/>
    <n v="27"/>
    <n v="1214.73"/>
    <s v="Normal Quality"/>
    <d v="2024-03-08T10:18:58"/>
    <s v="Miami"/>
    <s v=" Florida"/>
    <x v="0"/>
  </r>
  <r>
    <s v="GivenchUnknown"/>
    <s v="Eau de Toilette"/>
    <x v="50"/>
    <n v="7"/>
    <n v="32"/>
    <n v="1439.68"/>
    <s v="Normal Quality"/>
    <d v="2024-03-08T10:32:03"/>
    <s v="Miami"/>
    <s v=" Florida"/>
    <x v="0"/>
  </r>
  <r>
    <s v="Giorgio Armani"/>
    <s v="Eau de Toilette"/>
    <x v="49"/>
    <n v="10"/>
    <n v="235"/>
    <n v="15272.65"/>
    <s v="Normal Quality"/>
    <d v="2024-03-08T11:11:06"/>
    <s v="Miami"/>
    <s v=" Florida"/>
    <x v="0"/>
  </r>
  <r>
    <s v="Paco Rabanne"/>
    <s v="Eau de Toilette"/>
    <x v="7"/>
    <n v="3"/>
    <n v="3"/>
    <n v="119.97"/>
    <s v="Normal Quality"/>
    <d v="2024-03-08T14:29:55"/>
    <s v="New York"/>
    <s v=" United States"/>
    <x v="0"/>
  </r>
  <r>
    <s v="Axe"/>
    <s v="Eau de Parfum"/>
    <x v="51"/>
    <n v="6"/>
    <n v="15"/>
    <n v="179.85"/>
    <s v="Normal Quality"/>
    <d v="2024-03-08T15:39:55"/>
    <s v="Euless"/>
    <s v=" Texas"/>
    <x v="0"/>
  </r>
  <r>
    <s v="BurberrUnknown"/>
    <s v="Eau de Toilette"/>
    <x v="28"/>
    <n v="10"/>
    <n v="7"/>
    <n v="202.92999999999998"/>
    <s v="Normal Quality"/>
    <d v="2024-03-08T15:45:56"/>
    <s v="Katy"/>
    <s v=" Texas"/>
    <x v="0"/>
  </r>
  <r>
    <s v="Creed"/>
    <s v="Oil"/>
    <x v="52"/>
    <n v="3"/>
    <n v="266"/>
    <n v="2649.36"/>
    <s v="Normal Quality"/>
    <d v="2024-03-08T18:36:48"/>
    <s v="Jamaica"/>
    <s v=" New York"/>
    <x v="0"/>
  </r>
  <r>
    <s v="Ralph Lauren"/>
    <s v="Eau de Parfum"/>
    <x v="53"/>
    <n v="7"/>
    <n v="5"/>
    <n v="64.95"/>
    <s v="Normal Quality"/>
    <d v="2024-03-09T04:53:41"/>
    <s v="Brooklyn"/>
    <s v=" New York"/>
    <x v="0"/>
  </r>
  <r>
    <s v="HUnknownbrid &amp; CompanUnknown"/>
    <s v="Eau de Parfum"/>
    <x v="54"/>
    <n v="2"/>
    <n v="73"/>
    <n v="1765.8700000000001"/>
    <s v="Normal Quality"/>
    <d v="2024-03-09T08:15:16"/>
    <s v="Temple"/>
    <s v=" Texas"/>
    <x v="0"/>
  </r>
  <r>
    <s v="Hugo Boss"/>
    <s v="Eau de Toilette"/>
    <x v="55"/>
    <n v="3"/>
    <n v="52"/>
    <n v="2457.52"/>
    <s v="Normal Quality"/>
    <d v="2024-03-09T11:34:50"/>
    <s v="Dallas"/>
    <s v=" Texas"/>
    <x v="0"/>
  </r>
  <r>
    <s v="Liz Claiborne"/>
    <s v="Eau de Toilette"/>
    <x v="56"/>
    <n v="0"/>
    <n v="3823"/>
    <n v="65067.46"/>
    <s v="High Quality"/>
    <d v="2024-03-09T16:02:55"/>
    <s v="Dallas"/>
    <s v=" Texas"/>
    <x v="0"/>
  </r>
  <r>
    <s v="Eau de Parfum"/>
    <s v="Eau de Parfum"/>
    <x v="57"/>
    <n v="0"/>
    <n v="4"/>
    <n v="71.8"/>
    <s v="Normal Quality"/>
    <d v="2024-03-09T17:17:45"/>
    <s v="Orange City"/>
    <s v=" Florida"/>
    <x v="0"/>
  </r>
  <r>
    <s v="Ebc"/>
    <s v="Eau de Cologne"/>
    <x v="58"/>
    <n v="0"/>
    <n v="17"/>
    <n v="229.5"/>
    <s v="Normal Quality"/>
    <d v="2024-03-09T17:47:19"/>
    <s v="Hialeah"/>
    <s v=" Florida"/>
    <x v="0"/>
  </r>
  <r>
    <s v="Calvin Klein"/>
    <s v="Eau de Parfum"/>
    <x v="59"/>
    <n v="10"/>
    <n v="30"/>
    <n v="638.1"/>
    <s v="Normal Quality"/>
    <d v="2024-03-09T20:48:12"/>
    <s v="Rowland Heights"/>
    <s v=" California"/>
    <x v="0"/>
  </r>
  <r>
    <s v="Zara"/>
    <s v="Eau de Toilette"/>
    <x v="60"/>
    <n v="21"/>
    <n v="3"/>
    <n v="45"/>
    <s v="Normal Quality"/>
    <d v="2024-03-09T21:13:54"/>
    <s v="Houston"/>
    <s v=" Texas"/>
    <x v="0"/>
  </r>
  <r>
    <s v="Unbranded"/>
    <s v="Eau de Toilette"/>
    <x v="61"/>
    <n v="9"/>
    <n v="4"/>
    <n v="103.56"/>
    <s v="Normal Quality"/>
    <d v="2024-03-09T22:38:22"/>
    <s v="Brooklyn"/>
    <s v=" New York"/>
    <x v="0"/>
  </r>
  <r>
    <s v="Ralph Lauren"/>
    <s v="Eau de Cologne"/>
    <x v="34"/>
    <n v="110"/>
    <n v="60"/>
    <n v="1799.3999999999999"/>
    <s v="Normal Quality"/>
    <d v="2024-03-10T07:19:49"/>
    <s v="Miami"/>
    <s v=" Florida"/>
    <x v="0"/>
  </r>
  <r>
    <s v="Lacoste"/>
    <s v="Eau de Toilette"/>
    <x v="62"/>
    <n v="8"/>
    <n v="634"/>
    <n v="20605"/>
    <s v="Normal Quality"/>
    <d v="2024-03-10T10:21:09"/>
    <s v="Dallas"/>
    <s v=" Texas"/>
    <x v="0"/>
  </r>
  <r>
    <s v="Carolina Herrera"/>
    <s v="Eau de Toilette"/>
    <x v="7"/>
    <n v="4"/>
    <n v="19"/>
    <n v="759.81000000000006"/>
    <s v="Normal Quality"/>
    <d v="2024-03-10T10:59:33"/>
    <s v="Detroit"/>
    <s v=" Michigan"/>
    <x v="0"/>
  </r>
  <r>
    <s v="John Varvatos"/>
    <s v="Eau de Parfum"/>
    <x v="63"/>
    <n v="15"/>
    <n v="17"/>
    <n v="1359.83"/>
    <s v="Normal Quality"/>
    <d v="2024-03-10T17:42:19"/>
    <s v="El Cajon"/>
    <s v=" California"/>
    <x v="0"/>
  </r>
  <r>
    <s v="Topshelf"/>
    <s v="Eau de Parfum"/>
    <x v="64"/>
    <n v="10"/>
    <n v="4"/>
    <n v="559.96"/>
    <s v="Normal Quality"/>
    <d v="2024-03-10T21:53:08"/>
    <s v="Houston"/>
    <s v=" Texas"/>
    <x v="0"/>
  </r>
  <r>
    <s v="Giorgio Armani"/>
    <s v="Eau de Toilette"/>
    <x v="34"/>
    <n v="3"/>
    <n v="61"/>
    <n v="1829.3899999999999"/>
    <s v="Normal Quality"/>
    <d v="2024-03-11T02:03:08"/>
    <s v="Houston"/>
    <s v=" Texas"/>
    <x v="0"/>
  </r>
  <r>
    <s v="Moschino"/>
    <s v="Eau de Parfum"/>
    <x v="65"/>
    <n v="10"/>
    <n v="3"/>
    <n v="107.97"/>
    <s v="Normal Quality"/>
    <d v="2024-03-11T03:51:13"/>
    <s v="Edison"/>
    <s v=" United States"/>
    <x v="0"/>
  </r>
  <r>
    <s v="As Show"/>
    <s v="Eau de Parfum"/>
    <x v="12"/>
    <n v="13"/>
    <n v="49"/>
    <n v="3429.5099999999998"/>
    <s v="Normal Quality"/>
    <d v="2024-03-11T04:30:04"/>
    <s v="Hong Kong"/>
    <s v=" Hong Kong"/>
    <x v="3"/>
  </r>
  <r>
    <s v="Eau de Cologne"/>
    <s v="Eau de Toilette"/>
    <x v="8"/>
    <n v="10"/>
    <n v="72"/>
    <n v="1079.28"/>
    <s v="Normal Quality"/>
    <d v="2024-03-11T07:37:49"/>
    <s v="Cabot"/>
    <s v=" Arkansas"/>
    <x v="0"/>
  </r>
  <r>
    <s v="Michael Malul London"/>
    <s v="Eau de Parfum"/>
    <x v="66"/>
    <n v="6"/>
    <n v="51"/>
    <n v="4595.6099999999997"/>
    <s v="Normal Quality"/>
    <d v="2024-03-11T09:30:33"/>
    <s v="Columbia"/>
    <s v=" South Carolina"/>
    <x v="0"/>
  </r>
  <r>
    <s v="Unknownves Saint Laurent"/>
    <s v="Eau de Parfum"/>
    <x v="67"/>
    <n v="9"/>
    <n v="91"/>
    <n v="1455.09"/>
    <s v="Normal Quality"/>
    <d v="2024-03-11T09:37:04"/>
    <s v="New York"/>
    <s v=" New York"/>
    <x v="0"/>
  </r>
  <r>
    <s v="Heaven Scents"/>
    <s v="Eau de Parfum"/>
    <x v="64"/>
    <n v="16"/>
    <n v="46"/>
    <n v="6439.5400000000009"/>
    <s v="Normal Quality"/>
    <d v="2024-03-11T15:09:30"/>
    <s v="Bridgeview"/>
    <s v=" Illinois"/>
    <x v="0"/>
  </r>
  <r>
    <s v="Cartier"/>
    <s v="Eau de Toilette"/>
    <x v="68"/>
    <n v="31"/>
    <n v="20"/>
    <n v="990.40000000000009"/>
    <s v="Normal Quality"/>
    <d v="2024-03-11T20:45:30"/>
    <s v="Hackensack"/>
    <s v="New York"/>
    <x v="0"/>
  </r>
  <r>
    <s v="Jacques Bogart"/>
    <s v="Eau de Toilette"/>
    <x v="69"/>
    <n v="6"/>
    <n v="957"/>
    <n v="13369.29"/>
    <s v="Normal Quality"/>
    <d v="2024-03-11T23:42:49"/>
    <s v="Dallas"/>
    <s v=" Texas"/>
    <x v="0"/>
  </r>
  <r>
    <s v="Dolce&amp;Gabbana"/>
    <s v="Eau de Toilette"/>
    <x v="3"/>
    <n v="0"/>
    <n v="48"/>
    <n v="1679.52"/>
    <s v="Normal Quality"/>
    <d v="2024-03-12T09:22:09"/>
    <s v="Pomona"/>
    <s v="California"/>
    <x v="2"/>
  </r>
  <r>
    <s v="Armaf"/>
    <s v="Eau de Parfum"/>
    <x v="70"/>
    <n v="83"/>
    <n v="712"/>
    <n v="20505.600000000002"/>
    <s v="Normal Quality"/>
    <d v="2024-03-12T16:15:40"/>
    <s v="Brooklyn"/>
    <s v=" New York"/>
    <x v="0"/>
  </r>
  <r>
    <s v="Ralph Lauren"/>
    <s v="Eau de Toilette"/>
    <x v="71"/>
    <n v="3"/>
    <n v="14"/>
    <n v="321.85999999999996"/>
    <s v="Normal Quality"/>
    <d v="2024-03-12T17:06:25"/>
    <s v="Brooklyn"/>
    <s v=" New York"/>
    <x v="0"/>
  </r>
  <r>
    <s v="Giorgio Armani"/>
    <s v="Eau de Parfum"/>
    <x v="72"/>
    <n v="10"/>
    <n v="280"/>
    <n v="7266"/>
    <s v="Normal Quality"/>
    <d v="2024-03-12T17:11:04"/>
    <s v="Stafford"/>
    <s v=" Texas"/>
    <x v="0"/>
  </r>
  <r>
    <s v="As Showed"/>
    <s v="Eau de Toilette"/>
    <x v="73"/>
    <n v="49"/>
    <n v="34"/>
    <n v="1477.98"/>
    <s v="Normal Quality"/>
    <d v="2024-03-12T17:40:33"/>
    <s v="Hong Kong Or Virginia"/>
    <s v=" Hong Kong"/>
    <x v="3"/>
  </r>
  <r>
    <s v="Classic Brands"/>
    <s v="Eau de Cologne"/>
    <x v="74"/>
    <n v="10"/>
    <n v="2256"/>
    <n v="40359.840000000004"/>
    <s v="High Quality"/>
    <d v="2024-03-12T18:06:36"/>
    <s v="Winter Garden"/>
    <s v=" Florida"/>
    <x v="0"/>
  </r>
  <r>
    <s v="Michael Malul London"/>
    <s v="Eau de Parfum"/>
    <x v="75"/>
    <n v="3"/>
    <n v="8"/>
    <n v="719.92"/>
    <s v="Normal Quality"/>
    <d v="2024-03-12T20:22:40"/>
    <s v="Towson"/>
    <s v=" Maryland"/>
    <x v="0"/>
  </r>
  <r>
    <s v="Zara"/>
    <s v="Eau de Parfum"/>
    <x v="76"/>
    <n v="0"/>
    <n v="30"/>
    <n v="1469.1"/>
    <s v="Normal Quality"/>
    <d v="2024-03-13T02:58:59"/>
    <s v="Matosinhos"/>
    <s v=" Portugal"/>
    <x v="0"/>
  </r>
  <r>
    <s v="Guerlain"/>
    <s v="Eau de Cologne"/>
    <x v="77"/>
    <n v="10"/>
    <n v="22"/>
    <n v="264"/>
    <s v="Normal Quality"/>
    <d v="2024-03-13T05:49:38"/>
    <s v="Punta Gorda"/>
    <s v=" Florida"/>
    <x v="0"/>
  </r>
  <r>
    <s v="Jovan"/>
    <s v="Eau de Cologne"/>
    <x v="78"/>
    <n v="10"/>
    <n v="330"/>
    <n v="3362.7"/>
    <s v="Normal Quality"/>
    <d v="2024-03-13T09:31:59"/>
    <s v="Dallas"/>
    <s v=" Texas"/>
    <x v="0"/>
  </r>
  <r>
    <s v="Ralph Lauren"/>
    <s v="Eau de Toilette"/>
    <x v="79"/>
    <n v="3"/>
    <n v="15"/>
    <n v="479.84999999999997"/>
    <s v="Normal Quality"/>
    <d v="2024-03-13T09:33:41"/>
    <s v="Dearborn Heights"/>
    <s v=" Michigan"/>
    <x v="0"/>
  </r>
  <r>
    <s v="Salvatore Ferragamo"/>
    <s v="Eau de Toilette"/>
    <x v="80"/>
    <n v="10"/>
    <n v="9"/>
    <n v="207"/>
    <s v="Normal Quality"/>
    <d v="2024-03-13T09:37:01"/>
    <s v="Glendora"/>
    <s v=" California"/>
    <x v="0"/>
  </r>
  <r>
    <s v="J. Del Pozo"/>
    <s v="Eau de Toilette"/>
    <x v="81"/>
    <n v="0"/>
    <n v="866"/>
    <n v="26837.34"/>
    <s v="Normal Quality"/>
    <d v="2024-03-13T10:02:02"/>
    <s v="Brooklyn"/>
    <s v=" New York"/>
    <x v="0"/>
  </r>
  <r>
    <s v="Christian Dior"/>
    <s v="Eau de Parfum"/>
    <x v="82"/>
    <n v="3"/>
    <n v="129"/>
    <n v="20896.710000000003"/>
    <s v="Normal Quality"/>
    <d v="2024-03-13T10:40:48"/>
    <s v="Miami"/>
    <s v=" Florida"/>
    <x v="0"/>
  </r>
  <r>
    <s v="Paco Rabanne"/>
    <s v="Eau de Toilette"/>
    <x v="7"/>
    <n v="6"/>
    <n v="23"/>
    <n v="919.7700000000001"/>
    <s v="Normal Quality"/>
    <d v="2024-03-13T11:37:20"/>
    <s v="Detroit"/>
    <s v=" Michigan"/>
    <x v="0"/>
  </r>
  <r>
    <s v="Carolina Herrera"/>
    <s v="Eau de Toilette"/>
    <x v="83"/>
    <n v="0"/>
    <n v="85"/>
    <n v="2731.05"/>
    <s v="Normal Quality"/>
    <d v="2024-03-13T13:58:55"/>
    <s v="Dallas"/>
    <s v=" Texas"/>
    <x v="0"/>
  </r>
  <r>
    <s v="Salvatore Ferragamo"/>
    <s v="Eau de Parfum"/>
    <x v="84"/>
    <n v="7"/>
    <n v="120"/>
    <n v="8394"/>
    <s v="Normal Quality"/>
    <d v="2024-03-13T17:50:50"/>
    <s v="Brooklyn"/>
    <s v=" New York"/>
    <x v="0"/>
  </r>
  <r>
    <s v="Paris Hilton"/>
    <s v="Eau de Toilette"/>
    <x v="85"/>
    <n v="4"/>
    <n v="2093"/>
    <n v="53350.57"/>
    <s v="High Quality"/>
    <d v="2024-03-13T19:01:09"/>
    <s v="Dallas"/>
    <s v=" Texas"/>
    <x v="0"/>
  </r>
  <r>
    <s v="Victor Manuelle"/>
    <s v="Eau de Parfum"/>
    <x v="7"/>
    <n v="3"/>
    <n v="153"/>
    <n v="6118.47"/>
    <s v="Normal Quality"/>
    <d v="2024-03-13T19:05:56"/>
    <s v="Philadelphia"/>
    <s v="pennsylvania"/>
    <x v="0"/>
  </r>
  <r>
    <s v="El Ganso"/>
    <s v="Eau de Toilette"/>
    <x v="86"/>
    <n v="0"/>
    <n v="6"/>
    <n v="336"/>
    <s v="Normal Quality"/>
    <d v="2024-03-14T03:39:09"/>
    <s v="Winter Haven"/>
    <s v=" Florida"/>
    <x v="0"/>
  </r>
  <r>
    <s v="Unknownves Saint Laurent"/>
    <s v="Eau de Parfum"/>
    <x v="87"/>
    <n v="101"/>
    <n v="581"/>
    <n v="55189.189999999995"/>
    <s v="Normal Quality"/>
    <d v="2024-03-14T07:23:28"/>
    <s v="Miami"/>
    <s v=" Florida"/>
    <x v="0"/>
  </r>
  <r>
    <s v="Giorgio Armani"/>
    <s v="Eau de Parfum"/>
    <x v="63"/>
    <n v="10"/>
    <n v="47"/>
    <n v="3759.5299999999997"/>
    <s v="Normal Quality"/>
    <d v="2024-03-14T08:33:40"/>
    <s v="Macomb"/>
    <s v=" Michigan"/>
    <x v="0"/>
  </r>
  <r>
    <s v="Lalique"/>
    <s v="Eau de Parfum"/>
    <x v="88"/>
    <n v="10"/>
    <n v="7"/>
    <n v="180.17999999999998"/>
    <s v="Normal Quality"/>
    <d v="2024-03-14T11:28:23"/>
    <s v="Dallas"/>
    <s v=" Texas"/>
    <x v="0"/>
  </r>
  <r>
    <s v="Nina Ricci"/>
    <s v="Eau de Toilette"/>
    <x v="89"/>
    <n v="5"/>
    <n v="7"/>
    <n v="840"/>
    <s v="Normal Quality"/>
    <d v="2024-03-14T13:13:29"/>
    <s v="Argyle"/>
    <s v=" Texas"/>
    <x v="0"/>
  </r>
  <r>
    <s v="Abercrombie &amp; Fitch"/>
    <s v="Eau de Cologne"/>
    <x v="90"/>
    <n v="0"/>
    <n v="18"/>
    <n v="449.82"/>
    <s v="Normal Quality"/>
    <d v="2024-03-14T13:19:07"/>
    <s v="Schenectady"/>
    <s v=" New York"/>
    <x v="0"/>
  </r>
  <r>
    <s v="Dolce&amp;Gabbana"/>
    <s v="Eau de Toilette"/>
    <x v="91"/>
    <n v="5"/>
    <n v="993"/>
    <n v="56591.07"/>
    <s v="Normal Quality"/>
    <d v="2024-03-14T15:34:41"/>
    <s v="Dallas"/>
    <s v=" Texas"/>
    <x v="0"/>
  </r>
  <r>
    <s v="Vince Camuto"/>
    <s v="Eau de Toilette"/>
    <x v="92"/>
    <n v="9"/>
    <n v="300"/>
    <n v="6363"/>
    <s v="Normal Quality"/>
    <d v="2024-03-14T16:12:02"/>
    <s v="Hackensack"/>
    <s v="New York"/>
    <x v="0"/>
  </r>
  <r>
    <s v="As Show"/>
    <s v="Eau de Parfum"/>
    <x v="75"/>
    <n v="10"/>
    <n v="5"/>
    <n v="449.95"/>
    <s v="Normal Quality"/>
    <d v="2024-03-14T20:43:05"/>
    <s v="New York"/>
    <s v="United States"/>
    <x v="2"/>
  </r>
  <r>
    <s v="Bvlgari"/>
    <s v="Eau de Toilette"/>
    <x v="93"/>
    <n v="0"/>
    <n v="31"/>
    <n v="1416.3899999999999"/>
    <s v="Normal Quality"/>
    <d v="2024-03-15T03:14:10"/>
    <s v="Houston"/>
    <s v=" Texas"/>
    <x v="4"/>
  </r>
  <r>
    <s v="Lacoste"/>
    <s v="Eau de Toilette"/>
    <x v="94"/>
    <n v="13"/>
    <n v="12"/>
    <n v="383.4"/>
    <s v="Normal Quality"/>
    <d v="2024-03-15T07:37:26"/>
    <s v="Oneida"/>
    <s v=" Tennessee"/>
    <x v="0"/>
  </r>
  <r>
    <s v="Carolina Herrera"/>
    <s v="Eau de Toilette"/>
    <x v="95"/>
    <n v="10"/>
    <n v="1963"/>
    <n v="130578.76"/>
    <s v="High Quality"/>
    <d v="2024-03-15T10:37:08"/>
    <s v="Hackensack"/>
    <s v="New York"/>
    <x v="0"/>
  </r>
  <r>
    <s v="Llure Sx"/>
    <s v="Eau de Cologne"/>
    <x v="96"/>
    <n v="7"/>
    <n v="114"/>
    <n v="4440.3"/>
    <s v="Normal Quality"/>
    <d v="2024-03-15T11:26:06"/>
    <s v="Long Beach"/>
    <s v=" California"/>
    <x v="0"/>
  </r>
  <r>
    <s v="Davidoff"/>
    <s v="Eau de Parfum"/>
    <x v="97"/>
    <n v="10"/>
    <n v="17"/>
    <n v="212.33"/>
    <s v="Normal Quality"/>
    <d v="2024-03-15T11:28:53"/>
    <s v="Princeton"/>
    <s v="New York"/>
    <x v="0"/>
  </r>
  <r>
    <s v="Coach"/>
    <s v="Eau de Toilette"/>
    <x v="34"/>
    <n v="0"/>
    <n v="286"/>
    <n v="8577.14"/>
    <s v="Normal Quality"/>
    <d v="2024-03-15T11:50:00"/>
    <s v="Edison"/>
    <s v="New York"/>
    <x v="0"/>
  </r>
  <r>
    <s v="King Of Kings"/>
    <s v="Eau de Parfum"/>
    <x v="63"/>
    <n v="24"/>
    <n v="15"/>
    <n v="1199.8499999999999"/>
    <s v="Normal Quality"/>
    <d v="2024-03-15T12:51:02"/>
    <s v="North Brunswick"/>
    <s v="New York"/>
    <x v="0"/>
  </r>
  <r>
    <s v="Michael Malul"/>
    <s v="Eau de Parfum"/>
    <x v="63"/>
    <n v="2"/>
    <n v="18"/>
    <n v="1439.82"/>
    <s v="Normal Quality"/>
    <d v="2024-03-15T13:47:53"/>
    <s v="Jonesboro"/>
    <s v=" Georgia"/>
    <x v="0"/>
  </r>
  <r>
    <s v="Armaf"/>
    <s v="Eau de Parfum"/>
    <x v="98"/>
    <n v="7"/>
    <n v="150"/>
    <n v="6750"/>
    <s v="Normal Quality"/>
    <d v="2024-03-15T15:14:22"/>
    <s v="San Diego"/>
    <s v=" California"/>
    <x v="0"/>
  </r>
  <r>
    <s v="Limited Edition"/>
    <s v="Eau de Parfum"/>
    <x v="99"/>
    <n v="10"/>
    <n v="21"/>
    <n v="1375.5"/>
    <s v="Normal Quality"/>
    <d v="2024-03-15T15:52:46"/>
    <s v="Houston"/>
    <s v=" Texas"/>
    <x v="0"/>
  </r>
  <r>
    <s v="Louis Vuitton"/>
    <s v="Eau de Parfum"/>
    <x v="100"/>
    <n v="2"/>
    <n v="624"/>
    <n v="11824.8"/>
    <s v="Normal Quality"/>
    <d v="2024-03-15T17:19:08"/>
    <s v="Pearland"/>
    <s v=" Texas"/>
    <x v="0"/>
  </r>
  <r>
    <s v="Paco Rabanne"/>
    <s v="Eau de Toilette"/>
    <x v="101"/>
    <n v="5"/>
    <n v="4"/>
    <n v="71.92"/>
    <s v="Normal Quality"/>
    <d v="2024-03-15T17:31:27"/>
    <s v="Austell"/>
    <s v=" Georgia"/>
    <x v="0"/>
  </r>
  <r>
    <s v="Unknownsl"/>
    <s v="Eau de Parfum"/>
    <x v="50"/>
    <n v="68"/>
    <n v="13"/>
    <n v="584.87"/>
    <s v="Normal Quality"/>
    <d v="2024-03-15T17:42:12"/>
    <s v="Edison"/>
    <s v="New York"/>
    <x v="2"/>
  </r>
  <r>
    <s v="Rasasi"/>
    <s v="Eau de Parfum"/>
    <x v="102"/>
    <n v="10"/>
    <n v="16"/>
    <n v="271.52"/>
    <s v="Normal Quality"/>
    <d v="2024-03-15T18:42:00"/>
    <s v="Buhl"/>
    <s v=" Idaho"/>
    <x v="0"/>
  </r>
  <r>
    <s v="Armaf"/>
    <s v="Eau de Toilette"/>
    <x v="103"/>
    <n v="10"/>
    <n v="739"/>
    <n v="15629.849999999999"/>
    <s v="Normal Quality"/>
    <d v="2024-03-15T19:05:45"/>
    <s v="Dallas"/>
    <s v=" Texas"/>
    <x v="0"/>
  </r>
  <r>
    <s v="Tom Ford"/>
    <s v="Eau de Parfum"/>
    <x v="104"/>
    <n v="36"/>
    <n v="9"/>
    <n v="117.45"/>
    <s v="Normal Quality"/>
    <d v="2024-03-15T19:24:33"/>
    <s v="Jacksonville"/>
    <s v=" Florida"/>
    <x v="0"/>
  </r>
  <r>
    <s v="Clive Christian"/>
    <s v="Eau de Parfum"/>
    <x v="105"/>
    <n v="6"/>
    <n v="14"/>
    <n v="182"/>
    <s v="Normal Quality"/>
    <d v="2024-03-15T22:29:13"/>
    <s v="Fort Walton Beach"/>
    <s v=" Florida"/>
    <x v="0"/>
  </r>
  <r>
    <s v="Guerlain"/>
    <s v="Eau de Cologne"/>
    <x v="106"/>
    <n v="10"/>
    <n v="6"/>
    <n v="581.70000000000005"/>
    <s v="Normal Quality"/>
    <d v="2024-03-15T23:13:02"/>
    <s v="Miami"/>
    <s v=" Florida"/>
    <x v="0"/>
  </r>
  <r>
    <s v="Bath &amp; BodUnknown Works"/>
    <s v="Eau de Parfum"/>
    <x v="107"/>
    <n v="0"/>
    <n v="654"/>
    <n v="7135.14"/>
    <s v="Normal Quality"/>
    <d v="2024-03-16T00:14:43"/>
    <s v="Modesto"/>
    <s v=" California"/>
    <x v="0"/>
  </r>
  <r>
    <s v="Valentino"/>
    <s v="Eau de Toilette"/>
    <x v="24"/>
    <n v="8"/>
    <n v="27"/>
    <n v="2132.73"/>
    <s v="Normal Quality"/>
    <d v="2024-03-16T02:06:00"/>
    <s v="United States"/>
    <s v="California"/>
    <x v="5"/>
  </r>
  <r>
    <s v="Giorgio Armani"/>
    <s v="Eau de Parfum"/>
    <x v="108"/>
    <n v="6"/>
    <n v="6"/>
    <n v="833.94"/>
    <s v="Normal Quality"/>
    <d v="2024-03-16T02:12:52"/>
    <s v="New York"/>
    <s v="United States"/>
    <x v="2"/>
  </r>
  <r>
    <s v="Eau de Parfums De MarlUnknown"/>
    <s v="Eau de Parfum"/>
    <x v="109"/>
    <n v="2"/>
    <n v="41"/>
    <n v="571.94999999999993"/>
    <s v="Normal Quality"/>
    <d v="2024-03-16T02:46:25"/>
    <s v="Pearland"/>
    <s v=" Texas"/>
    <x v="0"/>
  </r>
  <r>
    <s v="Emanuelle Ungaro"/>
    <s v="Eau de Parfum"/>
    <x v="110"/>
    <n v="0"/>
    <n v="226"/>
    <n v="7207.14"/>
    <s v="Normal Quality"/>
    <d v="2024-03-16T05:09:58"/>
    <s v="Dallas"/>
    <s v=" Texas"/>
    <x v="0"/>
  </r>
  <r>
    <s v="Christian Dior"/>
    <s v="Eau de Parfum"/>
    <x v="111"/>
    <n v="3"/>
    <n v="160"/>
    <n v="25598.400000000001"/>
    <s v="Normal Quality"/>
    <d v="2024-03-16T05:23:22"/>
    <s v="Miami"/>
    <s v=" Florida"/>
    <x v="0"/>
  </r>
  <r>
    <s v="Armaf"/>
    <s v="Eau de Parfum"/>
    <x v="112"/>
    <n v="130"/>
    <n v="397"/>
    <n v="16277"/>
    <s v="Normal Quality"/>
    <d v="2024-03-16T08:19:57"/>
    <s v="Delhi"/>
    <s v=" DELHI"/>
    <x v="6"/>
  </r>
  <r>
    <s v="Boucheron"/>
    <s v="Eau de Parfum"/>
    <x v="113"/>
    <n v="0"/>
    <n v="1024"/>
    <n v="36433.919999999998"/>
    <s v="High Quality"/>
    <d v="2024-03-16T08:36:58"/>
    <s v="Dallas"/>
    <s v=" Texas"/>
    <x v="0"/>
  </r>
  <r>
    <s v="Bharara"/>
    <s v="Eau de Parfum"/>
    <x v="114"/>
    <n v="0"/>
    <n v="8"/>
    <n v="438.8"/>
    <s v="Normal Quality"/>
    <d v="2024-03-16T09:13:11"/>
    <s v="Dallas"/>
    <s v=" Texas"/>
    <x v="0"/>
  </r>
  <r>
    <s v="Armaf"/>
    <s v="Eau de Parfum"/>
    <x v="115"/>
    <n v="4"/>
    <n v="109"/>
    <n v="4027.55"/>
    <s v="Normal Quality"/>
    <d v="2024-03-16T09:13:23"/>
    <s v="Dallas"/>
    <s v=" Texas"/>
    <x v="0"/>
  </r>
  <r>
    <s v="Clinique"/>
    <s v="Eau de Parfum"/>
    <x v="101"/>
    <n v="10"/>
    <n v="40"/>
    <n v="719.2"/>
    <s v="Normal Quality"/>
    <d v="2024-03-16T12:30:32"/>
    <s v="Austell"/>
    <s v=" Georgia"/>
    <x v="0"/>
  </r>
  <r>
    <s v="Bond No. 9"/>
    <s v="Eau de Parfum"/>
    <x v="101"/>
    <n v="8"/>
    <n v="12"/>
    <n v="215.76"/>
    <s v="Normal Quality"/>
    <d v="2024-03-16T12:30:51"/>
    <s v="Austell"/>
    <s v=" Georgia"/>
    <x v="0"/>
  </r>
  <r>
    <s v="Bond No. 9"/>
    <s v="Eau de Parfum"/>
    <x v="101"/>
    <n v="3"/>
    <n v="9"/>
    <n v="161.82"/>
    <s v="Normal Quality"/>
    <d v="2024-03-16T12:30:59"/>
    <s v="Austell"/>
    <s v=" Georgia"/>
    <x v="0"/>
  </r>
  <r>
    <s v="BurberrUnknown"/>
    <s v="Eau de Toilette"/>
    <x v="116"/>
    <n v="0"/>
    <n v="3"/>
    <n v="98.97"/>
    <s v="Normal Quality"/>
    <d v="2024-03-16T12:44:08"/>
    <s v="New York"/>
    <s v=" New York"/>
    <x v="0"/>
  </r>
  <r>
    <s v="Maison Alhambra"/>
    <s v="Eau de Parfum"/>
    <x v="81"/>
    <n v="5"/>
    <n v="39"/>
    <n v="1208.6099999999999"/>
    <s v="Normal Quality"/>
    <d v="2024-03-16T13:42:49"/>
    <s v="Englewood Cliffs"/>
    <s v="New York"/>
    <x v="0"/>
  </r>
  <r>
    <s v="GivenchUnknown"/>
    <s v="Eau de Parfum"/>
    <x v="117"/>
    <n v="3"/>
    <n v="180"/>
    <n v="13138.199999999999"/>
    <s v="Normal Quality"/>
    <d v="2024-03-16T14:16:01"/>
    <s v="Philadelphia"/>
    <s v="pennsylvania"/>
    <x v="0"/>
  </r>
  <r>
    <s v="Lattafa"/>
    <s v="Eau de Parfum"/>
    <x v="118"/>
    <n v="0"/>
    <n v="14"/>
    <n v="334.46000000000004"/>
    <s v="Normal Quality"/>
    <d v="2024-03-16T14:46:48"/>
    <s v="Bethpage"/>
    <s v=" New York"/>
    <x v="0"/>
  </r>
  <r>
    <s v="Xerjoff"/>
    <s v="Eau de Parfum"/>
    <x v="119"/>
    <n v="0"/>
    <n v="47"/>
    <n v="517"/>
    <s v="Normal Quality"/>
    <d v="2024-03-16T15:22:05"/>
    <s v="Fort Walton Beach"/>
    <s v=" Florida"/>
    <x v="0"/>
  </r>
  <r>
    <s v="Paco Rabanne"/>
    <s v="Eau de Toilette"/>
    <x v="120"/>
    <n v="9"/>
    <n v="16"/>
    <n v="263.68"/>
    <s v="Normal Quality"/>
    <d v="2024-03-16T16:30:41"/>
    <s v="Austell"/>
    <s v=" Georgia"/>
    <x v="0"/>
  </r>
  <r>
    <s v="Valentino"/>
    <s v="Eau de Toilette"/>
    <x v="63"/>
    <n v="2"/>
    <n v="316"/>
    <n v="25276.84"/>
    <s v="Normal Quality"/>
    <d v="2024-03-16T17:01:39"/>
    <s v="Walnut"/>
    <s v=" California"/>
    <x v="2"/>
  </r>
  <r>
    <s v="Giorgio Armani"/>
    <s v="Eau de Parfum"/>
    <x v="121"/>
    <n v="3"/>
    <n v="5"/>
    <n v="619.94999999999993"/>
    <s v="Normal Quality"/>
    <d v="2024-03-16T17:44:35"/>
    <s v="Miami"/>
    <s v=" Florida"/>
    <x v="0"/>
  </r>
  <r>
    <s v="Valentino"/>
    <s v="Eau de Toilette"/>
    <x v="75"/>
    <n v="5"/>
    <n v="23"/>
    <n v="2069.77"/>
    <s v="Normal Quality"/>
    <d v="2024-03-16T19:15:06"/>
    <s v="El Cajon"/>
    <s v=" California"/>
    <x v="2"/>
  </r>
  <r>
    <s v="Baron"/>
    <s v="Eau de Cologne"/>
    <x v="122"/>
    <n v="10"/>
    <n v="1433"/>
    <n v="40668.54"/>
    <s v="High Quality"/>
    <d v="2024-03-16T20:45:13"/>
    <s v="Dallas"/>
    <s v=" Texas"/>
    <x v="0"/>
  </r>
  <r>
    <s v="Diesel"/>
    <s v="Eau de Toilette"/>
    <x v="123"/>
    <n v="10"/>
    <n v="578"/>
    <n v="17189.719999999998"/>
    <s v="Normal Quality"/>
    <d v="2024-03-16T21:09:42"/>
    <s v="Dallas"/>
    <s v=" Texas"/>
    <x v="0"/>
  </r>
  <r>
    <s v="Mercedes-Benz"/>
    <s v="Eau de Toilette"/>
    <x v="124"/>
    <n v="10"/>
    <n v="17"/>
    <n v="815.83"/>
    <s v="Normal Quality"/>
    <d v="2024-03-16T21:53:55"/>
    <s v="Edison"/>
    <s v="New York"/>
    <x v="0"/>
  </r>
  <r>
    <s v="Rasasi"/>
    <s v="Eau de Parfum"/>
    <x v="98"/>
    <n v="10"/>
    <n v="37"/>
    <n v="1665"/>
    <s v="Normal Quality"/>
    <d v="2024-03-17T09:22:33"/>
    <s v="San Diego"/>
    <s v=" California"/>
    <x v="0"/>
  </r>
  <r>
    <s v="Ralph Lauren"/>
    <s v="Eau de Parfum"/>
    <x v="125"/>
    <n v="10"/>
    <n v="39"/>
    <n v="3480.75"/>
    <s v="Normal Quality"/>
    <d v="2024-03-17T09:28:09"/>
    <s v="Lynwood"/>
    <s v=" California"/>
    <x v="0"/>
  </r>
  <r>
    <s v="Phillips-Van Heusen"/>
    <s v="Eau de Toilette"/>
    <x v="126"/>
    <n v="10"/>
    <n v="504"/>
    <n v="10710"/>
    <s v="Normal Quality"/>
    <d v="2024-03-17T09:32:46"/>
    <s v="Lynwood"/>
    <s v=" California"/>
    <x v="0"/>
  </r>
  <r>
    <s v="Carolina Herrera"/>
    <s v="Eau de Toilette"/>
    <x v="127"/>
    <n v="10"/>
    <n v="23"/>
    <n v="3519"/>
    <s v="Normal Quality"/>
    <d v="2024-03-17T09:38:12"/>
    <s v="Lynwood"/>
    <s v=" California"/>
    <x v="0"/>
  </r>
  <r>
    <s v="Paco Rabanne"/>
    <s v="Eau de Toilette"/>
    <x v="7"/>
    <n v="5"/>
    <n v="118"/>
    <n v="4718.8200000000006"/>
    <s v="Normal Quality"/>
    <d v="2024-03-17T10:37:39"/>
    <s v="Southgate"/>
    <s v=" Michigan"/>
    <x v="0"/>
  </r>
  <r>
    <s v="Armaf"/>
    <s v="Eau de Parfum"/>
    <x v="34"/>
    <n v="5"/>
    <n v="7"/>
    <n v="209.92999999999998"/>
    <s v="Normal Quality"/>
    <d v="2024-03-17T11:19:13"/>
    <s v="Houston"/>
    <s v=" Texas"/>
    <x v="0"/>
  </r>
  <r>
    <s v="Diesel"/>
    <s v="Eau de Toilette"/>
    <x v="128"/>
    <n v="10"/>
    <n v="21"/>
    <n v="566.79"/>
    <s v="Normal Quality"/>
    <d v="2024-03-17T11:34:20"/>
    <s v="Bogota"/>
    <s v="New York"/>
    <x v="0"/>
  </r>
  <r>
    <s v="Armaf"/>
    <s v="Eau de Parfum"/>
    <x v="129"/>
    <n v="7"/>
    <n v="485"/>
    <n v="31525"/>
    <s v="Normal Quality"/>
    <d v="2024-03-17T11:37:19"/>
    <s v="Houston"/>
    <s v=" Texas"/>
    <x v="0"/>
  </r>
  <r>
    <s v="Dossier"/>
    <s v="Eau de Toilette"/>
    <x v="15"/>
    <n v="10"/>
    <n v="14"/>
    <n v="265.85999999999996"/>
    <s v="Normal Quality"/>
    <d v="2024-03-17T11:37:40"/>
    <s v="Bogota"/>
    <s v="New York"/>
    <x v="0"/>
  </r>
  <r>
    <s v="Armaf"/>
    <s v="Eau de Toilette"/>
    <x v="130"/>
    <n v="9"/>
    <n v="1306"/>
    <n v="37808.699999999997"/>
    <s v="High Quality"/>
    <d v="2024-03-17T11:38:12"/>
    <s v="Houston"/>
    <s v=" Texas"/>
    <x v="0"/>
  </r>
  <r>
    <s v="Kenneth Cole Reaction"/>
    <s v="Eau de Toilette"/>
    <x v="71"/>
    <n v="8"/>
    <n v="31"/>
    <n v="712.68999999999994"/>
    <s v="Normal Quality"/>
    <d v="2024-03-17T11:38:55"/>
    <s v="Bogota"/>
    <s v="New York"/>
    <x v="0"/>
  </r>
  <r>
    <s v="Dossier"/>
    <s v="Eau de Parfum"/>
    <x v="71"/>
    <n v="10"/>
    <n v="52"/>
    <n v="1195.48"/>
    <s v="Normal Quality"/>
    <d v="2024-03-17T11:39:08"/>
    <s v="Bogota"/>
    <s v="New York"/>
    <x v="0"/>
  </r>
  <r>
    <s v="Armaf"/>
    <s v="Eau de Parfum"/>
    <x v="131"/>
    <n v="8"/>
    <n v="700"/>
    <n v="39865"/>
    <s v="Normal Quality"/>
    <d v="2024-03-17T11:39:38"/>
    <s v="Houston"/>
    <s v=" Texas"/>
    <x v="0"/>
  </r>
  <r>
    <s v="Armaf"/>
    <s v="Eau de Parfum"/>
    <x v="132"/>
    <n v="0"/>
    <n v="955"/>
    <n v="41494.75"/>
    <s v="Normal Quality"/>
    <d v="2024-03-17T11:40:16"/>
    <s v="Houston"/>
    <s v=" Texas"/>
    <x v="0"/>
  </r>
  <r>
    <s v="Maison Francis Kurkdjian"/>
    <s v="Unknown"/>
    <x v="111"/>
    <n v="10"/>
    <n v="2"/>
    <n v="319.98"/>
    <s v="Normal Quality"/>
    <d v="2024-03-17T11:43:56"/>
    <s v="Shepherdsville"/>
    <s v=" Kentuck"/>
    <x v="0"/>
  </r>
  <r>
    <s v="Gucci"/>
    <s v="Eau de Parfum"/>
    <x v="133"/>
    <n v="10"/>
    <n v="248"/>
    <n v="17109.52"/>
    <s v="Normal Quality"/>
    <d v="2024-03-17T12:14:48"/>
    <s v="Dallas"/>
    <s v=" Texas"/>
    <x v="0"/>
  </r>
  <r>
    <s v="Avon"/>
    <s v="Eau de Toilette"/>
    <x v="3"/>
    <n v="10"/>
    <n v="577"/>
    <n v="20189.23"/>
    <s v="Normal Quality"/>
    <d v="2024-03-17T12:17:44"/>
    <s v="Austin"/>
    <s v=" Texas"/>
    <x v="0"/>
  </r>
  <r>
    <s v="Azzaro"/>
    <s v="Eau de Parfum"/>
    <x v="134"/>
    <n v="6"/>
    <n v="19"/>
    <n v="189.81"/>
    <s v="Normal Quality"/>
    <d v="2024-03-17T14:13:59"/>
    <s v="San Gabriel"/>
    <s v=" California"/>
    <x v="0"/>
  </r>
  <r>
    <s v="GuUnknown Laroche"/>
    <s v="Eau de Toilette"/>
    <x v="135"/>
    <n v="10"/>
    <n v="4972"/>
    <n v="137177.48000000001"/>
    <s v="High Quality"/>
    <d v="2024-03-17T15:16:24"/>
    <s v="Dallas"/>
    <s v=" Texas"/>
    <x v="0"/>
  </r>
  <r>
    <s v="Armaf"/>
    <s v="Eau de Toilette"/>
    <x v="136"/>
    <n v="71"/>
    <n v="8385"/>
    <n v="275447.25"/>
    <s v="High Quality"/>
    <d v="2024-03-17T15:41:45"/>
    <s v="Houston"/>
    <s v=" Texas"/>
    <x v="0"/>
  </r>
  <r>
    <s v="Rasasi"/>
    <s v="Eau de Parfum"/>
    <x v="44"/>
    <n v="29"/>
    <n v="12"/>
    <n v="456"/>
    <s v="Normal Quality"/>
    <d v="2024-03-17T18:15:39"/>
    <s v="Delhi"/>
    <s v=" DELHI"/>
    <x v="6"/>
  </r>
  <r>
    <s v="Blue Perfumes"/>
    <s v="Eau de Toilette"/>
    <x v="137"/>
    <n v="0"/>
    <n v="3"/>
    <n v="50.97"/>
    <s v="Normal Quality"/>
    <d v="2024-03-17T19:44:33"/>
    <s v="Edison"/>
    <s v=" United States"/>
    <x v="0"/>
  </r>
  <r>
    <s v="Giorgio Armani"/>
    <s v="Eau de Toilette"/>
    <x v="138"/>
    <n v="8"/>
    <n v="157"/>
    <n v="4380.3"/>
    <s v="Normal Quality"/>
    <d v="2024-03-17T20:51:19"/>
    <s v="Hamtramck"/>
    <s v=" Michigan"/>
    <x v="0"/>
  </r>
  <r>
    <s v="Guerlain Paris"/>
    <s v="Eau de Cologne"/>
    <x v="139"/>
    <n v="10"/>
    <n v="1"/>
    <n v="100"/>
    <s v="Normal Quality"/>
    <d v="2024-03-18T02:04:20"/>
    <s v="Graham"/>
    <s v=" Washington"/>
    <x v="0"/>
  </r>
  <r>
    <s v="Giorgio Armani"/>
    <s v="Eau de Toilette"/>
    <x v="140"/>
    <n v="7"/>
    <n v="111"/>
    <n v="5770.89"/>
    <s v="Normal Quality"/>
    <d v="2024-03-18T03:34:53"/>
    <s v="Thomasville"/>
    <s v=" Alabama"/>
    <x v="0"/>
  </r>
  <r>
    <s v="Giorgio Armani"/>
    <s v="Eau de Parfum"/>
    <x v="12"/>
    <n v="10"/>
    <n v="81"/>
    <n v="5669.19"/>
    <s v="Normal Quality"/>
    <d v="2024-03-18T05:26:34"/>
    <s v="Thomasville"/>
    <s v=" Alabama"/>
    <x v="0"/>
  </r>
  <r>
    <s v="Maison Alhambra"/>
    <s v="Eau de Parfum"/>
    <x v="141"/>
    <n v="0"/>
    <n v="3"/>
    <n v="79.5"/>
    <s v="Normal Quality"/>
    <d v="2024-03-18T08:01:01"/>
    <s v="New York"/>
    <s v=" New York"/>
    <x v="0"/>
  </r>
  <r>
    <s v="Ralph Lauren"/>
    <s v="Eau de Toilette"/>
    <x v="142"/>
    <n v="5"/>
    <n v="4"/>
    <n v="177.96"/>
    <s v="Normal Quality"/>
    <d v="2024-03-18T08:26:37"/>
    <s v="Flat Lick"/>
    <s v=" Kentuck"/>
    <x v="0"/>
  </r>
  <r>
    <s v="Paco Rabanne"/>
    <s v="Eau de Toilette"/>
    <x v="17"/>
    <n v="3"/>
    <n v="21"/>
    <n v="1049.79"/>
    <s v="Normal Quality"/>
    <d v="2024-03-18T08:34:44"/>
    <s v="Macomb"/>
    <s v=" Michigan"/>
    <x v="0"/>
  </r>
  <r>
    <s v="Ralph Lauren"/>
    <s v="Eau de Toilette"/>
    <x v="3"/>
    <n v="2"/>
    <n v="31"/>
    <n v="1084.69"/>
    <s v="Normal Quality"/>
    <d v="2024-03-18T08:45:33"/>
    <s v="Dearborn"/>
    <s v=" Michigan"/>
    <x v="0"/>
  </r>
  <r>
    <s v="Giorgio Armani"/>
    <s v="Eau de Toilette"/>
    <x v="34"/>
    <n v="10"/>
    <n v="12"/>
    <n v="359.88"/>
    <s v="Normal Quality"/>
    <d v="2024-03-18T09:30:42"/>
    <s v="Saint Clair Shores"/>
    <s v=" Michigan"/>
    <x v="0"/>
  </r>
  <r>
    <s v="Davidoff"/>
    <s v="Eau de Toilette"/>
    <x v="143"/>
    <n v="5"/>
    <n v="264"/>
    <n v="7101.5999999999995"/>
    <s v="Normal Quality"/>
    <d v="2024-03-18T10:55:29"/>
    <s v="Centralia"/>
    <s v=" Washington"/>
    <x v="0"/>
  </r>
  <r>
    <s v="Eau de Cologne"/>
    <s v="Eau de Toilette"/>
    <x v="144"/>
    <n v="3"/>
    <n v="1044"/>
    <n v="11473.56"/>
    <s v="High Quality"/>
    <d v="2024-03-18T14:38:27"/>
    <s v="Katy"/>
    <s v=" Texas"/>
    <x v="0"/>
  </r>
  <r>
    <s v="Eau de Cologne"/>
    <s v="Eau de Parfum"/>
    <x v="144"/>
    <n v="3"/>
    <n v="179"/>
    <n v="1967.21"/>
    <s v="Normal Quality"/>
    <d v="2024-03-18T14:39:08"/>
    <s v="Katy"/>
    <s v=" Texas"/>
    <x v="0"/>
  </r>
  <r>
    <s v="Secertmu"/>
    <s v="Eau de Parfum"/>
    <x v="144"/>
    <n v="10"/>
    <n v="35"/>
    <n v="384.65000000000003"/>
    <s v="Normal Quality"/>
    <d v="2024-03-18T14:48:44"/>
    <s v="San Francisco"/>
    <s v=" California"/>
    <x v="0"/>
  </r>
  <r>
    <s v="Secertmu"/>
    <s v="Eau de Parfum"/>
    <x v="51"/>
    <n v="9"/>
    <n v="51"/>
    <n v="611.49"/>
    <s v="Normal Quality"/>
    <d v="2024-03-18T15:24:03"/>
    <s v="Los Angeles"/>
    <s v=" California"/>
    <x v="0"/>
  </r>
  <r>
    <s v="United Scents"/>
    <s v="Eau de Parfum"/>
    <x v="8"/>
    <n v="6"/>
    <n v="20"/>
    <n v="299.8"/>
    <s v="Normal Quality"/>
    <d v="2024-03-18T15:52:35"/>
    <s v="Arcadia"/>
    <s v=" California"/>
    <x v="0"/>
  </r>
  <r>
    <s v="Secertmu"/>
    <s v="Eau de Parfum"/>
    <x v="145"/>
    <n v="3"/>
    <n v="102"/>
    <n v="709.92"/>
    <s v="Normal Quality"/>
    <d v="2024-03-18T16:15:46"/>
    <s v="San Francisco"/>
    <s v=" California"/>
    <x v="0"/>
  </r>
  <r>
    <s v="Lattafa"/>
    <s v="Eau de Parfum"/>
    <x v="128"/>
    <n v="2"/>
    <n v="75"/>
    <n v="2024.2499999999998"/>
    <s v="Normal Quality"/>
    <d v="2024-03-18T16:44:20"/>
    <s v="Bethpage"/>
    <s v=" New York"/>
    <x v="0"/>
  </r>
  <r>
    <s v="Jean Paul Gaultier"/>
    <s v="Eau de Parfum"/>
    <x v="146"/>
    <n v="5"/>
    <n v="594"/>
    <n v="7692.2999999999993"/>
    <s v="Normal Quality"/>
    <d v="2024-03-18T19:20:42"/>
    <s v="Pearland"/>
    <s v=" Texas"/>
    <x v="0"/>
  </r>
  <r>
    <s v="TommUnknown Bahama"/>
    <s v="Eau de Cologne"/>
    <x v="94"/>
    <n v="95"/>
    <n v="10"/>
    <n v="319.5"/>
    <s v="Normal Quality"/>
    <d v="2024-03-18T19:41:43"/>
    <s v="Texas"/>
    <s v=" United States"/>
    <x v="0"/>
  </r>
  <r>
    <s v="Diesel"/>
    <s v="Eau de Toilette"/>
    <x v="147"/>
    <n v="6"/>
    <n v="147"/>
    <n v="2499"/>
    <s v="Normal Quality"/>
    <d v="2024-03-18T20:56:17"/>
    <s v="Dallas"/>
    <s v=" Texas"/>
    <x v="0"/>
  </r>
  <r>
    <s v="Paco Rabanne"/>
    <s v="Eau de Toilette"/>
    <x v="148"/>
    <n v="3"/>
    <n v="293"/>
    <n v="22604.95"/>
    <s v="Normal Quality"/>
    <d v="2024-03-18T21:20:11"/>
    <s v="Dallas"/>
    <s v=" Texas"/>
    <x v="0"/>
  </r>
  <r>
    <s v="Creed"/>
    <s v="Eau de Parfum"/>
    <x v="105"/>
    <n v="10"/>
    <n v="17"/>
    <n v="221"/>
    <s v="Normal Quality"/>
    <d v="2024-03-18T21:26:21"/>
    <s v="Fort Walton Beach"/>
    <s v=" Florida"/>
    <x v="0"/>
  </r>
  <r>
    <s v="RawchemistrUnknown"/>
    <s v="Eau de Cologne"/>
    <x v="149"/>
    <n v="7"/>
    <n v="4"/>
    <n v="123.8"/>
    <s v="Normal Quality"/>
    <d v="2024-03-19T06:43:30"/>
    <s v="Maiden"/>
    <s v=" North Carolina"/>
    <x v="0"/>
  </r>
  <r>
    <s v="Ralph Lauren"/>
    <s v="Eau de Toilette"/>
    <x v="79"/>
    <n v="0"/>
    <n v="103"/>
    <n v="3294.97"/>
    <s v="Normal Quality"/>
    <d v="2024-03-19T07:45:31"/>
    <s v="Southgate"/>
    <s v=" Michigan"/>
    <x v="0"/>
  </r>
  <r>
    <s v="Creed"/>
    <s v="Eau de Parfum"/>
    <x v="67"/>
    <n v="5"/>
    <n v="655"/>
    <n v="10473.450000000001"/>
    <s v="Normal Quality"/>
    <d v="2024-03-19T08:37:16"/>
    <s v="New York"/>
    <s v=" New York"/>
    <x v="0"/>
  </r>
  <r>
    <s v="Salvatore Ferragamo"/>
    <s v="Eau de Toilette"/>
    <x v="150"/>
    <n v="4"/>
    <n v="5"/>
    <n v="164.45"/>
    <s v="Normal Quality"/>
    <d v="2024-03-19T09:08:53"/>
    <s v="Brooklyn"/>
    <s v=" New York"/>
    <x v="0"/>
  </r>
  <r>
    <s v="Ralph Lauren"/>
    <s v="Eau de Toilette"/>
    <x v="151"/>
    <n v="6"/>
    <n v="460"/>
    <n v="7976.4"/>
    <s v="Normal Quality"/>
    <d v="2024-03-19T09:13:03"/>
    <s v="Hackensack"/>
    <s v="New York"/>
    <x v="0"/>
  </r>
  <r>
    <s v="L’Occitane"/>
    <s v="Eau de Toilette"/>
    <x v="152"/>
    <n v="10"/>
    <n v="4"/>
    <n v="236"/>
    <s v="Normal Quality"/>
    <d v="2024-03-19T09:48:36"/>
    <s v="Winter Haven"/>
    <s v=" Florida"/>
    <x v="0"/>
  </r>
  <r>
    <s v="Paco Rabanne"/>
    <s v="Eau de Toilette"/>
    <x v="7"/>
    <n v="0"/>
    <n v="40"/>
    <n v="1599.6000000000001"/>
    <s v="Normal Quality"/>
    <d v="2024-03-19T10:33:07"/>
    <s v="Flat Lick"/>
    <s v=" Kentuck"/>
    <x v="0"/>
  </r>
  <r>
    <s v="Jean Paul Gaultier"/>
    <s v="Eau de Toilette"/>
    <x v="153"/>
    <n v="10"/>
    <n v="37"/>
    <n v="3404"/>
    <s v="Normal Quality"/>
    <d v="2024-03-19T11:37:40"/>
    <s v="New York"/>
    <s v=" United States"/>
    <x v="0"/>
  </r>
  <r>
    <s v="Polo"/>
    <s v="Eau de Toilette"/>
    <x v="154"/>
    <n v="4"/>
    <n v="174"/>
    <n v="7271.46"/>
    <s v="Normal Quality"/>
    <d v="2024-03-19T12:04:26"/>
    <s v="Jamaica"/>
    <s v=" New York"/>
    <x v="0"/>
  </r>
  <r>
    <s v="Jaguar"/>
    <s v="Eau de Toilette"/>
    <x v="155"/>
    <n v="10"/>
    <n v="63"/>
    <n v="917.91"/>
    <s v="Normal Quality"/>
    <d v="2024-03-19T12:27:34"/>
    <s v="Dallas"/>
    <s v=" Texas"/>
    <x v="0"/>
  </r>
  <r>
    <s v="Bharara"/>
    <s v="Eau de Parfum"/>
    <x v="156"/>
    <n v="10"/>
    <n v="47"/>
    <n v="2439.77"/>
    <s v="Normal Quality"/>
    <d v="2024-03-19T13:15:33"/>
    <s v="Richmond Hill"/>
    <s v=" New York"/>
    <x v="0"/>
  </r>
  <r>
    <s v="Abercrombie &amp; Fitch"/>
    <s v="Eau de Cologne"/>
    <x v="50"/>
    <n v="5"/>
    <n v="129"/>
    <n v="5803.71"/>
    <s v="Normal Quality"/>
    <d v="2024-03-19T15:03:20"/>
    <s v="Reinholds"/>
    <s v="pennsylvania"/>
    <x v="0"/>
  </r>
  <r>
    <s v="Polo Ralph Lauren"/>
    <s v="Eau de Toilette"/>
    <x v="22"/>
    <n v="7"/>
    <n v="38"/>
    <n v="1595.6200000000001"/>
    <s v="Normal Quality"/>
    <d v="2024-03-19T15:04:04"/>
    <s v="Reinholds"/>
    <s v="pennsylvania"/>
    <x v="0"/>
  </r>
  <r>
    <s v="Eau de Parfums De MarlUnknown"/>
    <s v="Eau de Parfum"/>
    <x v="157"/>
    <n v="3"/>
    <n v="151"/>
    <n v="18868.96"/>
    <s v="Normal Quality"/>
    <d v="2024-03-19T15:44:30"/>
    <s v="Hackensack"/>
    <s v="New York"/>
    <x v="0"/>
  </r>
  <r>
    <s v="Giorgio Armani"/>
    <s v="Eau de Parfum"/>
    <x v="158"/>
    <n v="13"/>
    <n v="5"/>
    <n v="135"/>
    <s v="Normal Quality"/>
    <d v="2024-03-19T15:46:01"/>
    <s v="Mclean"/>
    <s v=" Virginia"/>
    <x v="0"/>
  </r>
  <r>
    <s v="Rasasi"/>
    <s v="Eau de Parfum"/>
    <x v="159"/>
    <n v="3"/>
    <n v="3"/>
    <n v="77.97"/>
    <s v="Normal Quality"/>
    <d v="2024-03-19T15:48:43"/>
    <s v="Windsor Mill"/>
    <s v=" Maryland"/>
    <x v="0"/>
  </r>
  <r>
    <s v="Carolina Herrera"/>
    <s v="Eau de Parfum"/>
    <x v="160"/>
    <n v="7"/>
    <n v="496"/>
    <n v="29755.040000000001"/>
    <s v="Normal Quality"/>
    <d v="2024-03-19T16:41:48"/>
    <s v="Katy"/>
    <s v=" Texas"/>
    <x v="0"/>
  </r>
  <r>
    <s v="Gucci"/>
    <s v="Eau de Parfum"/>
    <x v="67"/>
    <n v="0"/>
    <n v="196"/>
    <n v="3134.04"/>
    <s v="Normal Quality"/>
    <d v="2024-03-19T16:43:20"/>
    <s v="Valley Stream"/>
    <s v=" New York"/>
    <x v="0"/>
  </r>
  <r>
    <s v="Salvatore Ferragamo"/>
    <s v="Eau de Parfum"/>
    <x v="128"/>
    <n v="0"/>
    <n v="14"/>
    <n v="377.85999999999996"/>
    <s v="Normal Quality"/>
    <d v="2024-03-19T17:29:51"/>
    <s v="Miami"/>
    <s v=" Florida"/>
    <x v="0"/>
  </r>
  <r>
    <s v="Bvlgari"/>
    <s v="Eau de Toilette"/>
    <x v="161"/>
    <n v="13"/>
    <n v="10"/>
    <n v="640.19999999999993"/>
    <s v="Normal Quality"/>
    <d v="2024-03-19T17:40:35"/>
    <s v="Hackensack"/>
    <s v="New York"/>
    <x v="0"/>
  </r>
  <r>
    <s v="As Show"/>
    <s v="Eau de Parfum"/>
    <x v="7"/>
    <n v="10"/>
    <n v="10"/>
    <n v="399.90000000000003"/>
    <s v="Normal Quality"/>
    <d v="2024-03-19T18:09:04"/>
    <s v="Dayton"/>
    <s v=" New York"/>
    <x v="2"/>
  </r>
  <r>
    <s v="Bvlgari"/>
    <s v="Eau de Toilette"/>
    <x v="120"/>
    <n v="3"/>
    <n v="24"/>
    <n v="395.52"/>
    <s v="Normal Quality"/>
    <d v="2024-03-19T18:22:54"/>
    <s v="Austell"/>
    <s v=" Georgia"/>
    <x v="0"/>
  </r>
  <r>
    <s v="Armaf"/>
    <s v="Eau de Parfum"/>
    <x v="162"/>
    <n v="10"/>
    <n v="2"/>
    <n v="67.98"/>
    <s v="Normal Quality"/>
    <d v="2024-03-19T18:24:26"/>
    <s v="Miami"/>
    <s v=" Florida"/>
    <x v="0"/>
  </r>
  <r>
    <s v="Unbranded"/>
    <s v="Unknown"/>
    <x v="17"/>
    <n v="5"/>
    <n v="68"/>
    <n v="3399.32"/>
    <s v="Normal Quality"/>
    <d v="2024-03-19T18:38:36"/>
    <s v=" New York"/>
    <s v=" United States"/>
    <x v="3"/>
  </r>
  <r>
    <s v="Kenneth Cole"/>
    <s v="Eau de Toilette"/>
    <x v="163"/>
    <n v="6"/>
    <n v="731"/>
    <n v="20775.02"/>
    <s v="Normal Quality"/>
    <d v="2024-03-19T19:06:00"/>
    <s v="Dallas"/>
    <s v=" Texas"/>
    <x v="0"/>
  </r>
  <r>
    <s v="Ralph Lauren"/>
    <s v="Eau de Toilette"/>
    <x v="164"/>
    <n v="8"/>
    <n v="37"/>
    <n v="1552.15"/>
    <s v="Normal Quality"/>
    <d v="2024-03-19T19:20:33"/>
    <s v="San Jose"/>
    <s v=" California"/>
    <x v="0"/>
  </r>
  <r>
    <s v="Paco Rabanne"/>
    <s v="Eau de Parfum"/>
    <x v="49"/>
    <n v="2"/>
    <n v="118"/>
    <n v="7668.82"/>
    <s v="Normal Quality"/>
    <d v="2024-03-19T22:33:32"/>
    <s v="Katy"/>
    <s v=" Texas"/>
    <x v="0"/>
  </r>
  <r>
    <s v="Avon"/>
    <s v="Eau de Toilette"/>
    <x v="25"/>
    <n v="10"/>
    <n v="26"/>
    <n v="519.74"/>
    <s v="Normal Quality"/>
    <d v="2024-03-19T22:56:04"/>
    <s v="Elk"/>
    <s v=" Poland"/>
    <x v="0"/>
  </r>
  <r>
    <s v="BurberrUnknown"/>
    <s v="Eau de Toilette"/>
    <x v="160"/>
    <n v="0"/>
    <n v="39"/>
    <n v="2339.61"/>
    <s v="Normal Quality"/>
    <d v="2024-03-19T22:59:41"/>
    <s v="Midway City"/>
    <s v=" California"/>
    <x v="2"/>
  </r>
  <r>
    <s v="Dossier"/>
    <s v="Eau de Parfum"/>
    <x v="60"/>
    <n v="2"/>
    <n v="12"/>
    <n v="180"/>
    <s v="Normal Quality"/>
    <d v="2024-03-19T23:29:58"/>
    <s v="Los Angeles"/>
    <s v=" California"/>
    <x v="0"/>
  </r>
  <r>
    <s v="Abercrombie &amp; Fitch"/>
    <s v="Eau de Toilette"/>
    <x v="165"/>
    <n v="10"/>
    <n v="24"/>
    <n v="1056"/>
    <s v="Normal Quality"/>
    <d v="2024-03-20T00:27:05"/>
    <s v="Warren"/>
    <s v=" Michigan"/>
    <x v="0"/>
  </r>
  <r>
    <s v="Ralph Lauren"/>
    <s v="Eau de Parfum"/>
    <x v="166"/>
    <n v="10"/>
    <n v="16"/>
    <n v="863.84"/>
    <s v="Normal Quality"/>
    <d v="2024-03-20T01:23:56"/>
    <s v="Orlando"/>
    <s v=" Florida"/>
    <x v="0"/>
  </r>
  <r>
    <s v="Penhaligon'S"/>
    <s v="Eau de Parfum"/>
    <x v="167"/>
    <n v="8"/>
    <n v="30"/>
    <n v="2999.7"/>
    <s v="Normal Quality"/>
    <d v="2024-03-20T04:16:27"/>
    <s v="Brenham"/>
    <s v=" Texas"/>
    <x v="0"/>
  </r>
  <r>
    <s v="Giorgio Armani"/>
    <s v="Eau de Toilette"/>
    <x v="168"/>
    <n v="6"/>
    <n v="20"/>
    <n v="759"/>
    <s v="Normal Quality"/>
    <d v="2024-03-20T05:50:34"/>
    <s v="Warren"/>
    <s v=" Michigan"/>
    <x v="0"/>
  </r>
  <r>
    <s v="TommUnknown Bahama"/>
    <s v="Eau de Cologne"/>
    <x v="159"/>
    <n v="3"/>
    <n v="209"/>
    <n v="5431.91"/>
    <s v="Normal Quality"/>
    <d v="2024-03-20T06:16:20"/>
    <s v="Texas"/>
    <s v=" United States"/>
    <x v="0"/>
  </r>
  <r>
    <s v="Fm"/>
    <s v="Eau de Parfum"/>
    <x v="169"/>
    <n v="5"/>
    <n v="16"/>
    <n v="269.60000000000002"/>
    <s v="Normal Quality"/>
    <d v="2024-03-20T06:43:11"/>
    <s v="Nashua"/>
    <s v=" New Hampshire"/>
    <x v="0"/>
  </r>
  <r>
    <s v="Azzaro"/>
    <s v="Eau de Toilette"/>
    <x v="170"/>
    <n v="10"/>
    <n v="644"/>
    <n v="10471.44"/>
    <s v="Normal Quality"/>
    <d v="2024-03-20T07:59:19"/>
    <s v="Dallas"/>
    <s v=" Texas"/>
    <x v="0"/>
  </r>
  <r>
    <s v="Rasasi"/>
    <s v="Eau de Parfum"/>
    <x v="164"/>
    <n v="0"/>
    <n v="7"/>
    <n v="293.65000000000003"/>
    <s v="Normal Quality"/>
    <d v="2024-03-20T09:41:59"/>
    <s v="Bridgeview"/>
    <s v=" Illinois"/>
    <x v="0"/>
  </r>
  <r>
    <s v="Nautica"/>
    <s v="Eau de Toilette"/>
    <x v="171"/>
    <n v="2"/>
    <n v="324"/>
    <n v="5828.7599999999993"/>
    <s v="Normal Quality"/>
    <d v="2024-03-20T10:32:37"/>
    <s v="Detroit"/>
    <s v=" Michigan"/>
    <x v="0"/>
  </r>
  <r>
    <s v="Ralph Lauren"/>
    <s v="Eau de Parfum"/>
    <x v="172"/>
    <n v="3"/>
    <n v="32"/>
    <n v="1376"/>
    <s v="Normal Quality"/>
    <d v="2024-03-20T10:33:43"/>
    <s v="Hamtramck"/>
    <s v=" Michigan"/>
    <x v="0"/>
  </r>
  <r>
    <s v="Lattafa"/>
    <s v="Eau de Parfum"/>
    <x v="173"/>
    <n v="0"/>
    <n v="4"/>
    <n v="133.96"/>
    <s v="Normal Quality"/>
    <d v="2024-03-20T10:40:38"/>
    <s v="Brooklyn"/>
    <s v=" New York"/>
    <x v="0"/>
  </r>
  <r>
    <s v="Hermes"/>
    <s v="Eau de Parfum"/>
    <x v="174"/>
    <n v="84"/>
    <n v="6"/>
    <n v="169.14000000000001"/>
    <s v="Normal Quality"/>
    <d v="2024-03-20T11:56:38"/>
    <s v="Brooklyn"/>
    <s v=" New York"/>
    <x v="0"/>
  </r>
  <r>
    <s v="Unknownves Saint Laurent"/>
    <s v="Eau de Toilette"/>
    <x v="175"/>
    <n v="10"/>
    <n v="343"/>
    <n v="15771.14"/>
    <s v="Normal Quality"/>
    <d v="2024-03-20T12:28:06"/>
    <s v="Brooklyn"/>
    <s v=" New York"/>
    <x v="0"/>
  </r>
  <r>
    <s v="Maison Francis Kurkdjian"/>
    <s v="Eau de Toilette"/>
    <x v="176"/>
    <n v="10"/>
    <n v="6"/>
    <n v="840"/>
    <s v="Normal Quality"/>
    <d v="2024-03-20T12:54:11"/>
    <s v="San Francisco"/>
    <s v=" California"/>
    <x v="0"/>
  </r>
  <r>
    <s v="Rasasi"/>
    <s v="Eau de Parfum"/>
    <x v="177"/>
    <n v="3"/>
    <n v="27"/>
    <n v="2106"/>
    <s v="Normal Quality"/>
    <d v="2024-03-20T13:03:25"/>
    <s v="Astoria"/>
    <s v=" New York"/>
    <x v="0"/>
  </r>
  <r>
    <s v="Prada"/>
    <s v="Eau de Parfum"/>
    <x v="178"/>
    <n v="10"/>
    <n v="30"/>
    <n v="5431.2"/>
    <s v="Normal Quality"/>
    <d v="2024-03-20T13:09:12"/>
    <s v="United States"/>
    <s v=" United States"/>
    <x v="0"/>
  </r>
  <r>
    <s v="Lomani"/>
    <s v="Eau de Toilette"/>
    <x v="134"/>
    <n v="0"/>
    <n v="22"/>
    <n v="219.78"/>
    <s v="Normal Quality"/>
    <d v="2024-03-20T13:20:54"/>
    <s v="Lincoln Park"/>
    <s v=" Michigan"/>
    <x v="0"/>
  </r>
  <r>
    <s v="Afnan"/>
    <s v="Eau de Parfum"/>
    <x v="179"/>
    <n v="10"/>
    <n v="131"/>
    <n v="909.1400000000001"/>
    <s v="Normal Quality"/>
    <d v="2024-03-20T14:10:33"/>
    <s v="Midway City"/>
    <s v=" California"/>
    <x v="0"/>
  </r>
  <r>
    <s v="Valentino"/>
    <s v="Eau de Parfum"/>
    <x v="15"/>
    <n v="3"/>
    <n v="8"/>
    <n v="151.91999999999999"/>
    <s v="Normal Quality"/>
    <d v="2024-03-20T14:29:09"/>
    <s v="Miami"/>
    <s v=" Florida"/>
    <x v="0"/>
  </r>
  <r>
    <s v="Jean Paul Gaultier"/>
    <s v="Eau de Toilette"/>
    <x v="180"/>
    <n v="10"/>
    <n v="5"/>
    <n v="61"/>
    <s v="Normal Quality"/>
    <d v="2024-03-20T14:43:18"/>
    <s v="Miami"/>
    <s v=" Florida"/>
    <x v="0"/>
  </r>
  <r>
    <s v="Diesel"/>
    <s v="Eau de Toilette"/>
    <x v="86"/>
    <n v="10"/>
    <n v="677"/>
    <n v="37912"/>
    <s v="Normal Quality"/>
    <d v="2024-03-20T15:18:21"/>
    <s v="Hackensack"/>
    <s v="New York"/>
    <x v="0"/>
  </r>
  <r>
    <s v="Penhaligon'S"/>
    <s v="Eau de Toilette"/>
    <x v="181"/>
    <n v="3"/>
    <n v="1"/>
    <n v="55"/>
    <s v="Normal Quality"/>
    <d v="2024-03-20T15:45:43"/>
    <s v="Melbourne"/>
    <s v=" Florida"/>
    <x v="0"/>
  </r>
  <r>
    <s v="Montblanc"/>
    <s v="Eau de Parfum"/>
    <x v="182"/>
    <n v="3"/>
    <n v="1"/>
    <n v="31.29"/>
    <s v="Normal Quality"/>
    <d v="2024-03-20T16:10:31"/>
    <s v="Brooklyn"/>
    <s v=" New York"/>
    <x v="0"/>
  </r>
  <r>
    <s v="As Shown"/>
    <s v="Eau de Toilette"/>
    <x v="183"/>
    <n v="6"/>
    <n v="101"/>
    <n v="4947.99"/>
    <s v="Normal Quality"/>
    <d v="2024-03-20T17:37:45"/>
    <s v="Hong Kong"/>
    <s v=" Hong Kong"/>
    <x v="3"/>
  </r>
  <r>
    <s v="Mercedes-Benz"/>
    <s v="Eau de Toilette"/>
    <x v="184"/>
    <n v="10"/>
    <n v="7"/>
    <n v="272.93"/>
    <s v="Normal Quality"/>
    <d v="2024-03-20T17:45:18"/>
    <s v="Miami"/>
    <s v=" Florida"/>
    <x v="0"/>
  </r>
  <r>
    <s v="Armaf"/>
    <s v="Eau de Parfum"/>
    <x v="33"/>
    <n v="3"/>
    <n v="57"/>
    <n v="1653"/>
    <s v="Normal Quality"/>
    <d v="2024-03-20T18:06:47"/>
    <s v="Brooklyn"/>
    <s v=" New York"/>
    <x v="0"/>
  </r>
  <r>
    <s v="Hermès"/>
    <s v="Eau de Toilette"/>
    <x v="185"/>
    <n v="3"/>
    <n v="292"/>
    <n v="18944.96"/>
    <s v="Normal Quality"/>
    <d v="2024-03-20T18:27:48"/>
    <s v="Dallas"/>
    <s v=" Texas"/>
    <x v="0"/>
  </r>
  <r>
    <s v="Hermès"/>
    <s v="Eau de Parfum"/>
    <x v="28"/>
    <n v="10"/>
    <n v="23"/>
    <n v="666.77"/>
    <s v="Normal Quality"/>
    <d v="2024-03-20T18:36:38"/>
    <s v="Philadelphia"/>
    <s v="pennsylvania"/>
    <x v="0"/>
  </r>
  <r>
    <s v="As Showed"/>
    <s v="Eau de Parfum"/>
    <x v="186"/>
    <n v="9"/>
    <n v="4"/>
    <n v="169.56"/>
    <s v="Normal Quality"/>
    <d v="2024-03-20T19:16:37"/>
    <s v="California"/>
    <s v="United States"/>
    <x v="2"/>
  </r>
  <r>
    <s v="As Showed"/>
    <s v="Eau de Toilette"/>
    <x v="187"/>
    <n v="0"/>
    <n v="17"/>
    <n v="163.37"/>
    <s v="Normal Quality"/>
    <d v="2024-03-20T19:45:54"/>
    <s v="New York"/>
    <s v=" Hong Kong"/>
    <x v="2"/>
  </r>
  <r>
    <s v="Viktor &amp; Rolf"/>
    <s v="Eau de Toilette"/>
    <x v="101"/>
    <n v="8"/>
    <n v="66"/>
    <n v="1186.68"/>
    <s v="Normal Quality"/>
    <d v="2024-03-20T20:09:23"/>
    <s v="Austell"/>
    <s v=" Georgia"/>
    <x v="0"/>
  </r>
  <r>
    <s v="Hollister"/>
    <s v="Eau de Toilette"/>
    <x v="188"/>
    <n v="45"/>
    <n v="227"/>
    <n v="4258.5200000000004"/>
    <s v="Normal Quality"/>
    <d v="2024-03-20T20:39:02"/>
    <s v="Hackensack"/>
    <s v="New York"/>
    <x v="0"/>
  </r>
  <r>
    <s v="GivenchUnknown"/>
    <s v="Eau de Parfum"/>
    <x v="189"/>
    <n v="10"/>
    <n v="8"/>
    <n v="390.96"/>
    <s v="Normal Quality"/>
    <d v="2024-03-20T20:44:28"/>
    <s v="Brooklyn"/>
    <s v=" New York"/>
    <x v="0"/>
  </r>
  <r>
    <s v="John Varvatos"/>
    <s v="Eau de Toilette"/>
    <x v="190"/>
    <n v="113"/>
    <n v="453"/>
    <n v="15112.08"/>
    <s v="Normal Quality"/>
    <d v="2024-03-20T20:52:08"/>
    <s v="Dallas"/>
    <s v=" Texas"/>
    <x v="0"/>
  </r>
  <r>
    <s v="Armaf"/>
    <s v="Eau de Parfum"/>
    <x v="115"/>
    <n v="0"/>
    <n v="120"/>
    <n v="4434"/>
    <s v="Normal Quality"/>
    <d v="2024-03-20T21:16:42"/>
    <s v="Dallas"/>
    <s v=" Texas"/>
    <x v="0"/>
  </r>
  <r>
    <s v="Brut"/>
    <s v="Splash-on"/>
    <x v="191"/>
    <n v="21"/>
    <n v="15"/>
    <n v="299.54999999999995"/>
    <s v="Normal Quality"/>
    <d v="2024-03-20T21:21:03"/>
    <s v="San Diego"/>
    <s v=" California"/>
    <x v="0"/>
  </r>
  <r>
    <s v="Azzaro"/>
    <s v="Eau de Toilette"/>
    <x v="192"/>
    <n v="0"/>
    <n v="1034"/>
    <n v="19604.64"/>
    <s v="High Quality"/>
    <d v="2024-03-20T22:52:48"/>
    <s v="Dallas"/>
    <s v=" Texas"/>
    <x v="0"/>
  </r>
  <r>
    <s v="Ralph Lauren"/>
    <s v="Eau de Cologne"/>
    <x v="193"/>
    <n v="3"/>
    <n v="145"/>
    <n v="6008.7999999999993"/>
    <s v="Normal Quality"/>
    <d v="2024-03-20T23:05:25"/>
    <s v="Dallas"/>
    <s v=" Texas"/>
    <x v="0"/>
  </r>
  <r>
    <s v="Unbranded"/>
    <s v="Unknown"/>
    <x v="144"/>
    <n v="4"/>
    <n v="38"/>
    <n v="417.62"/>
    <s v="Normal Quality"/>
    <d v="2024-03-20T23:42:53"/>
    <s v="Los Angeles"/>
    <s v=" California"/>
    <x v="0"/>
  </r>
  <r>
    <s v="Jean Paul Gaultier"/>
    <s v="Eau de Toilette"/>
    <x v="153"/>
    <n v="0"/>
    <n v="29"/>
    <n v="2668"/>
    <s v="Normal Quality"/>
    <d v="2024-03-20T23:59:09"/>
    <s v="New York"/>
    <s v=" United States"/>
    <x v="0"/>
  </r>
  <r>
    <s v="Ralph Lauren"/>
    <s v="Eau de Toilette"/>
    <x v="194"/>
    <n v="2"/>
    <n v="2"/>
    <n v="45"/>
    <s v="Normal Quality"/>
    <d v="2024-03-21T00:00:00"/>
    <s v="Mesa"/>
    <s v=" Arizona"/>
    <x v="0"/>
  </r>
  <r>
    <s v="Penhaligon'S"/>
    <s v="Eau de Parfum"/>
    <x v="195"/>
    <n v="0"/>
    <n v="3"/>
    <n v="215.96999999999997"/>
    <s v="Normal Quality"/>
    <d v="2024-03-21T00:10:23"/>
    <s v="New York"/>
    <s v=" Hong Kong"/>
    <x v="0"/>
  </r>
  <r>
    <s v="Unknownves Saint Laurent"/>
    <s v="Eau de Parfum"/>
    <x v="196"/>
    <n v="10"/>
    <n v="22"/>
    <n v="1297.78"/>
    <s v="Normal Quality"/>
    <d v="2024-03-21T00:24:47"/>
    <s v="Grand Rapids"/>
    <s v=" Michigan"/>
    <x v="0"/>
  </r>
  <r>
    <s v="Fragance One"/>
    <s v="Eau de Parfum"/>
    <x v="197"/>
    <n v="10"/>
    <n v="5"/>
    <n v="899.95"/>
    <s v="Normal Quality"/>
    <d v="2024-03-21T01:44:29"/>
    <s v="West Chester"/>
    <s v="pennsylvania"/>
    <x v="0"/>
  </r>
  <r>
    <s v="Azzaro"/>
    <s v="Eau de Toilette"/>
    <x v="198"/>
    <n v="10"/>
    <n v="12"/>
    <n v="217.32"/>
    <s v="Normal Quality"/>
    <d v="2024-03-21T03:34:53"/>
    <s v="Orlando"/>
    <s v=" Florida"/>
    <x v="0"/>
  </r>
  <r>
    <s v="TommUnknown Hilfiger"/>
    <s v="Eau de Toilette"/>
    <x v="199"/>
    <n v="10"/>
    <n v="269"/>
    <n v="2676.5499999999997"/>
    <s v="Normal Quality"/>
    <d v="2024-03-21T05:43:41"/>
    <s v=" Beauty Maxima"/>
    <s v=" United States"/>
    <x v="0"/>
  </r>
  <r>
    <s v="Halston"/>
    <s v="Eau de Cologne"/>
    <x v="200"/>
    <n v="10"/>
    <n v="4443"/>
    <n v="68910.929999999993"/>
    <s v="High Quality"/>
    <d v="2024-03-21T06:22:07"/>
    <s v="Dallas"/>
    <s v=" Texas"/>
    <x v="0"/>
  </r>
  <r>
    <s v="Eau de Parfums De MarlUnknown"/>
    <s v="Eau de Parfum"/>
    <x v="201"/>
    <n v="0"/>
    <n v="6"/>
    <n v="660"/>
    <s v="Normal Quality"/>
    <d v="2024-03-21T06:39:59"/>
    <s v="Brownsboro"/>
    <s v=" Texas"/>
    <x v="0"/>
  </r>
  <r>
    <s v="Carolina Herrera"/>
    <s v="Eau de Toilette"/>
    <x v="7"/>
    <n v="3"/>
    <n v="52"/>
    <n v="2079.48"/>
    <s v="Normal Quality"/>
    <d v="2024-03-21T06:41:06"/>
    <s v="Dexter"/>
    <s v=" Michigan"/>
    <x v="0"/>
  </r>
  <r>
    <s v="Prada"/>
    <s v="Eau de Toilette"/>
    <x v="202"/>
    <n v="0"/>
    <n v="2774"/>
    <n v="235041.02000000002"/>
    <s v="High Quality"/>
    <d v="2024-03-21T06:58:02"/>
    <s v="Hackensack"/>
    <s v="New York"/>
    <x v="0"/>
  </r>
  <r>
    <s v="Roja Eau de Parfums"/>
    <s v="Eau de Parfum"/>
    <x v="63"/>
    <n v="8"/>
    <n v="13"/>
    <n v="1039.8699999999999"/>
    <s v="Normal Quality"/>
    <d v="2024-03-21T07:11:45"/>
    <s v="Hongkong"/>
    <s v=" Hong Kong"/>
    <x v="0"/>
  </r>
  <r>
    <s v="Unknownves De Sistelle"/>
    <s v="Eau de Toilette"/>
    <x v="203"/>
    <n v="0"/>
    <n v="674"/>
    <n v="12698.16"/>
    <s v="Normal Quality"/>
    <d v="2024-03-21T07:27:08"/>
    <s v="Dallas"/>
    <s v=" Texas"/>
    <x v="0"/>
  </r>
  <r>
    <s v="David Beckham"/>
    <s v="Eau de Toilette"/>
    <x v="204"/>
    <n v="3"/>
    <n v="60"/>
    <n v="2220"/>
    <s v="Normal Quality"/>
    <d v="2024-03-21T07:32:36"/>
    <s v="Scarborough"/>
    <s v=" Ontario"/>
    <x v="1"/>
  </r>
  <r>
    <s v="Versace"/>
    <s v="Eau de Toilette"/>
    <x v="205"/>
    <n v="0"/>
    <n v="37"/>
    <n v="1701.63"/>
    <s v="Normal Quality"/>
    <d v="2024-03-21T07:36:26"/>
    <s v="Miami"/>
    <s v=" Florida"/>
    <x v="0"/>
  </r>
  <r>
    <s v="Giorgio Armani"/>
    <s v="Eau de Toilette"/>
    <x v="160"/>
    <n v="6"/>
    <n v="14"/>
    <n v="839.86"/>
    <s v="Normal Quality"/>
    <d v="2024-03-21T07:50:36"/>
    <s v="Hamtramck"/>
    <s v=" Michigan"/>
    <x v="0"/>
  </r>
  <r>
    <s v="Creed"/>
    <s v="Eau de Parfum"/>
    <x v="206"/>
    <n v="0"/>
    <n v="386"/>
    <n v="62111.26"/>
    <s v="Normal Quality"/>
    <d v="2024-03-21T07:53:03"/>
    <s v="Hackensack"/>
    <s v="New York"/>
    <x v="0"/>
  </r>
  <r>
    <s v="Maison Margiela"/>
    <s v="Eau de Toilette"/>
    <x v="207"/>
    <n v="4"/>
    <n v="42"/>
    <n v="3569.1600000000003"/>
    <s v="Normal Quality"/>
    <d v="2024-03-21T07:56:03"/>
    <s v="Hackensack"/>
    <s v="New York"/>
    <x v="0"/>
  </r>
  <r>
    <s v="Montblanc"/>
    <s v="Eau de Toilette"/>
    <x v="150"/>
    <n v="96"/>
    <n v="5032"/>
    <n v="165502.48000000001"/>
    <s v="High Quality"/>
    <d v="2024-03-21T07:59:07"/>
    <s v="Dallas"/>
    <s v=" Texas"/>
    <x v="0"/>
  </r>
  <r>
    <s v="Afnan"/>
    <s v="Eau de Parfum"/>
    <x v="208"/>
    <n v="10"/>
    <n v="55"/>
    <n v="1422.3"/>
    <s v="Normal Quality"/>
    <d v="2024-03-21T08:20:51"/>
    <s v="Melissa"/>
    <s v=" Texas"/>
    <x v="0"/>
  </r>
  <r>
    <s v="Lattafa"/>
    <s v="Eau de Parfum"/>
    <x v="41"/>
    <n v="8"/>
    <n v="127"/>
    <n v="2146.2999999999997"/>
    <s v="Normal Quality"/>
    <d v="2024-03-21T08:40:15"/>
    <s v="Hackensack"/>
    <s v="New York"/>
    <x v="0"/>
  </r>
  <r>
    <s v="Polo Ralph Lauren"/>
    <s v="Eau de Toilette"/>
    <x v="209"/>
    <n v="10"/>
    <n v="15"/>
    <n v="398.25"/>
    <s v="Normal Quality"/>
    <d v="2024-03-21T08:45:23"/>
    <s v="Hamlet"/>
    <s v=" North Carolina"/>
    <x v="0"/>
  </r>
  <r>
    <s v="Dolce&amp;Gabbana"/>
    <s v="Eau de Toilette"/>
    <x v="184"/>
    <n v="0"/>
    <n v="40"/>
    <n v="1559.6000000000001"/>
    <s v="Normal Quality"/>
    <d v="2024-03-21T08:49:20"/>
    <s v="Detroit"/>
    <s v=" Michigan"/>
    <x v="0"/>
  </r>
  <r>
    <s v="Abercrombie &amp; Fitch"/>
    <s v="Eau de Cologne"/>
    <x v="17"/>
    <n v="124"/>
    <n v="916"/>
    <n v="45790.840000000004"/>
    <s v="Normal Quality"/>
    <d v="2024-03-21T09:02:01"/>
    <s v="Melvindale"/>
    <s v=" Michigan"/>
    <x v="0"/>
  </r>
  <r>
    <s v="BurberrUnknown"/>
    <s v="Eau de Toilette"/>
    <x v="149"/>
    <n v="5"/>
    <n v="16"/>
    <n v="495.2"/>
    <s v="Normal Quality"/>
    <d v="2024-03-21T09:06:31"/>
    <s v="Detroit"/>
    <s v=" Michigan"/>
    <x v="0"/>
  </r>
  <r>
    <s v="Unknownsl"/>
    <s v="Eau de Parfum"/>
    <x v="7"/>
    <n v="10"/>
    <n v="9"/>
    <n v="359.91"/>
    <s v="Normal Quality"/>
    <d v="2024-03-21T09:33:44"/>
    <s v="Ontario"/>
    <s v=" California"/>
    <x v="0"/>
  </r>
  <r>
    <s v="As Show"/>
    <s v="Eau de Toilette"/>
    <x v="124"/>
    <n v="10"/>
    <n v="16"/>
    <n v="767.84"/>
    <s v="Normal Quality"/>
    <d v="2024-03-21T09:39:57"/>
    <s v="California"/>
    <s v="United States"/>
    <x v="0"/>
  </r>
  <r>
    <s v="Azzaro"/>
    <s v="Eau de Toilette"/>
    <x v="210"/>
    <n v="31"/>
    <n v="210"/>
    <n v="3801.0000000000005"/>
    <s v="Normal Quality"/>
    <d v="2024-03-21T09:40:06"/>
    <s v="Dallas"/>
    <s v=" Texas"/>
    <x v="0"/>
  </r>
  <r>
    <s v="Ralph Lauren"/>
    <s v="Eau de Toilette"/>
    <x v="3"/>
    <n v="3"/>
    <n v="457"/>
    <n v="15990.43"/>
    <s v="Normal Quality"/>
    <d v="2024-03-21T09:49:10"/>
    <s v="Detroit"/>
    <s v=" Michigan"/>
    <x v="0"/>
  </r>
  <r>
    <s v="Salvatore Ferragamo"/>
    <s v="Eau de Toilette"/>
    <x v="211"/>
    <n v="3"/>
    <n v="1047"/>
    <n v="28122.42"/>
    <s v="High Quality"/>
    <d v="2024-03-21T09:56:08"/>
    <s v="Dallas"/>
    <s v=" Texas"/>
    <x v="0"/>
  </r>
  <r>
    <s v="Jaguar"/>
    <s v="Eau de Toilette"/>
    <x v="212"/>
    <n v="7"/>
    <n v="2777"/>
    <n v="43460.05"/>
    <s v="High Quality"/>
    <d v="2024-03-21T10:00:07"/>
    <s v="Dallas"/>
    <s v=" Texas"/>
    <x v="0"/>
  </r>
  <r>
    <s v="Ralph Lauren"/>
    <s v="Eau de Toilette"/>
    <x v="213"/>
    <n v="0"/>
    <n v="24"/>
    <n v="676.8"/>
    <s v="Normal Quality"/>
    <d v="2024-03-21T10:01:54"/>
    <s v="Hamtramck"/>
    <s v=" Michigan"/>
    <x v="0"/>
  </r>
  <r>
    <s v="Unknownves De Sistelle"/>
    <s v="Eau de Toilette"/>
    <x v="214"/>
    <n v="10"/>
    <n v="7253"/>
    <n v="143246.75"/>
    <s v="High Quality"/>
    <d v="2024-03-21T10:02:07"/>
    <s v="Dallas"/>
    <s v=" Texas"/>
    <x v="0"/>
  </r>
  <r>
    <s v="Liz Claiborne"/>
    <s v="Eau de Toilette"/>
    <x v="215"/>
    <n v="3"/>
    <n v="1337"/>
    <n v="36139.11"/>
    <s v="High Quality"/>
    <d v="2024-03-21T11:23:08"/>
    <s v="Dallas"/>
    <s v=" Texas"/>
    <x v="0"/>
  </r>
  <r>
    <s v="King Of Kings"/>
    <s v="Eau de Parfum"/>
    <x v="63"/>
    <n v="10"/>
    <n v="43"/>
    <n v="3439.5699999999997"/>
    <s v="Normal Quality"/>
    <d v="2024-03-21T12:02:21"/>
    <s v="North Brunswick"/>
    <s v="New York"/>
    <x v="0"/>
  </r>
  <r>
    <s v="Dolce&amp;Gabbana"/>
    <s v="Eau de Parfum"/>
    <x v="216"/>
    <n v="7"/>
    <n v="14"/>
    <n v="3359.86"/>
    <s v="Normal Quality"/>
    <d v="2024-03-21T12:41:57"/>
    <s v="El Cajon"/>
    <s v=" California"/>
    <x v="0"/>
  </r>
  <r>
    <s v="Azzaro"/>
    <s v="Eau de Toilette"/>
    <x v="217"/>
    <n v="10"/>
    <n v="424"/>
    <n v="11435.279999999999"/>
    <s v="Normal Quality"/>
    <d v="2024-03-21T13:31:47"/>
    <s v="Dallas"/>
    <s v=" Texas"/>
    <x v="0"/>
  </r>
  <r>
    <s v="GivenchUnknown"/>
    <s v="Eau de Toilette"/>
    <x v="14"/>
    <n v="10"/>
    <n v="178"/>
    <n v="7111.1"/>
    <s v="Normal Quality"/>
    <d v="2024-03-21T13:41:28"/>
    <s v="Fort Lauderdale"/>
    <s v=" Florida"/>
    <x v="0"/>
  </r>
  <r>
    <s v="MUnknownrurgia"/>
    <s v="Eau de Toilette"/>
    <x v="218"/>
    <n v="3"/>
    <n v="8453"/>
    <n v="84360.94"/>
    <s v="High Quality"/>
    <d v="2024-03-21T13:43:42"/>
    <s v="Dallas"/>
    <s v=" Texas"/>
    <x v="0"/>
  </r>
  <r>
    <s v="Afnan"/>
    <s v="Eau de Parfum"/>
    <x v="219"/>
    <n v="620"/>
    <n v="131"/>
    <n v="4414.7000000000007"/>
    <s v="Normal Quality"/>
    <d v="2024-03-21T14:00:54"/>
    <s v="Dallas"/>
    <s v=" Texas"/>
    <x v="0"/>
  </r>
  <r>
    <s v="Clinique"/>
    <s v="Eau de Toilette"/>
    <x v="220"/>
    <n v="10"/>
    <n v="86"/>
    <n v="1891.1399999999999"/>
    <s v="Normal Quality"/>
    <d v="2024-03-21T14:28:23"/>
    <s v="Miami"/>
    <s v=" Florida"/>
    <x v="0"/>
  </r>
  <r>
    <s v="Versace"/>
    <s v="Eau de Parfum"/>
    <x v="221"/>
    <n v="0"/>
    <n v="550"/>
    <n v="31949.500000000004"/>
    <s v="Normal Quality"/>
    <d v="2024-03-21T14:43:09"/>
    <s v="Dallas"/>
    <s v=" Texas"/>
    <x v="0"/>
  </r>
  <r>
    <s v="J. Del Pozo"/>
    <s v="Eau de Toilette"/>
    <x v="222"/>
    <n v="8"/>
    <n v="397"/>
    <n v="10877.8"/>
    <s v="Normal Quality"/>
    <d v="2024-03-21T15:07:11"/>
    <s v="Dallas"/>
    <s v=" Texas"/>
    <x v="0"/>
  </r>
  <r>
    <s v="Emporio Armani"/>
    <s v="Eau de Toilette"/>
    <x v="223"/>
    <n v="0"/>
    <n v="1333"/>
    <n v="95949.340000000011"/>
    <s v="High Quality"/>
    <d v="2024-03-21T15:07:29"/>
    <s v="Hackensack"/>
    <s v="New York"/>
    <x v="0"/>
  </r>
  <r>
    <s v="Lalique"/>
    <s v="Eau de Parfum"/>
    <x v="174"/>
    <n v="10"/>
    <n v="10"/>
    <n v="281.90000000000003"/>
    <s v="Normal Quality"/>
    <d v="2024-03-21T15:32:31"/>
    <s v="Brooklyn"/>
    <s v=" New York"/>
    <x v="0"/>
  </r>
  <r>
    <s v="Unbranded"/>
    <s v="Eau de Parfum"/>
    <x v="17"/>
    <n v="10"/>
    <n v="45"/>
    <n v="2249.5500000000002"/>
    <s v="Normal Quality"/>
    <d v="2024-03-21T16:11:07"/>
    <s v="Houston"/>
    <s v=" Texas"/>
    <x v="0"/>
  </r>
  <r>
    <s v="Giorgio Armani"/>
    <s v="Eau de Parfum"/>
    <x v="224"/>
    <n v="10"/>
    <n v="9"/>
    <n v="1160.9100000000001"/>
    <s v="Normal Quality"/>
    <d v="2024-03-21T16:16:24"/>
    <s v="New York"/>
    <s v=" New York"/>
    <x v="0"/>
  </r>
  <r>
    <s v="ReUnknownane Tradition"/>
    <s v="Eau de Toilette"/>
    <x v="71"/>
    <n v="0"/>
    <n v="12"/>
    <n v="275.88"/>
    <s v="Normal Quality"/>
    <d v="2024-03-21T16:52:49"/>
    <s v="New York"/>
    <s v=" New York"/>
    <x v="0"/>
  </r>
  <r>
    <s v="Lacoste"/>
    <s v="Eau de Toilette"/>
    <x v="225"/>
    <n v="10"/>
    <n v="1995"/>
    <n v="108727.5"/>
    <s v="High Quality"/>
    <d v="2024-03-21T17:08:14"/>
    <s v="Hackensack"/>
    <s v="New York"/>
    <x v="0"/>
  </r>
  <r>
    <s v="As Shown"/>
    <s v="Eau de Toilette"/>
    <x v="226"/>
    <n v="5"/>
    <n v="5"/>
    <n v="248.15"/>
    <s v="Normal Quality"/>
    <d v="2024-03-21T17:43:05"/>
    <s v="New York"/>
    <s v=" Hong Kong"/>
    <x v="0"/>
  </r>
  <r>
    <s v="Roja"/>
    <s v="Eau de Parfum"/>
    <x v="111"/>
    <n v="4"/>
    <n v="30"/>
    <n v="4799.7000000000007"/>
    <s v="Normal Quality"/>
    <d v="2024-03-21T18:00:42"/>
    <s v="New York"/>
    <s v=" New York"/>
    <x v="5"/>
  </r>
  <r>
    <s v="Chanel"/>
    <s v="Eau de Parfum"/>
    <x v="36"/>
    <n v="10"/>
    <n v="11"/>
    <n v="1419"/>
    <s v="Normal Quality"/>
    <d v="2024-03-21T18:08:59"/>
    <s v="Houston"/>
    <s v=" Texas"/>
    <x v="0"/>
  </r>
  <r>
    <s v="J. Del Pozo"/>
    <s v="Eau de Toilette"/>
    <x v="227"/>
    <n v="10"/>
    <n v="612"/>
    <n v="23243.759999999998"/>
    <s v="Normal Quality"/>
    <d v="2024-03-21T18:20:33"/>
    <s v="Hackensack"/>
    <s v="New York"/>
    <x v="0"/>
  </r>
  <r>
    <s v="Jo Malone"/>
    <s v="Eau de Cologne"/>
    <x v="228"/>
    <n v="10"/>
    <n v="6"/>
    <n v="383.94"/>
    <s v="Normal Quality"/>
    <d v="2024-03-21T18:24:52"/>
    <s v="Harwood Heights"/>
    <s v=" Illinois"/>
    <x v="0"/>
  </r>
  <r>
    <s v="Aramis"/>
    <s v="Eau de Toilette"/>
    <x v="25"/>
    <n v="4"/>
    <n v="8"/>
    <n v="159.91999999999999"/>
    <s v="Normal Quality"/>
    <d v="2024-03-21T19:02:41"/>
    <s v="Oneida"/>
    <s v=" Tennessee"/>
    <x v="0"/>
  </r>
  <r>
    <s v="2Nd To None"/>
    <s v="Eau de Parfum"/>
    <x v="229"/>
    <n v="10"/>
    <n v="18882"/>
    <n v="125565.3"/>
    <s v="High Quality"/>
    <d v="2024-03-21T19:14:49"/>
    <s v="Lagrange"/>
    <s v=" Georgia"/>
    <x v="0"/>
  </r>
  <r>
    <s v="Aramis"/>
    <s v="Eau de Toilette"/>
    <x v="230"/>
    <n v="10"/>
    <n v="2486"/>
    <n v="52230.86"/>
    <s v="High Quality"/>
    <d v="2024-03-21T19:16:09"/>
    <s v="Dallas"/>
    <s v=" Texas"/>
    <x v="0"/>
  </r>
  <r>
    <s v="Secertmu"/>
    <s v="Eau de Parfum"/>
    <x v="67"/>
    <n v="10"/>
    <n v="889"/>
    <n v="14215.11"/>
    <s v="Normal Quality"/>
    <d v="2024-03-21T19:20:12"/>
    <s v="San Francisco"/>
    <s v=" California"/>
    <x v="0"/>
  </r>
  <r>
    <s v="Secertmu"/>
    <s v="Eau de Parfum"/>
    <x v="231"/>
    <n v="10"/>
    <n v="803"/>
    <n v="5596.91"/>
    <s v="Normal Quality"/>
    <d v="2024-03-21T19:20:13"/>
    <s v="San Francisco"/>
    <s v=" California"/>
    <x v="0"/>
  </r>
  <r>
    <s v="Moschino"/>
    <s v="Eau de Parfum"/>
    <x v="3"/>
    <n v="2"/>
    <n v="3"/>
    <n v="104.97"/>
    <s v="Normal Quality"/>
    <d v="2024-03-21T19:21:40"/>
    <s v="Houston"/>
    <s v=" Texas"/>
    <x v="0"/>
  </r>
  <r>
    <s v="Secertmu"/>
    <s v="Eau de Parfum"/>
    <x v="232"/>
    <n v="5"/>
    <n v="290"/>
    <n v="4057.1"/>
    <s v="Normal Quality"/>
    <d v="2024-03-21T19:21:49"/>
    <s v="San Francisco"/>
    <s v=" California"/>
    <x v="0"/>
  </r>
  <r>
    <s v="Secertmu"/>
    <s v="Pheromone"/>
    <x v="51"/>
    <n v="10"/>
    <n v="11"/>
    <n v="131.89000000000001"/>
    <s v="Normal Quality"/>
    <d v="2024-03-21T19:31:59"/>
    <s v="San Francisco"/>
    <s v=" California"/>
    <x v="0"/>
  </r>
  <r>
    <s v="Unbranded"/>
    <s v="Unknown"/>
    <x v="67"/>
    <n v="4"/>
    <n v="62"/>
    <n v="991.38"/>
    <s v="Normal Quality"/>
    <d v="2024-03-21T19:32:25"/>
    <s v="Los Angeles"/>
    <s v=" California"/>
    <x v="0"/>
  </r>
  <r>
    <s v="Secertmu"/>
    <s v="Pheromone"/>
    <x v="53"/>
    <n v="0"/>
    <n v="10"/>
    <n v="129.9"/>
    <s v="Normal Quality"/>
    <d v="2024-03-21T19:32:52"/>
    <s v="San Francisco"/>
    <s v=" California"/>
    <x v="0"/>
  </r>
  <r>
    <s v="Pierre Cardin"/>
    <s v="Eau de Toilette"/>
    <x v="233"/>
    <n v="3"/>
    <n v="149"/>
    <n v="1084.72"/>
    <s v="Normal Quality"/>
    <d v="2024-03-21T19:51:46"/>
    <s v="Miami"/>
    <s v=" Florida"/>
    <x v="0"/>
  </r>
  <r>
    <s v="Jaguar"/>
    <s v="Eau de Toilette"/>
    <x v="234"/>
    <n v="0"/>
    <n v="3942"/>
    <n v="60706.8"/>
    <s v="High Quality"/>
    <d v="2024-03-21T20:09:06"/>
    <s v="Dallas"/>
    <s v=" Texas"/>
    <x v="0"/>
  </r>
  <r>
    <s v="Narciso Rodriguez"/>
    <s v="Eau de Parfum"/>
    <x v="235"/>
    <n v="62"/>
    <n v="432"/>
    <n v="25526.880000000001"/>
    <s v="Normal Quality"/>
    <d v="2024-03-21T20:17:38"/>
    <s v="Hackensack"/>
    <s v="New York"/>
    <x v="0"/>
  </r>
  <r>
    <s v="JimmUnknown Choo"/>
    <s v="Eau de Toilette"/>
    <x v="236"/>
    <n v="12"/>
    <n v="4"/>
    <n v="97.72"/>
    <s v="Normal Quality"/>
    <d v="2024-03-21T20:38:20"/>
    <s v="Brooklyn"/>
    <s v=" New York"/>
    <x v="0"/>
  </r>
  <r>
    <s v="Giorgio Armani"/>
    <s v="Eau de Toilette"/>
    <x v="237"/>
    <n v="10"/>
    <n v="15"/>
    <n v="704.85"/>
    <s v="Normal Quality"/>
    <d v="2024-03-21T22:16:00"/>
    <s v="Brooklyn"/>
    <s v=" New York"/>
    <x v="0"/>
  </r>
  <r>
    <s v="Curve"/>
    <s v="Eau de Cologne"/>
    <x v="238"/>
    <n v="2"/>
    <n v="1992"/>
    <n v="33505.440000000002"/>
    <s v="High Quality"/>
    <d v="2024-03-21T22:28:49"/>
    <s v="Hackensack"/>
    <s v="New York"/>
    <x v="0"/>
  </r>
  <r>
    <s v="Hugo Boss"/>
    <s v="Eau de Toilette"/>
    <x v="239"/>
    <n v="4"/>
    <n v="2098"/>
    <n v="94263.14"/>
    <s v="High Quality"/>
    <d v="2024-03-21T22:39:15"/>
    <s v="Dallas"/>
    <s v=" Texas"/>
    <x v="0"/>
  </r>
  <r>
    <s v="Al Haramain"/>
    <s v="Eau de Parfum"/>
    <x v="240"/>
    <n v="6"/>
    <n v="998"/>
    <n v="30868.14"/>
    <s v="Normal Quality"/>
    <d v="2024-03-21T22:39:17"/>
    <s v="Dallas"/>
    <s v=" Texas"/>
    <x v="0"/>
  </r>
  <r>
    <s v="As Shown"/>
    <s v="Eau de Parfum"/>
    <x v="241"/>
    <n v="10"/>
    <n v="32"/>
    <n v="4063.68"/>
    <s v="Normal Quality"/>
    <d v="2024-03-21T22:40:20"/>
    <s v="Usa"/>
    <s v="California"/>
    <x v="2"/>
  </r>
  <r>
    <s v="Carolina Herrera"/>
    <s v="Eau de Toilette"/>
    <x v="242"/>
    <n v="2"/>
    <n v="2934"/>
    <n v="119091.06000000001"/>
    <s v="High Quality"/>
    <d v="2024-03-21T22:51:32"/>
    <s v="Dallas"/>
    <s v=" Texas"/>
    <x v="0"/>
  </r>
  <r>
    <s v="Calvin Klein"/>
    <s v="Eau de Toilette"/>
    <x v="243"/>
    <n v="60"/>
    <n v="1362"/>
    <n v="42330.96"/>
    <s v="High Quality"/>
    <d v="2024-03-21T23:15:46"/>
    <s v="Dallas"/>
    <s v=" Texas"/>
    <x v="0"/>
  </r>
  <r>
    <s v="Ralph Lauren"/>
    <s v="Eau de Toilette"/>
    <x v="50"/>
    <n v="10"/>
    <n v="14"/>
    <n v="629.86"/>
    <s v="Normal Quality"/>
    <d v="2024-03-21T23:16:01"/>
    <s v="Warren"/>
    <s v=" Michigan"/>
    <x v="0"/>
  </r>
  <r>
    <s v="Afnan"/>
    <s v="Eau de Parfum"/>
    <x v="244"/>
    <n v="10"/>
    <n v="692"/>
    <n v="16850.2"/>
    <s v="Normal Quality"/>
    <d v="2024-03-21T23:18:09"/>
    <s v="Dallas"/>
    <s v=" Texas"/>
    <x v="0"/>
  </r>
  <r>
    <s v="Paco Rabanne"/>
    <s v="Eau de Parfum"/>
    <x v="167"/>
    <n v="0"/>
    <n v="50"/>
    <n v="4999.5"/>
    <s v="Normal Quality"/>
    <d v="2024-03-21T23:36:30"/>
    <s v="North Brunswick"/>
    <s v="New York"/>
    <x v="0"/>
  </r>
  <r>
    <s v="Paco Rabanne"/>
    <s v="Eau de Toilette"/>
    <x v="42"/>
    <n v="3"/>
    <n v="37"/>
    <n v="1516.63"/>
    <s v="Normal Quality"/>
    <d v="2024-03-22T00:25:54"/>
    <s v="College Point"/>
    <s v=" New York"/>
    <x v="0"/>
  </r>
  <r>
    <s v="Xerjoff"/>
    <s v="Eau de Parfum"/>
    <x v="51"/>
    <n v="8"/>
    <n v="442"/>
    <n v="5299.58"/>
    <s v="Normal Quality"/>
    <d v="2024-03-22T00:57:56"/>
    <s v="Fort Walton Beach"/>
    <s v=" Florida"/>
    <x v="0"/>
  </r>
  <r>
    <s v="Paco Rabanne"/>
    <s v="Eau de Parfum"/>
    <x v="245"/>
    <n v="19"/>
    <n v="2"/>
    <n v="165.98"/>
    <s v="Normal Quality"/>
    <d v="2024-03-22T01:08:01"/>
    <s v="New York"/>
    <s v=" New York"/>
    <x v="0"/>
  </r>
  <r>
    <s v="Dior"/>
    <s v="Eau de Toilette"/>
    <x v="246"/>
    <n v="9"/>
    <n v="1243"/>
    <n v="111845.14"/>
    <s v="High Quality"/>
    <d v="2024-03-22T01:59:02"/>
    <s v="Hackensack"/>
    <s v="New York"/>
    <x v="0"/>
  </r>
  <r>
    <s v="Roja"/>
    <s v="Eau de Cologne"/>
    <x v="74"/>
    <n v="10"/>
    <n v="68"/>
    <n v="1216.52"/>
    <s v="Normal Quality"/>
    <d v="2024-03-22T02:15:28"/>
    <s v="Phillipsburg"/>
    <s v="New York"/>
    <x v="0"/>
  </r>
  <r>
    <s v="Acqua Di Parma"/>
    <s v="Eau de Cologne"/>
    <x v="247"/>
    <n v="0"/>
    <n v="78"/>
    <n v="1868.1"/>
    <s v="Normal Quality"/>
    <d v="2024-03-22T03:57:35"/>
    <s v="Pearland"/>
    <s v=" Texas"/>
    <x v="0"/>
  </r>
  <r>
    <s v="Dolce&amp;Gabbana"/>
    <s v="Eau de Parfum"/>
    <x v="130"/>
    <n v="0"/>
    <n v="81"/>
    <n v="2344.9499999999998"/>
    <s v="Normal Quality"/>
    <d v="2024-03-22T03:59:00"/>
    <s v="Pearland"/>
    <s v=" Texas"/>
    <x v="0"/>
  </r>
  <r>
    <s v="Dolce &amp; Gabbana"/>
    <s v="Eau de Parfum"/>
    <x v="248"/>
    <n v="5"/>
    <n v="79"/>
    <n v="1181.05"/>
    <s v="Normal Quality"/>
    <d v="2024-03-22T03:59:19"/>
    <s v="Pearland"/>
    <s v=" Texas"/>
    <x v="0"/>
  </r>
  <r>
    <s v="Gianni Versace"/>
    <s v="Eau de Toilette"/>
    <x v="249"/>
    <n v="50"/>
    <n v="19"/>
    <n v="1315.75"/>
    <s v="Normal Quality"/>
    <d v="2024-03-22T04:50:01"/>
    <s v="Selinsgrove"/>
    <s v="pennsylvania"/>
    <x v="0"/>
  </r>
  <r>
    <s v="Zara"/>
    <s v="Eau de Parfum"/>
    <x v="250"/>
    <n v="4"/>
    <n v="30"/>
    <n v="1125"/>
    <s v="Normal Quality"/>
    <d v="2024-03-22T04:50:50"/>
    <s v="Englewood"/>
    <s v="New York"/>
    <x v="0"/>
  </r>
  <r>
    <s v="Prada"/>
    <s v="Eau de Parfum"/>
    <x v="251"/>
    <n v="0"/>
    <n v="755"/>
    <n v="86054.900000000009"/>
    <s v="Normal Quality"/>
    <d v="2024-03-22T04:59:36"/>
    <s v="Katy"/>
    <s v=" Texas"/>
    <x v="0"/>
  </r>
  <r>
    <s v="Lapidus"/>
    <s v="Eau de Toilette"/>
    <x v="252"/>
    <n v="10"/>
    <n v="24"/>
    <n v="486"/>
    <s v="Normal Quality"/>
    <d v="2024-03-22T05:18:16"/>
    <s v="New York"/>
    <s v=" New York"/>
    <x v="0"/>
  </r>
  <r>
    <s v="Dior"/>
    <s v="Eau de Toilette"/>
    <x v="35"/>
    <n v="8"/>
    <n v="13"/>
    <n v="1104.8699999999999"/>
    <s v="Normal Quality"/>
    <d v="2024-03-22T05:35:53"/>
    <s v="Warren"/>
    <s v=" Michigan"/>
    <x v="0"/>
  </r>
  <r>
    <s v="Giorgio Armani"/>
    <s v="Eau de Toilette"/>
    <x v="50"/>
    <n v="8"/>
    <n v="19"/>
    <n v="854.81000000000006"/>
    <s v="Normal Quality"/>
    <d v="2024-03-22T05:40:17"/>
    <s v="Warren"/>
    <s v=" Michigan"/>
    <x v="0"/>
  </r>
  <r>
    <s v="Al Haramain"/>
    <s v="Eau de Parfum"/>
    <x v="253"/>
    <n v="10"/>
    <n v="12"/>
    <n v="462.36"/>
    <s v="Normal Quality"/>
    <d v="2024-03-22T05:56:33"/>
    <s v="Brooklyn"/>
    <s v=" New York"/>
    <x v="0"/>
  </r>
  <r>
    <s v="Montblanc"/>
    <s v="Eau de Parfum"/>
    <x v="254"/>
    <n v="0"/>
    <n v="950"/>
    <n v="58976"/>
    <s v="Normal Quality"/>
    <d v="2024-03-22T06:00:02"/>
    <s v="Hackensack"/>
    <s v="New York"/>
    <x v="0"/>
  </r>
  <r>
    <s v="Armaf"/>
    <s v="Eau de Parfum"/>
    <x v="255"/>
    <n v="0"/>
    <n v="2550"/>
    <n v="138363"/>
    <s v="High Quality"/>
    <d v="2024-03-22T06:00:09"/>
    <s v="Hackensack"/>
    <s v="New York"/>
    <x v="0"/>
  </r>
  <r>
    <s v="BentleUnknown"/>
    <s v="Eau de Parfum"/>
    <x v="256"/>
    <n v="53"/>
    <n v="13"/>
    <n v="378.69"/>
    <s v="Normal Quality"/>
    <d v="2024-03-22T07:32:43"/>
    <s v="Brooklyn"/>
    <s v=" New York"/>
    <x v="0"/>
  </r>
  <r>
    <s v="Amouage"/>
    <s v="Eau de Parfum"/>
    <x v="257"/>
    <n v="10"/>
    <n v="78"/>
    <n v="12962.04"/>
    <s v="Normal Quality"/>
    <d v="2024-03-22T07:34:36"/>
    <s v="Hackensack"/>
    <s v="New York"/>
    <x v="0"/>
  </r>
  <r>
    <s v="Kenzo"/>
    <s v="Eau de Toilette"/>
    <x v="258"/>
    <n v="0"/>
    <n v="33"/>
    <n v="2540.6699999999996"/>
    <s v="Normal Quality"/>
    <d v="2024-03-22T07:49:14"/>
    <s v="Katy"/>
    <s v=" Texas"/>
    <x v="0"/>
  </r>
  <r>
    <s v="DvUnknownne Eau de Parfum"/>
    <s v="BodUnknown Oil"/>
    <x v="259"/>
    <n v="10"/>
    <n v="1113"/>
    <n v="8904"/>
    <s v="High Quality"/>
    <d v="2024-03-22T08:22:07"/>
    <s v="Fort Lauderdale"/>
    <s v=" Florida"/>
    <x v="0"/>
  </r>
  <r>
    <s v="Abercrombie &amp; Fitch"/>
    <s v="Eau de Cologne"/>
    <x v="50"/>
    <n v="36"/>
    <n v="38"/>
    <n v="1709.6200000000001"/>
    <s v="Normal Quality"/>
    <d v="2024-03-22T08:28:58"/>
    <s v="Dearborn Heights"/>
    <s v=" Michigan"/>
    <x v="0"/>
  </r>
  <r>
    <s v="Jean Paul Gaultier"/>
    <s v="Eau de Toilette"/>
    <x v="140"/>
    <n v="10"/>
    <n v="73"/>
    <n v="3795.27"/>
    <s v="Normal Quality"/>
    <d v="2024-03-22T08:29:08"/>
    <s v="Dearborn Heights"/>
    <s v=" Michigan"/>
    <x v="0"/>
  </r>
  <r>
    <s v="Dolce&amp;Gabbana"/>
    <s v="Eau de Toilette"/>
    <x v="34"/>
    <n v="10"/>
    <n v="51"/>
    <n v="1529.49"/>
    <s v="Normal Quality"/>
    <d v="2024-03-22T08:29:15"/>
    <s v="Dearborn Heights"/>
    <s v=" Michigan"/>
    <x v="0"/>
  </r>
  <r>
    <s v="Unknownves Saint Laurent"/>
    <s v="Eau de Toilette"/>
    <x v="223"/>
    <n v="0"/>
    <n v="2153"/>
    <n v="154972.94"/>
    <s v="High Quality"/>
    <d v="2024-03-22T08:31:19"/>
    <s v="Hackensack"/>
    <s v="New York"/>
    <x v="0"/>
  </r>
  <r>
    <s v="Montblanc"/>
    <s v="Eau de Parfum"/>
    <x v="260"/>
    <n v="0"/>
    <n v="100"/>
    <n v="5294"/>
    <s v="Normal Quality"/>
    <d v="2024-03-22T08:40:06"/>
    <s v="Hackensack"/>
    <s v="New York"/>
    <x v="0"/>
  </r>
  <r>
    <s v="Giorgio Armani"/>
    <s v="Eau de Toilette"/>
    <x v="34"/>
    <n v="5"/>
    <n v="9"/>
    <n v="269.90999999999997"/>
    <s v="Normal Quality"/>
    <d v="2024-03-22T08:47:26"/>
    <s v="Ecorse"/>
    <s v=" Michigan"/>
    <x v="0"/>
  </r>
  <r>
    <s v="Moschino"/>
    <s v="Eau de Toilette"/>
    <x v="261"/>
    <n v="6"/>
    <n v="440"/>
    <n v="10062.800000000001"/>
    <s v="Normal Quality"/>
    <d v="2024-03-22T09:09:10"/>
    <s v="Dallas"/>
    <s v=" Texas"/>
    <x v="0"/>
  </r>
  <r>
    <s v="Dior"/>
    <s v=" Eau de Cologne"/>
    <x v="75"/>
    <n v="6"/>
    <n v="129"/>
    <n v="11608.71"/>
    <s v="Normal Quality"/>
    <d v="2024-03-22T09:17:01"/>
    <s v="Union"/>
    <s v="New York"/>
    <x v="0"/>
  </r>
  <r>
    <s v="Mancera"/>
    <s v="Eau de Parfum"/>
    <x v="262"/>
    <n v="4"/>
    <n v="30"/>
    <n v="2099.1"/>
    <s v="Normal Quality"/>
    <d v="2024-03-22T09:17:29"/>
    <s v="Englewood"/>
    <s v="New York"/>
    <x v="0"/>
  </r>
  <r>
    <s v="Armaf"/>
    <s v="Eau de Parfum"/>
    <x v="263"/>
    <n v="10"/>
    <n v="415"/>
    <n v="9802.3000000000011"/>
    <s v="Normal Quality"/>
    <d v="2024-03-22T09:23:27"/>
    <s v="Dallas"/>
    <s v=" Texas"/>
    <x v="0"/>
  </r>
  <r>
    <s v="Arabian Oud"/>
    <s v="Eau de Parfum"/>
    <x v="264"/>
    <n v="88"/>
    <n v="13"/>
    <n v="1295.19"/>
    <s v="Normal Quality"/>
    <d v="2024-03-22T09:26:42"/>
    <s v="Brooklyn"/>
    <s v=" New York"/>
    <x v="0"/>
  </r>
  <r>
    <s v="Nikos"/>
    <s v="Eau de Toilette"/>
    <x v="265"/>
    <n v="23"/>
    <n v="1128"/>
    <n v="13795.44"/>
    <s v="High Quality"/>
    <d v="2024-03-22T09:28:38"/>
    <s v="Hackensack"/>
    <s v="New York"/>
    <x v="0"/>
  </r>
  <r>
    <s v="Dior"/>
    <s v="Eau de Parfum"/>
    <x v="35"/>
    <n v="8"/>
    <n v="73"/>
    <n v="6204.2699999999995"/>
    <s v="Normal Quality"/>
    <d v="2024-03-22T09:32:15"/>
    <s v="Detroit"/>
    <s v=" Michigan"/>
    <x v="0"/>
  </r>
  <r>
    <s v="Pheromones"/>
    <s v="Eau de Toilette"/>
    <x v="266"/>
    <n v="10"/>
    <n v="217"/>
    <n v="7150.1500000000005"/>
    <s v="Normal Quality"/>
    <d v="2024-03-22T09:46:38"/>
    <s v="Rockledge"/>
    <s v=" Florida"/>
    <x v="0"/>
  </r>
  <r>
    <s v="Nautica"/>
    <s v="Eau de Toilette"/>
    <x v="267"/>
    <n v="26"/>
    <n v="1332"/>
    <n v="24415.559999999998"/>
    <s v="High Quality"/>
    <d v="2024-03-22T09:47:13"/>
    <s v="Hackensack"/>
    <s v="New York"/>
    <x v="0"/>
  </r>
  <r>
    <s v="Paco Rabanne"/>
    <s v="Various"/>
    <x v="32"/>
    <n v="3"/>
    <n v="2"/>
    <n v="40"/>
    <s v="Normal Quality"/>
    <d v="2024-03-22T10:00:19"/>
    <s v="Flemington"/>
    <s v="New York"/>
    <x v="0"/>
  </r>
  <r>
    <s v="Liz Claiborne"/>
    <s v="Eau de Cologne "/>
    <x v="162"/>
    <n v="52"/>
    <n v="6634"/>
    <n v="225489.66"/>
    <s v="High Quality"/>
    <d v="2024-03-22T10:02:50"/>
    <s v="Dallas"/>
    <s v=" Texas"/>
    <x v="0"/>
  </r>
  <r>
    <s v="Viktor &amp; Rolf"/>
    <s v="Eau de Toilette"/>
    <x v="133"/>
    <n v="73"/>
    <n v="27"/>
    <n v="1862.7299999999998"/>
    <s v="Normal Quality"/>
    <d v="2024-03-22T10:04:40"/>
    <s v="Melissa"/>
    <s v=" Texas"/>
    <x v="0"/>
  </r>
  <r>
    <s v="Ralph Lauren"/>
    <s v="Eau de Toilette"/>
    <x v="268"/>
    <n v="10"/>
    <n v="43"/>
    <n v="1266.78"/>
    <s v="Normal Quality"/>
    <d v="2024-03-22T10:10:03"/>
    <s v="Hackensack"/>
    <s v="New York"/>
    <x v="0"/>
  </r>
  <r>
    <s v="Giorgio Armani"/>
    <s v="Eau de Toilette"/>
    <x v="269"/>
    <n v="4"/>
    <n v="40"/>
    <n v="1958"/>
    <s v="Normal Quality"/>
    <d v="2024-03-22T10:16:51"/>
    <s v="Fourmile"/>
    <s v=" Kentuck"/>
    <x v="0"/>
  </r>
  <r>
    <s v="Armaf"/>
    <s v="Eau de Parfum"/>
    <x v="270"/>
    <n v="10"/>
    <n v="24"/>
    <n v="936"/>
    <s v="Normal Quality"/>
    <d v="2024-03-22T10:17:56"/>
    <s v="Brooklyn"/>
    <s v=" New York"/>
    <x v="0"/>
  </r>
  <r>
    <s v="Giorgio Armani"/>
    <s v="Eau de Toilette"/>
    <x v="271"/>
    <n v="10"/>
    <n v="28"/>
    <n v="758.80000000000007"/>
    <s v="Normal Quality"/>
    <d v="2024-03-22T10:22:29"/>
    <s v="Detroit"/>
    <s v=" Michigan"/>
    <x v="0"/>
  </r>
  <r>
    <s v="Azzaro"/>
    <s v="Eau de Toilette"/>
    <x v="272"/>
    <n v="0"/>
    <n v="1140"/>
    <n v="31851.600000000002"/>
    <s v="High Quality"/>
    <d v="2024-03-22T11:04:54"/>
    <s v="Hackensack"/>
    <s v="New York"/>
    <x v="0"/>
  </r>
  <r>
    <s v="Creed"/>
    <s v="Eau de Parfum"/>
    <x v="51"/>
    <n v="0"/>
    <n v="39"/>
    <n v="467.61"/>
    <s v="Normal Quality"/>
    <d v="2024-03-22T11:20:42"/>
    <s v="Fort Walton Beach"/>
    <s v=" Florida"/>
    <x v="0"/>
  </r>
  <r>
    <s v="Lattafa"/>
    <s v="Eau de Parfum"/>
    <x v="159"/>
    <n v="10"/>
    <n v="71"/>
    <n v="1845.29"/>
    <s v="Normal Quality"/>
    <d v="2024-03-22T11:25:01"/>
    <s v="North Brunswick"/>
    <s v="New York"/>
    <x v="0"/>
  </r>
  <r>
    <s v="Dolce&amp;Gabbana"/>
    <s v="Eau de Parfum"/>
    <x v="273"/>
    <n v="5"/>
    <n v="13"/>
    <n v="1624.87"/>
    <s v="Normal Quality"/>
    <d v="2024-03-22T11:35:59"/>
    <s v="Sanborn"/>
    <s v=" New York"/>
    <x v="0"/>
  </r>
  <r>
    <s v="Paco Rabanne"/>
    <s v="Eau de Toilette"/>
    <x v="274"/>
    <n v="10"/>
    <n v="4764"/>
    <n v="137822.51999999999"/>
    <s v="High Quality"/>
    <d v="2024-03-22T11:37:19"/>
    <s v="Dallas"/>
    <s v=" Texas"/>
    <x v="0"/>
  </r>
  <r>
    <s v="Paco Rabanne"/>
    <s v="Eau de Toilette"/>
    <x v="275"/>
    <n v="10"/>
    <n v="1207"/>
    <n v="55522"/>
    <s v="High Quality"/>
    <d v="2024-03-22T11:37:30"/>
    <s v="Dallas"/>
    <s v=" Texas"/>
    <x v="0"/>
  </r>
  <r>
    <s v="Lalique"/>
    <s v="Eau de Parfum"/>
    <x v="276"/>
    <n v="3"/>
    <n v="24"/>
    <n v="654"/>
    <s v="Normal Quality"/>
    <d v="2024-03-22T11:50:35"/>
    <s v="Brooklyn"/>
    <s v=" New York"/>
    <x v="0"/>
  </r>
  <r>
    <s v="Dolce&amp;Gabbana"/>
    <s v="Eau de Parfum"/>
    <x v="277"/>
    <n v="54"/>
    <n v="11"/>
    <n v="609.95000000000005"/>
    <s v="Normal Quality"/>
    <d v="2024-03-22T11:50:40"/>
    <s v="Brooklyn"/>
    <s v=" New York"/>
    <x v="0"/>
  </r>
  <r>
    <s v="Hermès"/>
    <s v="Eau de Toilette"/>
    <x v="278"/>
    <n v="10"/>
    <n v="740"/>
    <n v="73985.2"/>
    <s v="Normal Quality"/>
    <d v="2024-03-22T11:52:44"/>
    <s v="Hackensack"/>
    <s v="New York"/>
    <x v="0"/>
  </r>
  <r>
    <s v="Paco Rabanne"/>
    <s v="Eau de Toilette"/>
    <x v="279"/>
    <n v="0"/>
    <n v="111"/>
    <n v="9390.5999999999985"/>
    <s v="Normal Quality"/>
    <d v="2024-03-22T11:53:06"/>
    <s v="Hackensack"/>
    <s v="New York"/>
    <x v="0"/>
  </r>
  <r>
    <s v="Giorgio Armani"/>
    <s v="Eau de Parfum"/>
    <x v="24"/>
    <n v="2"/>
    <n v="743"/>
    <n v="58689.57"/>
    <s v="Normal Quality"/>
    <d v="2024-03-22T11:57:53"/>
    <s v="Hackensack"/>
    <s v="New York"/>
    <x v="0"/>
  </r>
  <r>
    <s v="Brut"/>
    <s v="Eau de Toilette"/>
    <x v="280"/>
    <n v="13"/>
    <n v="48"/>
    <n v="666.72"/>
    <s v="Normal Quality"/>
    <d v="2024-03-22T11:57:53"/>
    <s v="Hackensack"/>
    <s v="New York"/>
    <x v="0"/>
  </r>
  <r>
    <s v="Lattafa"/>
    <s v="Eau de Parfum"/>
    <x v="281"/>
    <n v="8"/>
    <n v="65"/>
    <n v="1116.7"/>
    <s v="Normal Quality"/>
    <d v="2024-03-22T11:57:54"/>
    <s v="Hackensack"/>
    <s v="New York"/>
    <x v="0"/>
  </r>
  <r>
    <s v="Mont Blanc"/>
    <s v="Eau de Parfum"/>
    <x v="282"/>
    <n v="10"/>
    <n v="125"/>
    <n v="7761.25"/>
    <s v="Normal Quality"/>
    <d v="2024-03-22T12:02:22"/>
    <s v="Edison"/>
    <s v="New York"/>
    <x v="0"/>
  </r>
  <r>
    <s v="Lattafa"/>
    <s v="Eau de Parfum"/>
    <x v="15"/>
    <n v="10"/>
    <n v="139"/>
    <n v="2639.6099999999997"/>
    <s v="Normal Quality"/>
    <d v="2024-03-22T12:31:45"/>
    <s v="Falls Church"/>
    <s v=" Virginia"/>
    <x v="0"/>
  </r>
  <r>
    <s v="Franck Olivier"/>
    <s v="Eau de Toilette"/>
    <x v="283"/>
    <n v="0"/>
    <n v="177"/>
    <n v="4292.25"/>
    <s v="Normal Quality"/>
    <d v="2024-03-22T12:42:51"/>
    <s v="North Brunswick"/>
    <s v="New York"/>
    <x v="0"/>
  </r>
  <r>
    <s v="Giorgio Armani"/>
    <s v="Eau de Toilette"/>
    <x v="284"/>
    <n v="10"/>
    <n v="18"/>
    <n v="495"/>
    <s v="Normal Quality"/>
    <d v="2024-03-22T12:46:11"/>
    <s v="Warren"/>
    <s v=" Michigan"/>
    <x v="0"/>
  </r>
  <r>
    <s v="Giorgio BeverlUnknown Hills"/>
    <s v="Eau de Toilette"/>
    <x v="285"/>
    <n v="8"/>
    <n v="2817"/>
    <n v="45184.68"/>
    <s v="High Quality"/>
    <d v="2024-03-22T12:50:13"/>
    <s v="Dallas"/>
    <s v=" Texas"/>
    <x v="0"/>
  </r>
  <r>
    <s v="JimmUnknown Choo"/>
    <s v="Eau de Toilette"/>
    <x v="94"/>
    <n v="10"/>
    <n v="8"/>
    <n v="255.6"/>
    <s v="Normal Quality"/>
    <d v="2024-03-22T12:57:17"/>
    <s v="Brooklyn"/>
    <s v=" New York"/>
    <x v="0"/>
  </r>
  <r>
    <s v="Paco Rabanne"/>
    <s v="Eau de Parfum"/>
    <x v="101"/>
    <n v="10"/>
    <n v="50"/>
    <n v="899"/>
    <s v="Normal Quality"/>
    <d v="2024-03-22T13:09:58"/>
    <s v="Austell"/>
    <s v=" Georgia"/>
    <x v="0"/>
  </r>
  <r>
    <s v="Mont Blanc"/>
    <s v="Eau de Parfum"/>
    <x v="286"/>
    <n v="0"/>
    <n v="454"/>
    <n v="16171.48"/>
    <s v="Normal Quality"/>
    <d v="2024-03-22T13:15:02"/>
    <s v="Dallas"/>
    <s v=" Texas"/>
    <x v="0"/>
  </r>
  <r>
    <s v="Dolce&amp;Gabbana"/>
    <s v="Eau de Toilette"/>
    <x v="167"/>
    <n v="10"/>
    <n v="17"/>
    <n v="1699.83"/>
    <s v="Normal Quality"/>
    <d v="2024-03-22T13:20:36"/>
    <s v="Sanborn"/>
    <s v=" New York"/>
    <x v="0"/>
  </r>
  <r>
    <s v="Joop"/>
    <s v="Eau de Parfum"/>
    <x v="287"/>
    <n v="0"/>
    <n v="29"/>
    <n v="681.20999999999992"/>
    <s v="Normal Quality"/>
    <d v="2024-03-22T13:27:09"/>
    <s v="Brooklyn"/>
    <s v=" New York"/>
    <x v="0"/>
  </r>
  <r>
    <s v="Creed"/>
    <s v="Eau de Parfum"/>
    <x v="184"/>
    <n v="10"/>
    <n v="20"/>
    <n v="779.80000000000007"/>
    <s v="Normal Quality"/>
    <d v="2024-03-22T14:03:03"/>
    <s v="Brooklyn"/>
    <s v=" New York"/>
    <x v="0"/>
  </r>
  <r>
    <s v="Unbranded"/>
    <s v="Eau de Parfum"/>
    <x v="67"/>
    <n v="3"/>
    <n v="65"/>
    <n v="1039.3499999999999"/>
    <s v="Normal Quality"/>
    <d v="2024-03-22T14:08:35"/>
    <s v="Houston"/>
    <s v=" Texas"/>
    <x v="0"/>
  </r>
  <r>
    <s v="Jean Paul Gaultier"/>
    <s v="Eau de Toilette"/>
    <x v="288"/>
    <n v="10"/>
    <n v="368"/>
    <n v="20604.32"/>
    <s v="Normal Quality"/>
    <d v="2024-03-22T14:25:46"/>
    <s v="Katy"/>
    <s v=" Texas"/>
    <x v="0"/>
  </r>
  <r>
    <s v="Dior"/>
    <s v="Eau de Toilette"/>
    <x v="289"/>
    <n v="4"/>
    <n v="22"/>
    <n v="1846.9"/>
    <s v="Normal Quality"/>
    <d v="2024-03-22T14:31:55"/>
    <s v="Elmhurst"/>
    <s v=" New York"/>
    <x v="0"/>
  </r>
  <r>
    <s v="Houbigant"/>
    <s v="Eau de Toilette"/>
    <x v="290"/>
    <n v="10"/>
    <n v="33"/>
    <n v="2244"/>
    <s v="Normal Quality"/>
    <d v="2024-03-22T14:53:19"/>
    <s v="Hialeah"/>
    <s v=" Florida"/>
    <x v="0"/>
  </r>
  <r>
    <s v="PerrUnknown Ellis"/>
    <s v="Eau de Toilette"/>
    <x v="291"/>
    <n v="19"/>
    <n v="2703"/>
    <n v="108471.39000000001"/>
    <s v="High Quality"/>
    <d v="2024-03-22T15:05:34"/>
    <s v="Hackensack"/>
    <s v="New York"/>
    <x v="0"/>
  </r>
  <r>
    <s v="Dolce&amp;Gabbana"/>
    <s v="Eau de Parfum"/>
    <x v="292"/>
    <n v="10"/>
    <n v="21"/>
    <n v="2519.79"/>
    <s v="Normal Quality"/>
    <d v="2024-03-22T15:48:32"/>
    <s v="Sanborn"/>
    <s v=" New York"/>
    <x v="0"/>
  </r>
  <r>
    <s v="Bharara"/>
    <s v="Eau de Parfum"/>
    <x v="293"/>
    <n v="3"/>
    <n v="31"/>
    <n v="2216.19"/>
    <s v="Normal Quality"/>
    <d v="2024-03-22T16:32:10"/>
    <s v="Melissa"/>
    <s v=" Texas"/>
    <x v="0"/>
  </r>
  <r>
    <s v="Mont Blanc Legend"/>
    <s v="Eau de Toilette"/>
    <x v="294"/>
    <n v="0"/>
    <n v="1511"/>
    <n v="50618.5"/>
    <s v="High Quality"/>
    <d v="2024-03-22T16:32:56"/>
    <s v="Brooklyn"/>
    <s v=" New York"/>
    <x v="0"/>
  </r>
  <r>
    <s v="Unknownves Saint Laurent"/>
    <s v="Eau de Toilette"/>
    <x v="295"/>
    <n v="0"/>
    <n v="77"/>
    <n v="13782.230000000001"/>
    <s v="Normal Quality"/>
    <d v="2024-03-22T16:37:14"/>
    <s v="Austin"/>
    <s v=" Texas"/>
    <x v="0"/>
  </r>
  <r>
    <s v="Paco Rabanne"/>
    <s v="Eau de Parfum"/>
    <x v="296"/>
    <n v="16"/>
    <n v="38"/>
    <n v="3989.62"/>
    <s v="Normal Quality"/>
    <d v="2024-03-22T16:48:50"/>
    <s v="Sanborn"/>
    <s v=" New York"/>
    <x v="0"/>
  </r>
  <r>
    <s v="ReUnknownane Tradition"/>
    <s v="Eau de Parfum"/>
    <x v="297"/>
    <n v="10"/>
    <n v="73"/>
    <n v="6219.6"/>
    <s v="Normal Quality"/>
    <d v="2024-03-22T16:53:06"/>
    <s v="Miami"/>
    <s v=" Florida"/>
    <x v="0"/>
  </r>
  <r>
    <s v="Valentino"/>
    <s v="Eau de Toilette"/>
    <x v="298"/>
    <n v="0"/>
    <n v="350"/>
    <n v="36393"/>
    <s v="Normal Quality"/>
    <d v="2024-03-22T16:56:40"/>
    <s v="Hackensack"/>
    <s v="New York"/>
    <x v="0"/>
  </r>
  <r>
    <s v="Bod Man"/>
    <s v="Eau de Parfum"/>
    <x v="134"/>
    <n v="8"/>
    <n v="32"/>
    <n v="319.68"/>
    <s v="Normal Quality"/>
    <d v="2024-03-22T17:01:35"/>
    <s v="Multiple Locations"/>
    <s v=" United States"/>
    <x v="0"/>
  </r>
  <r>
    <s v="Liz Claiborne"/>
    <s v="Eau de Toilette"/>
    <x v="299"/>
    <n v="10"/>
    <n v="211"/>
    <n v="3865.52"/>
    <s v="Normal Quality"/>
    <d v="2024-03-22T17:14:56"/>
    <s v="Hackensack"/>
    <s v="New York"/>
    <x v="0"/>
  </r>
  <r>
    <s v="As Shown"/>
    <s v="Eau de Toilette"/>
    <x v="17"/>
    <n v="10"/>
    <n v="24"/>
    <n v="1199.76"/>
    <s v="Normal Quality"/>
    <d v="2024-03-22T17:27:49"/>
    <s v="Hongkong/California"/>
    <s v=" Hong Kong"/>
    <x v="2"/>
  </r>
  <r>
    <s v="Ralph Lauren"/>
    <s v="Eau de Toilette"/>
    <x v="300"/>
    <n v="10"/>
    <n v="1503"/>
    <n v="57970.71"/>
    <s v="High Quality"/>
    <d v="2024-03-22T17:31:34"/>
    <s v="Dallas"/>
    <s v=" Texas"/>
    <x v="0"/>
  </r>
  <r>
    <s v="As Shown"/>
    <s v="Eau de Toilette"/>
    <x v="301"/>
    <n v="10"/>
    <n v="34"/>
    <n v="1801.66"/>
    <s v="Normal Quality"/>
    <d v="2024-03-22T17:39:13"/>
    <s v="Usa"/>
    <s v="California"/>
    <x v="2"/>
  </r>
  <r>
    <s v="Mfk"/>
    <s v="Eau de Parfum"/>
    <x v="292"/>
    <n v="10"/>
    <n v="13"/>
    <n v="1559.87"/>
    <s v="Normal Quality"/>
    <d v="2024-03-22T17:57:01"/>
    <s v="California Usa Taiwan"/>
    <s v=" Taiwan"/>
    <x v="2"/>
  </r>
  <r>
    <s v="Valentino"/>
    <s v="Eau de Toilette"/>
    <x v="160"/>
    <n v="10"/>
    <n v="3"/>
    <n v="179.97"/>
    <s v="Normal Quality"/>
    <d v="2024-03-22T17:57:33"/>
    <s v="New York"/>
    <s v=" New York"/>
    <x v="5"/>
  </r>
  <r>
    <s v="Polo Ralph Lauren"/>
    <s v="Eau de Toilette"/>
    <x v="40"/>
    <n v="116"/>
    <n v="4"/>
    <n v="98"/>
    <s v="Normal Quality"/>
    <d v="2024-03-22T18:17:42"/>
    <s v="Henrico"/>
    <s v=" Virginia"/>
    <x v="0"/>
  </r>
  <r>
    <s v="Ralph Lauren"/>
    <s v="Eau de Toilette"/>
    <x v="141"/>
    <n v="10"/>
    <n v="3"/>
    <n v="79.5"/>
    <s v="Normal Quality"/>
    <d v="2024-03-22T18:18:03"/>
    <s v="Henrico"/>
    <s v=" Virginia"/>
    <x v="0"/>
  </r>
  <r>
    <s v="Karl Lagerfeld"/>
    <s v="Eau de Toilette"/>
    <x v="302"/>
    <n v="0"/>
    <n v="5076"/>
    <n v="127407.6"/>
    <s v="High Quality"/>
    <d v="2024-03-22T18:19:59"/>
    <s v="Hackensack"/>
    <s v="New York"/>
    <x v="0"/>
  </r>
  <r>
    <s v="Unknownves Saint Laurent"/>
    <s v="Eau de Parfum"/>
    <x v="72"/>
    <n v="0"/>
    <n v="2"/>
    <n v="51.9"/>
    <s v="Normal Quality"/>
    <d v="2024-03-22T18:23:16"/>
    <s v="Sammamish"/>
    <s v=" Washington"/>
    <x v="0"/>
  </r>
  <r>
    <s v="As Shown"/>
    <s v="Eau de Parfum"/>
    <x v="17"/>
    <n v="5"/>
    <n v="43"/>
    <n v="2149.5700000000002"/>
    <s v="Normal Quality"/>
    <d v="2024-03-22T18:23:23"/>
    <s v="Usa"/>
    <s v="California"/>
    <x v="2"/>
  </r>
  <r>
    <s v="Unbranded"/>
    <s v="Eau de Parfum"/>
    <x v="137"/>
    <n v="10"/>
    <n v="22"/>
    <n v="373.78"/>
    <s v="Normal Quality"/>
    <d v="2024-03-22T18:38:27"/>
    <s v="Shenzhen"/>
    <s v=" China"/>
    <x v="0"/>
  </r>
  <r>
    <s v="Jaguar"/>
    <s v="Eau de Parfum"/>
    <x v="303"/>
    <n v="6"/>
    <n v="7"/>
    <n v="92.05"/>
    <s v="Normal Quality"/>
    <d v="2024-03-22T18:38:34"/>
    <s v="Brooklyn"/>
    <s v=" New York"/>
    <x v="0"/>
  </r>
  <r>
    <s v="Lacoste"/>
    <s v="Eau de Toilette"/>
    <x v="304"/>
    <n v="10"/>
    <n v="9"/>
    <n v="330.12"/>
    <s v="Normal Quality"/>
    <d v="2024-03-22T18:48:58"/>
    <s v="Austin"/>
    <s v=" Texas"/>
    <x v="0"/>
  </r>
  <r>
    <s v="Unknownves Saint Laurent"/>
    <s v="Eau de Parfum"/>
    <x v="305"/>
    <n v="10"/>
    <n v="11"/>
    <n v="722.48"/>
    <s v="Normal Quality"/>
    <d v="2024-03-22T18:49:43"/>
    <s v="Sacramento"/>
    <s v=" California"/>
    <x v="0"/>
  </r>
  <r>
    <s v="Carolina Herrera"/>
    <s v="Eau de Toilette"/>
    <x v="0"/>
    <n v="3"/>
    <n v="780"/>
    <n v="42892.200000000004"/>
    <s v="Normal Quality"/>
    <d v="2024-03-22T18:50:59"/>
    <s v="Katy"/>
    <s v=" Texas"/>
    <x v="0"/>
  </r>
  <r>
    <s v="Unbranded"/>
    <s v="Eau de Parfum"/>
    <x v="67"/>
    <n v="0"/>
    <n v="7"/>
    <n v="111.93"/>
    <s v="Normal Quality"/>
    <d v="2024-03-22T19:01:20"/>
    <s v="Houston"/>
    <s v=" Texas"/>
    <x v="0"/>
  </r>
  <r>
    <s v="Emporio Armani"/>
    <s v="Eau de Parfum"/>
    <x v="12"/>
    <n v="3"/>
    <n v="6"/>
    <n v="419.93999999999994"/>
    <s v="Normal Quality"/>
    <d v="2024-03-22T19:01:20"/>
    <s v="Texas"/>
    <s v=" Hong Kong"/>
    <x v="3"/>
  </r>
  <r>
    <s v="Michael Malul Gents Scents"/>
    <s v="Eau de Parfum"/>
    <x v="306"/>
    <n v="10"/>
    <n v="4"/>
    <n v="399.44"/>
    <s v="Normal Quality"/>
    <d v="2024-03-22T19:01:37"/>
    <s v="Brooklyn"/>
    <s v=" New York"/>
    <x v="0"/>
  </r>
  <r>
    <s v="Uomo"/>
    <s v="Eau de Toilette"/>
    <x v="0"/>
    <n v="5"/>
    <n v="8"/>
    <n v="439.92"/>
    <s v="Normal Quality"/>
    <d v="2024-03-22T19:02:53"/>
    <s v="Peekskill"/>
    <s v=" New York"/>
    <x v="0"/>
  </r>
  <r>
    <s v="Eau de Parfums De MarlUnknown"/>
    <s v="Eau de Parfum"/>
    <x v="245"/>
    <n v="10"/>
    <n v="5"/>
    <n v="414.95"/>
    <s v="Normal Quality"/>
    <d v="2024-03-22T19:16:28"/>
    <s v="College Point"/>
    <s v=" New York"/>
    <x v="0"/>
  </r>
  <r>
    <s v="BentleUnknown"/>
    <s v="Eau de Parfum"/>
    <x v="287"/>
    <n v="0"/>
    <n v="6"/>
    <n v="140.94"/>
    <s v="Normal Quality"/>
    <d v="2024-03-22T19:20:44"/>
    <s v="Brooklyn"/>
    <s v=" New York"/>
    <x v="0"/>
  </r>
  <r>
    <s v="Bvlgari"/>
    <s v="Eau de Toilette"/>
    <x v="307"/>
    <n v="10"/>
    <n v="5"/>
    <n v="228.4"/>
    <s v="Normal Quality"/>
    <d v="2024-03-22T19:40:47"/>
    <s v="Sacramento"/>
    <s v=" California"/>
    <x v="0"/>
  </r>
  <r>
    <s v="Hanae Mori"/>
    <s v="Eau de Toilette"/>
    <x v="308"/>
    <n v="10"/>
    <n v="1"/>
    <n v="15.39"/>
    <s v="Normal Quality"/>
    <d v="2024-03-22T19:42:23"/>
    <s v="Houston"/>
    <s v=" Texas"/>
    <x v="0"/>
  </r>
  <r>
    <s v="Ralph Lauren"/>
    <s v="Eau de Toilette"/>
    <x v="309"/>
    <n v="5"/>
    <n v="507"/>
    <n v="16720.859999999997"/>
    <s v="Normal Quality"/>
    <d v="2024-03-22T19:48:31"/>
    <s v="Hackensack"/>
    <s v="New York"/>
    <x v="0"/>
  </r>
  <r>
    <s v="Paco Rabanne"/>
    <s v="Eau de Parfum"/>
    <x v="310"/>
    <n v="3"/>
    <n v="28"/>
    <n v="2435.7199999999998"/>
    <s v="Normal Quality"/>
    <d v="2024-03-22T20:18:57"/>
    <s v="Melissa"/>
    <s v=" Texas"/>
    <x v="0"/>
  </r>
  <r>
    <s v="Valentino"/>
    <s v="Eau de Toilette"/>
    <x v="311"/>
    <n v="0"/>
    <n v="32"/>
    <n v="1183.68"/>
    <s v="Normal Quality"/>
    <d v="2024-03-22T20:37:35"/>
    <s v="Los Angeles"/>
    <s v=" California"/>
    <x v="0"/>
  </r>
  <r>
    <s v="Mercedes-Benz"/>
    <s v="Eau de Toilette"/>
    <x v="312"/>
    <n v="4"/>
    <n v="15"/>
    <n v="747.15000000000009"/>
    <s v="Normal Quality"/>
    <d v="2024-03-22T20:56:36"/>
    <s v="Brooklyn"/>
    <s v=" New York"/>
    <x v="0"/>
  </r>
  <r>
    <s v="Ted Lapidus"/>
    <s v="Eau de Parfum"/>
    <x v="313"/>
    <n v="5"/>
    <n v="9"/>
    <n v="257.84999999999997"/>
    <s v="Normal Quality"/>
    <d v="2024-03-22T21:26:49"/>
    <s v="Brooklyn"/>
    <s v=" New York"/>
    <x v="0"/>
  </r>
  <r>
    <s v="Michael Jordan"/>
    <s v="Eau de Cologne"/>
    <x v="314"/>
    <n v="0"/>
    <n v="2624"/>
    <n v="53739.520000000004"/>
    <s v="High Quality"/>
    <d v="2024-03-22T21:41:09"/>
    <s v="Hackensack"/>
    <s v="New York"/>
    <x v="0"/>
  </r>
  <r>
    <s v="Unbranded"/>
    <s v="Eau de Toilette"/>
    <x v="139"/>
    <n v="9"/>
    <n v="27"/>
    <n v="2700"/>
    <s v="Normal Quality"/>
    <d v="2024-03-22T21:55:43"/>
    <s v="Dearborn"/>
    <s v=" Michigan"/>
    <x v="0"/>
  </r>
  <r>
    <s v="Unbranded"/>
    <s v="Eau de Parfum"/>
    <x v="315"/>
    <n v="2"/>
    <n v="8"/>
    <n v="127.12"/>
    <s v="Normal Quality"/>
    <d v="2024-03-22T22:34:16"/>
    <s v="Shanghai"/>
    <s v=" China"/>
    <x v="2"/>
  </r>
  <r>
    <s v="Mercedes-Benz"/>
    <s v="Eau de Toilette"/>
    <x v="316"/>
    <n v="10"/>
    <n v="2"/>
    <n v="75.98"/>
    <s v="Normal Quality"/>
    <d v="2024-03-22T22:37:03"/>
    <s v="North Brunswick"/>
    <s v="New York"/>
    <x v="0"/>
  </r>
  <r>
    <s v="Azzaro"/>
    <s v="Eau de Toilette"/>
    <x v="317"/>
    <n v="8"/>
    <n v="1691"/>
    <n v="41344.949999999997"/>
    <s v="High Quality"/>
    <d v="2024-03-22T22:47:05"/>
    <s v="Dallas"/>
    <s v=" Texas"/>
    <x v="0"/>
  </r>
  <r>
    <s v="Azzaro"/>
    <s v="Eau de Parfum"/>
    <x v="318"/>
    <n v="0"/>
    <n v="111"/>
    <n v="10424.01"/>
    <s v="Normal Quality"/>
    <d v="2024-03-22T23:00:15"/>
    <s v="Hackensack"/>
    <s v="New York"/>
    <x v="0"/>
  </r>
  <r>
    <s v="Acqua Di Parma"/>
    <s v="Eau de Cologne"/>
    <x v="262"/>
    <n v="10"/>
    <n v="244"/>
    <n v="17072.68"/>
    <s v="Normal Quality"/>
    <d v="2024-03-22T23:22:50"/>
    <s v="Hackensack"/>
    <s v="New York"/>
    <x v="0"/>
  </r>
  <r>
    <s v="Unbranded"/>
    <s v="Eau de Parfum"/>
    <x v="319"/>
    <n v="4"/>
    <n v="94"/>
    <n v="1372.3999999999999"/>
    <s v="Normal Quality"/>
    <d v="2024-03-22T23:30:09"/>
    <s v="Toronto"/>
    <s v=" Ontario"/>
    <x v="1"/>
  </r>
  <r>
    <s v="Armaf"/>
    <s v="Deodorant"/>
    <x v="320"/>
    <n v="74"/>
    <n v="61"/>
    <n v="3842.3900000000003"/>
    <s v="Normal Quality"/>
    <d v="2024-03-23T00:04:13"/>
    <s v="Melissa"/>
    <s v=" Texas"/>
    <x v="0"/>
  </r>
  <r>
    <s v="Dolce&amp;Gabbana"/>
    <s v="Eau de Toilette"/>
    <x v="311"/>
    <n v="4"/>
    <n v="98"/>
    <n v="3625.02"/>
    <s v="Normal Quality"/>
    <d v="2024-03-23T00:18:08"/>
    <s v="College Point"/>
    <s v=" New York"/>
    <x v="0"/>
  </r>
  <r>
    <s v="Kenneth Cole"/>
    <s v="Eau de Toilette"/>
    <x v="321"/>
    <n v="484"/>
    <n v="12865"/>
    <n v="317765.5"/>
    <s v="High Quality"/>
    <d v="2024-03-23T00:24:59"/>
    <s v="Dallas"/>
    <s v=" Texas"/>
    <x v="0"/>
  </r>
  <r>
    <s v="Eau de Cologne"/>
    <s v="Eau de Toilette"/>
    <x v="28"/>
    <n v="10"/>
    <n v="111"/>
    <n v="3217.89"/>
    <s v="Normal Quality"/>
    <d v="2024-03-23T00:41:58"/>
    <s v="Hamtramck"/>
    <s v=" Michigan"/>
    <x v="0"/>
  </r>
  <r>
    <s v="Calvin Klein"/>
    <s v="Eau de Toilette"/>
    <x v="322"/>
    <n v="0"/>
    <n v="5377"/>
    <n v="150663.54"/>
    <s v="High Quality"/>
    <d v="2024-03-23T00:47:54"/>
    <s v="Hackensack"/>
    <s v="New York"/>
    <x v="0"/>
  </r>
  <r>
    <s v="Armaf"/>
    <s v="Eau de Parfum"/>
    <x v="323"/>
    <n v="10"/>
    <n v="11"/>
    <n v="319.33000000000004"/>
    <s v="Normal Quality"/>
    <d v="2024-03-23T01:07:01"/>
    <s v="Hackensack"/>
    <s v="New York"/>
    <x v="0"/>
  </r>
  <r>
    <s v="Armaf"/>
    <s v="Eau de Parfum"/>
    <x v="324"/>
    <n v="5"/>
    <n v="1"/>
    <n v="45.35"/>
    <s v="Normal Quality"/>
    <d v="2024-03-23T01:40:32"/>
    <s v="Delhi"/>
    <s v=" DELHI"/>
    <x v="6"/>
  </r>
  <r>
    <s v="JimmUnknown Choo"/>
    <s v="Eau de Toilette"/>
    <x v="325"/>
    <n v="10"/>
    <n v="55"/>
    <n v="3779.6"/>
    <s v="Normal Quality"/>
    <d v="2024-03-23T02:11:39"/>
    <s v="Ann Arbor"/>
    <s v=" Michigan"/>
    <x v="0"/>
  </r>
  <r>
    <s v="Giorgio Armani"/>
    <s v="Eau de Cologne"/>
    <x v="30"/>
    <n v="0"/>
    <n v="14"/>
    <n v="1819.8600000000001"/>
    <s v="Normal Quality"/>
    <d v="2024-03-23T02:25:32"/>
    <s v="California Or Hong Kong"/>
    <s v=" Hong Kong"/>
    <x v="2"/>
  </r>
  <r>
    <s v="Paco Rabanne"/>
    <s v="Eau de Parfum"/>
    <x v="326"/>
    <n v="12"/>
    <n v="60"/>
    <n v="4499.3999999999996"/>
    <s v="Normal Quality"/>
    <d v="2024-03-23T02:25:57"/>
    <s v="California Or Hong Kong"/>
    <s v=" Hong Kong"/>
    <x v="3"/>
  </r>
  <r>
    <s v="Unknownsl"/>
    <s v="Eau de Toilette"/>
    <x v="301"/>
    <n v="3"/>
    <n v="60"/>
    <n v="3179.4"/>
    <s v="Normal Quality"/>
    <d v="2024-03-23T02:38:43"/>
    <s v=" New York"/>
    <s v=" Hong Kong"/>
    <x v="0"/>
  </r>
  <r>
    <s v="Hugo Boss"/>
    <s v="Eau de Toilette"/>
    <x v="327"/>
    <n v="0"/>
    <n v="604"/>
    <n v="17987.12"/>
    <s v="Normal Quality"/>
    <d v="2024-03-23T03:00:09"/>
    <s v="Dallas"/>
    <s v=" Texas"/>
    <x v="0"/>
  </r>
  <r>
    <s v="As Show"/>
    <s v="Eau de Parfum"/>
    <x v="160"/>
    <n v="2"/>
    <n v="63"/>
    <n v="3779.3700000000003"/>
    <s v="Normal Quality"/>
    <d v="2024-03-23T03:08:18"/>
    <s v="Dayton"/>
    <s v=" New York"/>
    <x v="2"/>
  </r>
  <r>
    <s v="Avon"/>
    <s v="Eau de Toilette"/>
    <x v="328"/>
    <n v="10"/>
    <n v="74"/>
    <n v="3396.6"/>
    <s v="Normal Quality"/>
    <d v="2024-03-23T03:08:19"/>
    <s v="Elk"/>
    <s v=" Poland"/>
    <x v="0"/>
  </r>
  <r>
    <s v="Nautica"/>
    <s v="Eau de Toilette"/>
    <x v="329"/>
    <n v="7"/>
    <n v="1391"/>
    <n v="46528.950000000004"/>
    <s v="High Quality"/>
    <d v="2024-03-23T03:25:35"/>
    <s v="Dallas"/>
    <s v=" Texas"/>
    <x v="0"/>
  </r>
  <r>
    <s v="Calvin Klein"/>
    <s v="Eau de Toilette"/>
    <x v="25"/>
    <n v="8"/>
    <n v="4"/>
    <n v="79.959999999999994"/>
    <s v="Normal Quality"/>
    <d v="2024-03-23T03:58:47"/>
    <s v="Las Vegas"/>
    <s v=" Nevada"/>
    <x v="0"/>
  </r>
  <r>
    <s v="Azzaro"/>
    <s v="Eau de Parfum"/>
    <x v="330"/>
    <n v="3"/>
    <n v="21"/>
    <n v="1954.05"/>
    <s v="Normal Quality"/>
    <d v="2024-03-23T04:02:53"/>
    <s v="Brooklyn"/>
    <s v=" New York"/>
    <x v="0"/>
  </r>
  <r>
    <s v="Lauren Ralph Lauren"/>
    <s v="Eau de Parfum"/>
    <x v="331"/>
    <n v="3"/>
    <n v="420"/>
    <n v="19194"/>
    <s v="Normal Quality"/>
    <d v="2024-03-23T04:20:02"/>
    <s v="Dallas"/>
    <s v=" Texas"/>
    <x v="0"/>
  </r>
  <r>
    <s v="Ralph Lauren"/>
    <s v="Eau de Toilette"/>
    <x v="332"/>
    <n v="10"/>
    <n v="3171"/>
    <n v="230087.76"/>
    <s v="High Quality"/>
    <d v="2024-03-23T04:38:13"/>
    <s v="Hackensack"/>
    <s v="New York"/>
    <x v="0"/>
  </r>
  <r>
    <s v="Giorgio Armani"/>
    <s v="Eau de Parfum"/>
    <x v="333"/>
    <n v="0"/>
    <n v="684"/>
    <n v="75294.720000000001"/>
    <s v="Normal Quality"/>
    <d v="2024-03-23T04:38:15"/>
    <s v="Hackensack"/>
    <s v="New York"/>
    <x v="0"/>
  </r>
  <r>
    <s v="Polo Ralph Lauren"/>
    <s v="Eau de Toilette"/>
    <x v="184"/>
    <n v="3"/>
    <n v="41"/>
    <n v="1598.5900000000001"/>
    <s v="Normal Quality"/>
    <d v="2024-03-23T04:45:58"/>
    <s v="Huntsville"/>
    <s v=" Alabama"/>
    <x v="0"/>
  </r>
  <r>
    <s v="BurberrUnknown"/>
    <s v="Eau de Toilette"/>
    <x v="334"/>
    <n v="10"/>
    <n v="30"/>
    <n v="1177.5"/>
    <s v="Normal Quality"/>
    <d v="2024-03-23T05:20:25"/>
    <s v="Dallas"/>
    <s v=" Texas"/>
    <x v="0"/>
  </r>
  <r>
    <s v="Afnan"/>
    <s v="Eau de Parfum"/>
    <x v="335"/>
    <n v="3"/>
    <n v="5"/>
    <n v="98.65"/>
    <s v="Normal Quality"/>
    <d v="2024-03-23T05:27:01"/>
    <s v="Brooklyn"/>
    <s v=" New York"/>
    <x v="0"/>
  </r>
  <r>
    <s v="Azzaro"/>
    <s v="Eau de Parfum"/>
    <x v="165"/>
    <n v="10"/>
    <n v="83"/>
    <n v="3652"/>
    <s v="Normal Quality"/>
    <d v="2024-03-23T05:27:24"/>
    <s v="Katy"/>
    <s v=" Texas"/>
    <x v="0"/>
  </r>
  <r>
    <s v="Polo Ralph Lauren"/>
    <s v="Eau de Toilette"/>
    <x v="336"/>
    <n v="2"/>
    <n v="401"/>
    <n v="13233"/>
    <s v="Normal Quality"/>
    <d v="2024-03-23T05:29:20"/>
    <s v="Chico"/>
    <s v=" California"/>
    <x v="0"/>
  </r>
  <r>
    <s v="Emporio Armani"/>
    <s v="Eau de Parfum"/>
    <x v="326"/>
    <n v="10"/>
    <n v="82"/>
    <n v="6149.1799999999994"/>
    <s v="Normal Quality"/>
    <d v="2024-03-23T05:39:50"/>
    <s v="Katy"/>
    <s v=" Texas"/>
    <x v="0"/>
  </r>
  <r>
    <s v="Paco Rabanne"/>
    <s v="Eau de Toilette"/>
    <x v="337"/>
    <n v="10"/>
    <n v="19"/>
    <n v="949.24"/>
    <s v="Normal Quality"/>
    <d v="2024-03-23T05:43:30"/>
    <s v="Warren"/>
    <s v=" Michigan"/>
    <x v="0"/>
  </r>
  <r>
    <s v="Unknownves Saint Laurent"/>
    <s v="Eau de Parfum"/>
    <x v="160"/>
    <n v="2"/>
    <n v="20"/>
    <n v="1199.8"/>
    <s v="Normal Quality"/>
    <d v="2024-03-23T05:48:20"/>
    <s v="Lubbock"/>
    <s v=" Texas"/>
    <x v="0"/>
  </r>
  <r>
    <s v="Afnan"/>
    <s v="Eau de Parfum"/>
    <x v="338"/>
    <n v="0"/>
    <n v="196"/>
    <n v="4341.3999999999996"/>
    <s v="Normal Quality"/>
    <d v="2024-03-23T06:45:23"/>
    <s v="Dallas"/>
    <s v=" Texas"/>
    <x v="0"/>
  </r>
  <r>
    <s v="Multiple Brands"/>
    <s v="Eau de Parfum"/>
    <x v="8"/>
    <n v="10"/>
    <n v="79"/>
    <n v="1184.21"/>
    <s v="Normal Quality"/>
    <d v="2024-03-23T06:57:41"/>
    <s v="Houston"/>
    <s v=" Texas"/>
    <x v="0"/>
  </r>
  <r>
    <s v="Paco Rabanne"/>
    <s v="Eau de Toilette"/>
    <x v="17"/>
    <n v="10"/>
    <n v="170"/>
    <n v="8498.3000000000011"/>
    <s v="Normal Quality"/>
    <d v="2024-03-23T07:03:35"/>
    <s v="Dexter"/>
    <s v=" Michigan"/>
    <x v="0"/>
  </r>
  <r>
    <s v="Ralph Lauren"/>
    <s v="Eau de Toilette"/>
    <x v="79"/>
    <n v="3"/>
    <n v="56"/>
    <n v="1791.4399999999998"/>
    <s v="Normal Quality"/>
    <d v="2024-03-23T07:16:20"/>
    <s v="Ecorse"/>
    <s v=" Michigan"/>
    <x v="0"/>
  </r>
  <r>
    <s v="Hermès"/>
    <s v="Eau de Cologne"/>
    <x v="339"/>
    <n v="4"/>
    <n v="335"/>
    <n v="20977.7"/>
    <s v="Normal Quality"/>
    <d v="2024-03-23T07:17:14"/>
    <s v="Hackensack"/>
    <s v="New York"/>
    <x v="0"/>
  </r>
  <r>
    <s v="Gucci"/>
    <s v="Eau de Parfum"/>
    <x v="17"/>
    <n v="4"/>
    <n v="68"/>
    <n v="3399.32"/>
    <s v="Normal Quality"/>
    <d v="2024-03-23T07:21:23"/>
    <s v="Dearborn Heights"/>
    <s v=" Michigan"/>
    <x v="0"/>
  </r>
  <r>
    <s v="Giorgio Armani"/>
    <s v="Eau de Toilette"/>
    <x v="340"/>
    <n v="2"/>
    <n v="363"/>
    <n v="13884.75"/>
    <s v="Normal Quality"/>
    <d v="2024-03-23T07:39:28"/>
    <s v="Ecorse"/>
    <s v=" Michigan"/>
    <x v="0"/>
  </r>
  <r>
    <s v="Giorgio Armani"/>
    <s v="Eau de Toilette"/>
    <x v="340"/>
    <n v="2"/>
    <n v="8"/>
    <n v="306"/>
    <s v="Normal Quality"/>
    <d v="2024-03-23T07:48:48"/>
    <s v="Romulus"/>
    <s v=" Michigan"/>
    <x v="0"/>
  </r>
  <r>
    <s v="Gucci"/>
    <s v="Eau de Toilette"/>
    <x v="341"/>
    <n v="0"/>
    <n v="5227"/>
    <n v="305570.42"/>
    <s v="High Quality"/>
    <d v="2024-03-23T07:51:26"/>
    <s v="Hackensack"/>
    <s v="New York"/>
    <x v="0"/>
  </r>
  <r>
    <s v="Bond No. 9"/>
    <s v="Eau de Parfum"/>
    <x v="342"/>
    <n v="6"/>
    <n v="47"/>
    <n v="7532.6900000000005"/>
    <s v="Normal Quality"/>
    <d v="2024-03-23T08:01:21"/>
    <s v="Edison"/>
    <s v="New York"/>
    <x v="0"/>
  </r>
  <r>
    <s v="Giorgio Armani"/>
    <s v="Eau de Toilette"/>
    <x v="269"/>
    <n v="10"/>
    <n v="969"/>
    <n v="47432.55"/>
    <s v="Normal Quality"/>
    <d v="2024-03-23T08:07:24"/>
    <s v="Detroit"/>
    <s v=" Michigan"/>
    <x v="0"/>
  </r>
  <r>
    <s v="Carolina Herrera"/>
    <s v="Eau de Toilette"/>
    <x v="7"/>
    <n v="0"/>
    <n v="207"/>
    <n v="8277.93"/>
    <s v="Normal Quality"/>
    <d v="2024-03-23T08:07:32"/>
    <s v="Lincoln Park"/>
    <s v=" Michigan"/>
    <x v="0"/>
  </r>
  <r>
    <s v="Giorgio Armani"/>
    <s v="Eau de Parfum"/>
    <x v="343"/>
    <n v="3"/>
    <n v="37"/>
    <n v="7104"/>
    <s v="Normal Quality"/>
    <d v="2024-03-23T08:07:43"/>
    <s v="Jerusalem"/>
    <s v=" Israel"/>
    <x v="0"/>
  </r>
  <r>
    <s v="Abercrombie &amp; Fitch"/>
    <s v="Eau de Cologne"/>
    <x v="344"/>
    <n v="5"/>
    <n v="463"/>
    <n v="22913.870000000003"/>
    <s v="Normal Quality"/>
    <d v="2024-03-23T08:07:45"/>
    <s v="Detroit"/>
    <s v=" Michigan"/>
    <x v="0"/>
  </r>
  <r>
    <s v="Giorgio Armani"/>
    <s v="Eau de Parfum"/>
    <x v="35"/>
    <n v="10"/>
    <n v="8"/>
    <n v="679.92"/>
    <s v="Normal Quality"/>
    <d v="2024-03-23T08:08:50"/>
    <s v="Detroit"/>
    <s v=" Michigan"/>
    <x v="0"/>
  </r>
  <r>
    <s v="Ralph Lauren"/>
    <s v="Eau de Toilette"/>
    <x v="345"/>
    <n v="66"/>
    <n v="143"/>
    <n v="7796.3600000000006"/>
    <s v="Normal Quality"/>
    <d v="2024-03-23T08:22:12"/>
    <s v="Dallas"/>
    <s v=" Texas"/>
    <x v="0"/>
  </r>
  <r>
    <s v="Versace"/>
    <s v="Eau de Toilette"/>
    <x v="346"/>
    <n v="9"/>
    <n v="417"/>
    <n v="3469.44"/>
    <s v="Normal Quality"/>
    <d v="2024-03-23T08:22:19"/>
    <s v="Dallas"/>
    <s v=" Texas"/>
    <x v="0"/>
  </r>
  <r>
    <s v="Paco Rabanne"/>
    <s v="Eau de Toilette"/>
    <x v="7"/>
    <n v="10"/>
    <n v="16"/>
    <n v="639.84"/>
    <s v="Normal Quality"/>
    <d v="2024-03-23T08:37:31"/>
    <s v="Ecorse"/>
    <s v=" Michigan"/>
    <x v="0"/>
  </r>
  <r>
    <s v="Dolce&amp;Gabbana"/>
    <s v="Eau de Toilette"/>
    <x v="347"/>
    <n v="3"/>
    <n v="458"/>
    <n v="13717.1"/>
    <s v="Normal Quality"/>
    <d v="2024-03-23T08:37:49"/>
    <s v="Warren"/>
    <s v=" Michigan"/>
    <x v="0"/>
  </r>
  <r>
    <s v="Calvin Klein"/>
    <s v="Eau de Parfum"/>
    <x v="59"/>
    <n v="10"/>
    <n v="112"/>
    <n v="2382.2399999999998"/>
    <s v="Normal Quality"/>
    <d v="2024-03-23T08:39:28"/>
    <s v="United States"/>
    <s v=" Illinois"/>
    <x v="0"/>
  </r>
  <r>
    <s v="Armaf"/>
    <s v="Eau de Toilette"/>
    <x v="348"/>
    <n v="0"/>
    <n v="31"/>
    <n v="947.9799999999999"/>
    <s v="Normal Quality"/>
    <d v="2024-03-23T08:39:30"/>
    <s v="United States"/>
    <s v=" Texas"/>
    <x v="0"/>
  </r>
  <r>
    <s v="Armaf"/>
    <s v="Eau de Toilette"/>
    <x v="349"/>
    <n v="10"/>
    <n v="17"/>
    <n v="515.27"/>
    <s v="Normal Quality"/>
    <d v="2024-03-23T08:39:31"/>
    <s v="United States"/>
    <s v=" Texas"/>
    <x v="0"/>
  </r>
  <r>
    <s v="Giorgio Armani"/>
    <s v="Eau de Toilette"/>
    <x v="269"/>
    <n v="44"/>
    <n v="121"/>
    <n v="5922.9500000000007"/>
    <s v="Normal Quality"/>
    <d v="2024-03-23T08:44:06"/>
    <s v="Melvindale"/>
    <s v=" Michigan"/>
    <x v="0"/>
  </r>
  <r>
    <s v="Calvin Klein"/>
    <s v="Eau de Toilette"/>
    <x v="350"/>
    <n v="10"/>
    <n v="24048"/>
    <n v="566570.88"/>
    <s v="High Quality"/>
    <d v="2024-03-23T08:46:31"/>
    <s v="Dallas"/>
    <s v=" Texas"/>
    <x v="0"/>
  </r>
  <r>
    <s v="Dolce &amp; Gabbana"/>
    <s v="Eau de Parfum"/>
    <x v="351"/>
    <n v="0"/>
    <n v="494"/>
    <n v="22798.1"/>
    <s v="Normal Quality"/>
    <d v="2024-03-23T08:46:32"/>
    <s v="Dallas"/>
    <s v=" Texas"/>
    <x v="0"/>
  </r>
  <r>
    <s v="Carolina Herrera"/>
    <s v="Eau de Toilette"/>
    <x v="7"/>
    <n v="10"/>
    <n v="236"/>
    <n v="9437.6400000000012"/>
    <s v="Normal Quality"/>
    <d v="2024-03-23T08:48:22"/>
    <s v="Flat Lick"/>
    <s v=" Kentuck"/>
    <x v="0"/>
  </r>
  <r>
    <s v="Mercedes Benz"/>
    <s v="Eau de Toilette"/>
    <x v="352"/>
    <n v="10"/>
    <n v="21"/>
    <n v="879.27"/>
    <s v="Normal Quality"/>
    <d v="2024-03-23T08:57:02"/>
    <s v="Edison"/>
    <s v="New York"/>
    <x v="0"/>
  </r>
  <r>
    <s v="Prada"/>
    <s v="Eau de Toilette"/>
    <x v="353"/>
    <n v="10"/>
    <n v="30"/>
    <n v="2299.5"/>
    <s v="Normal Quality"/>
    <d v="2024-03-23T08:58:49"/>
    <s v="Edison"/>
    <s v="New York"/>
    <x v="0"/>
  </r>
  <r>
    <s v="Versace"/>
    <s v="Eau de Toilette"/>
    <x v="354"/>
    <n v="4"/>
    <n v="9410"/>
    <n v="83184.399999999994"/>
    <s v="High Quality"/>
    <d v="2024-03-23T09:06:49"/>
    <s v="Hackensack"/>
    <s v="New York"/>
    <x v="0"/>
  </r>
  <r>
    <s v="Carolina Herrera"/>
    <s v="Eau de Toilette"/>
    <x v="7"/>
    <n v="4"/>
    <n v="25"/>
    <n v="999.75"/>
    <s v="Normal Quality"/>
    <d v="2024-03-23T09:08:21"/>
    <s v="Detroit"/>
    <s v=" Michigan"/>
    <x v="0"/>
  </r>
  <r>
    <s v="Afnan"/>
    <s v="Eau de Parfum"/>
    <x v="236"/>
    <n v="3"/>
    <n v="16"/>
    <n v="390.88"/>
    <s v="Normal Quality"/>
    <d v="2024-03-23T09:08:51"/>
    <s v="Brooklyn"/>
    <s v=" New York"/>
    <x v="0"/>
  </r>
  <r>
    <s v="Eau de Cologne"/>
    <s v="Eau de Parfum"/>
    <x v="355"/>
    <n v="10"/>
    <n v="3"/>
    <n v="202.5"/>
    <s v="Normal Quality"/>
    <d v="2024-03-23T09:09:05"/>
    <s v="Matawan"/>
    <s v="New York"/>
    <x v="0"/>
  </r>
  <r>
    <s v="Unknownves Saint Laurent"/>
    <s v="Eau de Parfum"/>
    <x v="356"/>
    <n v="10"/>
    <n v="15"/>
    <n v="1423.95"/>
    <s v="Normal Quality"/>
    <d v="2024-03-23T09:20:53"/>
    <s v="Brooklyn"/>
    <s v=" New York"/>
    <x v="0"/>
  </r>
  <r>
    <s v="Giorgio Armani"/>
    <s v="Eau de Toilette"/>
    <x v="357"/>
    <n v="10"/>
    <n v="300"/>
    <n v="11340"/>
    <s v="Normal Quality"/>
    <d v="2024-03-23T09:23:09"/>
    <s v="West Orange"/>
    <s v="New York"/>
    <x v="0"/>
  </r>
  <r>
    <s v="Eau de Parfum"/>
    <s v="Eau de Parfum"/>
    <x v="358"/>
    <n v="0"/>
    <n v="3009"/>
    <n v="10531.5"/>
    <s v="High Quality"/>
    <d v="2024-03-23T09:24:03"/>
    <s v="Pearland"/>
    <s v=" Texas"/>
    <x v="0"/>
  </r>
  <r>
    <s v="Abercrombie &amp; Fitch"/>
    <s v="Eau de Cologne"/>
    <x v="34"/>
    <n v="10"/>
    <n v="87"/>
    <n v="2609.1299999999997"/>
    <s v="Normal Quality"/>
    <d v="2024-03-23T09:26:33"/>
    <s v="Phoenix"/>
    <s v=" Arizona"/>
    <x v="0"/>
  </r>
  <r>
    <s v="Giorgio Armani"/>
    <s v="Eau de Parfum"/>
    <x v="359"/>
    <n v="0"/>
    <n v="15"/>
    <n v="1198.3499999999999"/>
    <s v="Normal Quality"/>
    <d v="2024-03-23T09:26:46"/>
    <s v="Brooklyn"/>
    <s v=" New York"/>
    <x v="0"/>
  </r>
  <r>
    <s v="TommUnknown Bahama"/>
    <s v="Eau de Cologne"/>
    <x v="360"/>
    <n v="3"/>
    <n v="242"/>
    <n v="7894.0399999999991"/>
    <s v="Normal Quality"/>
    <d v="2024-03-23T09:27:28"/>
    <s v="Hackensack"/>
    <s v="New York"/>
    <x v="0"/>
  </r>
  <r>
    <s v="Joop"/>
    <s v="Eau de Parfum"/>
    <x v="253"/>
    <n v="10"/>
    <n v="33"/>
    <n v="1271.49"/>
    <s v="Normal Quality"/>
    <d v="2024-03-23T09:32:48"/>
    <s v="Brooklyn"/>
    <s v=" New York"/>
    <x v="0"/>
  </r>
  <r>
    <s v="Giorgio Armani"/>
    <s v="Eau de Toilette"/>
    <x v="34"/>
    <n v="10"/>
    <n v="233"/>
    <n v="6987.67"/>
    <s v="Normal Quality"/>
    <d v="2024-03-23T09:40:17"/>
    <s v="Macomb"/>
    <s v=" Michigan"/>
    <x v="0"/>
  </r>
  <r>
    <s v="Chanel"/>
    <s v="Eau de Parfum"/>
    <x v="361"/>
    <n v="0"/>
    <n v="15"/>
    <n v="1687.35"/>
    <s v="Normal Quality"/>
    <d v="2024-03-23T09:40:55"/>
    <s v="Lake Zurich"/>
    <s v=" Illinois"/>
    <x v="0"/>
  </r>
  <r>
    <s v="Ralph Lauren"/>
    <s v="Eau de Toilette"/>
    <x v="311"/>
    <n v="8"/>
    <n v="7"/>
    <n v="258.93"/>
    <s v="Normal Quality"/>
    <d v="2024-03-23T09:45:25"/>
    <s v="Hamtramck"/>
    <s v=" Michigan"/>
    <x v="0"/>
  </r>
  <r>
    <s v="Paco Rabanne"/>
    <s v="Eau de Toilette"/>
    <x v="362"/>
    <n v="3"/>
    <n v="11"/>
    <n v="403.15"/>
    <s v="Normal Quality"/>
    <d v="2024-03-23T10:20:53"/>
    <s v="Brooklyn"/>
    <s v=" New York"/>
    <x v="0"/>
  </r>
  <r>
    <s v="Nautica"/>
    <s v="Eau de Toilette"/>
    <x v="8"/>
    <n v="2"/>
    <n v="291"/>
    <n v="4362.09"/>
    <s v="Normal Quality"/>
    <d v="2024-03-23T10:21:16"/>
    <s v="Armada"/>
    <s v=" Michigan"/>
    <x v="0"/>
  </r>
  <r>
    <s v="Paco Rabanne"/>
    <s v="Eau de Parfum"/>
    <x v="363"/>
    <n v="0"/>
    <n v="10"/>
    <n v="1080"/>
    <s v="Normal Quality"/>
    <d v="2024-03-23T10:26:22"/>
    <s v="Appleton"/>
    <s v=" Wisconsin"/>
    <x v="0"/>
  </r>
  <r>
    <s v="Polo Ralph Lauren"/>
    <s v="Eau de Toilette"/>
    <x v="3"/>
    <n v="9"/>
    <n v="17"/>
    <n v="594.83000000000004"/>
    <s v="Normal Quality"/>
    <d v="2024-03-23T10:28:54"/>
    <s v="Highland Park"/>
    <s v=" Michigan"/>
    <x v="0"/>
  </r>
  <r>
    <s v="Gucci"/>
    <s v="Eau de Parfum"/>
    <x v="364"/>
    <n v="10"/>
    <n v="16"/>
    <n v="1188"/>
    <s v="Normal Quality"/>
    <d v="2024-03-23T10:32:44"/>
    <s v="Brooklyn"/>
    <s v=" New York"/>
    <x v="0"/>
  </r>
  <r>
    <s v="Chanel"/>
    <s v="Eau de Toilette"/>
    <x v="77"/>
    <n v="4"/>
    <n v="11"/>
    <n v="132"/>
    <s v="Normal Quality"/>
    <d v="2024-03-23T10:37:59"/>
    <s v="Montclair"/>
    <s v=" California"/>
    <x v="0"/>
  </r>
  <r>
    <s v="Giorgio Armani"/>
    <s v="Eau de Toilette"/>
    <x v="7"/>
    <n v="129"/>
    <n v="26"/>
    <n v="1039.74"/>
    <s v="Normal Quality"/>
    <d v="2024-03-23T10:39:37"/>
    <s v="Sterrett"/>
    <s v=" Alabama"/>
    <x v="0"/>
  </r>
  <r>
    <s v="Giorgio Armani"/>
    <s v="Eau de Toilette"/>
    <x v="34"/>
    <n v="10"/>
    <n v="204"/>
    <n v="6117.96"/>
    <s v="Normal Quality"/>
    <d v="2024-03-23T10:46:14"/>
    <s v="Farmington"/>
    <s v=" Michigan"/>
    <x v="0"/>
  </r>
  <r>
    <s v="Paco Rabanne"/>
    <s v="Eau de Toilette"/>
    <x v="365"/>
    <n v="13"/>
    <n v="15"/>
    <n v="764.85"/>
    <s v="Normal Quality"/>
    <d v="2024-03-23T11:00:52"/>
    <s v="Dearborn Heights"/>
    <s v=" Michigan"/>
    <x v="0"/>
  </r>
  <r>
    <s v="Al Haramain"/>
    <s v="Eau de Parfum"/>
    <x v="366"/>
    <n v="48"/>
    <n v="12"/>
    <n v="383.76"/>
    <s v="Normal Quality"/>
    <d v="2024-03-23T11:09:04"/>
    <s v="North Brunswick"/>
    <s v="New York"/>
    <x v="0"/>
  </r>
  <r>
    <s v="Territoire"/>
    <s v="Eau de Parfum"/>
    <x v="367"/>
    <n v="3"/>
    <n v="77"/>
    <n v="1269.7299999999998"/>
    <s v="Normal Quality"/>
    <d v="2024-03-23T11:24:47"/>
    <s v="Miami"/>
    <s v=" Florida"/>
    <x v="0"/>
  </r>
  <r>
    <s v="Salvatore Ferragamo"/>
    <s v="Eau de Toilette"/>
    <x v="116"/>
    <n v="456"/>
    <n v="10"/>
    <n v="329.90000000000003"/>
    <s v="Normal Quality"/>
    <d v="2024-03-23T11:29:21"/>
    <s v="Edison"/>
    <s v="New York"/>
    <x v="0"/>
  </r>
  <r>
    <s v="Dolce&amp;Gabbana"/>
    <s v="Eau de Toilette"/>
    <x v="368"/>
    <n v="10"/>
    <n v="400"/>
    <n v="13347.999999999998"/>
    <s v="Normal Quality"/>
    <d v="2024-03-23T11:42:30"/>
    <s v="Hackensack"/>
    <s v="New York"/>
    <x v="0"/>
  </r>
  <r>
    <s v="Carolina Herrera"/>
    <s v="Eau de Parfum"/>
    <x v="369"/>
    <n v="10"/>
    <n v="40"/>
    <n v="3546"/>
    <s v="Normal Quality"/>
    <d v="2024-03-23T11:43:18"/>
    <s v="Edison"/>
    <s v="New York"/>
    <x v="0"/>
  </r>
  <r>
    <s v="Afnan"/>
    <s v="Eau de Parfum"/>
    <x v="94"/>
    <n v="9"/>
    <n v="5"/>
    <n v="159.75"/>
    <s v="Normal Quality"/>
    <d v="2024-03-23T11:50:59"/>
    <s v="Brooklyn"/>
    <s v=" New York"/>
    <x v="0"/>
  </r>
  <r>
    <s v="Versace"/>
    <s v="Eau de Toilette"/>
    <x v="287"/>
    <n v="5"/>
    <n v="25"/>
    <n v="587.25"/>
    <s v="Normal Quality"/>
    <d v="2024-03-23T12:08:57"/>
    <s v="Brooklyn"/>
    <s v=" New York"/>
    <x v="0"/>
  </r>
  <r>
    <s v="JimmUnknown Choo"/>
    <s v="Eau de Toilette"/>
    <x v="370"/>
    <n v="10"/>
    <n v="67"/>
    <n v="1105.5"/>
    <s v="Normal Quality"/>
    <d v="2024-03-23T12:09:40"/>
    <s v="Roseville"/>
    <s v=" California"/>
    <x v="0"/>
  </r>
  <r>
    <s v="John Varvatos"/>
    <s v="Eau de Toilette"/>
    <x v="272"/>
    <n v="9"/>
    <n v="485"/>
    <n v="13550.900000000001"/>
    <s v="Normal Quality"/>
    <d v="2024-03-23T12:42:34"/>
    <s v="Dallas"/>
    <s v=" Texas"/>
    <x v="0"/>
  </r>
  <r>
    <s v="CotUnknown"/>
    <s v="Eau de Toilette"/>
    <x v="134"/>
    <n v="0"/>
    <n v="103"/>
    <n v="1028.97"/>
    <s v="Normal Quality"/>
    <d v="2024-03-23T12:45:56"/>
    <s v="Texas"/>
    <s v=" United States"/>
    <x v="0"/>
  </r>
  <r>
    <s v="TommUnknown Hilfiger"/>
    <s v="Eau de Toilette"/>
    <x v="371"/>
    <n v="50"/>
    <n v="12184"/>
    <n v="318124.24"/>
    <s v="High Quality"/>
    <d v="2024-03-23T13:00:07"/>
    <s v="Dallas"/>
    <s v=" Texas"/>
    <x v="0"/>
  </r>
  <r>
    <s v="Dolce &amp; Gabbana"/>
    <s v="Eau de Toilette"/>
    <x v="372"/>
    <n v="44"/>
    <n v="771"/>
    <n v="28033.56"/>
    <s v="Normal Quality"/>
    <d v="2024-03-23T13:02:17"/>
    <s v="Dallas"/>
    <s v=" Texas"/>
    <x v="0"/>
  </r>
  <r>
    <s v="Unknownves Saint Laurent"/>
    <s v="Eau de Toilette"/>
    <x v="153"/>
    <n v="0"/>
    <n v="9"/>
    <n v="828"/>
    <s v="Normal Quality"/>
    <d v="2024-03-23T13:17:51"/>
    <s v="Montclair"/>
    <s v=" California"/>
    <x v="0"/>
  </r>
  <r>
    <s v="Brut"/>
    <s v="Eau de Cologne"/>
    <x v="373"/>
    <n v="10"/>
    <n v="8"/>
    <n v="78.239999999999995"/>
    <s v="Normal Quality"/>
    <d v="2024-03-23T13:21:23"/>
    <s v="Ronkonkoma"/>
    <s v=" New York"/>
    <x v="0"/>
  </r>
  <r>
    <s v="Paco Rabanne"/>
    <s v="Eau de Parfum"/>
    <x v="374"/>
    <n v="10"/>
    <n v="10"/>
    <n v="686.1"/>
    <s v="Normal Quality"/>
    <d v="2024-03-23T13:26:47"/>
    <s v="Brooklyn"/>
    <s v=" New York"/>
    <x v="0"/>
  </r>
  <r>
    <s v="Unknown"/>
    <s v="Unknown"/>
    <x v="375"/>
    <n v="10"/>
    <n v="103"/>
    <n v="1683.02"/>
    <s v="Normal Quality"/>
    <d v="2024-03-23T13:46:24"/>
    <s v="Plano"/>
    <s v=" Texas"/>
    <x v="0"/>
  </r>
  <r>
    <s v="Creed"/>
    <s v="Eau de Parfum"/>
    <x v="134"/>
    <n v="0"/>
    <n v="141"/>
    <n v="1408.59"/>
    <s v="Normal Quality"/>
    <d v="2024-03-23T14:11:08"/>
    <s v="Edison"/>
    <s v="New York"/>
    <x v="0"/>
  </r>
  <r>
    <s v="Eau de Parfums De MarlUnknown"/>
    <s v="Eau de Parfum"/>
    <x v="376"/>
    <n v="0"/>
    <n v="7"/>
    <n v="643.86"/>
    <s v="Normal Quality"/>
    <d v="2024-03-23T14:18:39"/>
    <s v="Madera"/>
    <s v=" California"/>
    <x v="0"/>
  </r>
  <r>
    <s v="Christian Dior"/>
    <s v="Eau de Parfum"/>
    <x v="284"/>
    <n v="0"/>
    <n v="29"/>
    <n v="797.5"/>
    <s v="Normal Quality"/>
    <d v="2024-03-23T14:34:55"/>
    <s v="Orma"/>
    <s v=" West Virginia"/>
    <x v="0"/>
  </r>
  <r>
    <s v="Ed HardUnknown"/>
    <s v="Eau de Toilette"/>
    <x v="252"/>
    <n v="16"/>
    <n v="6633"/>
    <n v="134318.25"/>
    <s v="High Quality"/>
    <d v="2024-03-23T14:38:05"/>
    <s v="Dallas"/>
    <s v=" Texas"/>
    <x v="0"/>
  </r>
  <r>
    <s v="Unbranded"/>
    <s v="Eau de Parfum"/>
    <x v="67"/>
    <n v="5"/>
    <n v="136"/>
    <n v="2174.64"/>
    <s v="Normal Quality"/>
    <d v="2024-03-23T14:39:34"/>
    <s v="Houston"/>
    <s v=" Texas"/>
    <x v="0"/>
  </r>
  <r>
    <s v="Unknownves Saint Laurent"/>
    <s v="Eau de Parfum"/>
    <x v="90"/>
    <n v="10"/>
    <n v="6"/>
    <n v="149.94"/>
    <s v="Normal Quality"/>
    <d v="2024-03-23T15:09:18"/>
    <s v="Seattle"/>
    <s v=" Washington"/>
    <x v="0"/>
  </r>
  <r>
    <s v="Versace"/>
    <s v="Eau de Toilette"/>
    <x v="377"/>
    <n v="3"/>
    <n v="4234"/>
    <n v="177743.31999999998"/>
    <s v="High Quality"/>
    <d v="2024-03-23T15:18:17"/>
    <s v="Dallas"/>
    <s v=" Texas"/>
    <x v="0"/>
  </r>
  <r>
    <s v="Giorgio Armani"/>
    <s v="Eau de Parfum"/>
    <x v="378"/>
    <n v="33"/>
    <n v="98"/>
    <n v="9254.1400000000012"/>
    <s v="Normal Quality"/>
    <d v="2024-03-23T15:19:07"/>
    <s v="Edison"/>
    <s v="New York"/>
    <x v="0"/>
  </r>
  <r>
    <s v="Paco Rabanne"/>
    <s v="Eau de Toilette"/>
    <x v="7"/>
    <n v="0"/>
    <n v="305"/>
    <n v="12196.95"/>
    <s v="Normal Quality"/>
    <d v="2024-03-23T15:27:18"/>
    <s v="Jamaica"/>
    <s v=" New York"/>
    <x v="0"/>
  </r>
  <r>
    <s v="Calvin Klein"/>
    <s v="Eau de Toilette"/>
    <x v="379"/>
    <n v="3"/>
    <n v="83"/>
    <n v="1974.57"/>
    <s v="Normal Quality"/>
    <d v="2024-03-23T15:45:55"/>
    <s v="Edison"/>
    <s v="New York"/>
    <x v="0"/>
  </r>
  <r>
    <s v="TommUnknown Hilfiger"/>
    <s v="Eau de Parfum"/>
    <x v="380"/>
    <n v="0"/>
    <n v="75"/>
    <n v="3371.25"/>
    <s v="Normal Quality"/>
    <d v="2024-03-23T15:48:20"/>
    <s v="Texas"/>
    <s v=" United States"/>
    <x v="0"/>
  </r>
  <r>
    <s v="Al Wataniah"/>
    <s v="Eau de Parfum"/>
    <x v="381"/>
    <n v="8"/>
    <n v="19"/>
    <n v="950"/>
    <s v="Normal Quality"/>
    <d v="2024-03-23T16:03:42"/>
    <s v="Scarborough"/>
    <s v=" Ontario"/>
    <x v="1"/>
  </r>
  <r>
    <s v="Pierre Cardin"/>
    <s v="Eau de Cologne"/>
    <x v="382"/>
    <n v="2"/>
    <n v="56"/>
    <n v="529.19999999999993"/>
    <s v="Normal Quality"/>
    <d v="2024-03-23T16:11:19"/>
    <s v="Boynton Beach"/>
    <s v=" Florida"/>
    <x v="0"/>
  </r>
  <r>
    <s v="Paco Rabanne"/>
    <s v="Eau de Toilette"/>
    <x v="383"/>
    <n v="0"/>
    <n v="1165"/>
    <n v="81643.199999999997"/>
    <s v="High Quality"/>
    <d v="2024-03-23T16:28:06"/>
    <s v="Hackensack"/>
    <s v="New York"/>
    <x v="0"/>
  </r>
  <r>
    <s v="Sean John"/>
    <s v="Eau de Toilette"/>
    <x v="34"/>
    <n v="10"/>
    <n v="471"/>
    <n v="14125.289999999999"/>
    <s v="Normal Quality"/>
    <d v="2024-03-23T16:29:12"/>
    <s v="Miami"/>
    <s v=" Florida"/>
    <x v="0"/>
  </r>
  <r>
    <s v="Emporio Armani"/>
    <s v="Eau de Toilette"/>
    <x v="384"/>
    <n v="3"/>
    <n v="244"/>
    <n v="17543.600000000002"/>
    <s v="Normal Quality"/>
    <d v="2024-03-23T16:30:10"/>
    <s v="Katy"/>
    <s v=" Texas"/>
    <x v="0"/>
  </r>
  <r>
    <s v="As Show"/>
    <s v="Eau de Parfum"/>
    <x v="326"/>
    <n v="19"/>
    <n v="4"/>
    <n v="299.95999999999998"/>
    <s v="Normal Quality"/>
    <d v="2024-03-23T16:32:28"/>
    <s v="Dayton"/>
    <s v="New York"/>
    <x v="2"/>
  </r>
  <r>
    <s v="Jean Paul Gaultier"/>
    <s v="Eau de Toilette"/>
    <x v="385"/>
    <n v="9"/>
    <n v="51"/>
    <n v="6936"/>
    <s v="Normal Quality"/>
    <d v="2024-03-23T16:34:42"/>
    <s v="Miami"/>
    <s v=" Florida"/>
    <x v="0"/>
  </r>
  <r>
    <s v="Armaf"/>
    <s v="Eau de Parfum"/>
    <x v="236"/>
    <n v="323"/>
    <n v="110"/>
    <n v="2687.3"/>
    <s v="Normal Quality"/>
    <d v="2024-03-23T16:44:49"/>
    <s v="Brooklyn"/>
    <s v=" New York"/>
    <x v="0"/>
  </r>
  <r>
    <s v="Giorgio Armani"/>
    <s v="Eau de Parfum"/>
    <x v="386"/>
    <n v="11"/>
    <n v="52"/>
    <n v="3691.4799999999996"/>
    <s v="Normal Quality"/>
    <d v="2024-03-23T16:50:30"/>
    <s v="Pfafftown"/>
    <s v=" North Carolina"/>
    <x v="0"/>
  </r>
  <r>
    <s v="Unbranded"/>
    <s v="Eau de Parfum"/>
    <x v="171"/>
    <n v="6"/>
    <n v="3"/>
    <n v="53.97"/>
    <s v="Normal Quality"/>
    <d v="2024-03-23T17:06:03"/>
    <s v="Shenzhen"/>
    <s v=" China"/>
    <x v="2"/>
  </r>
  <r>
    <s v="Afnan"/>
    <s v="Eau de Parfum"/>
    <x v="62"/>
    <n v="6"/>
    <n v="372"/>
    <n v="12090"/>
    <s v="Normal Quality"/>
    <d v="2024-03-23T17:14:52"/>
    <s v="Edison"/>
    <s v="New York"/>
    <x v="0"/>
  </r>
  <r>
    <s v="Lattafa"/>
    <s v="Eau de Parfum"/>
    <x v="387"/>
    <n v="5"/>
    <n v="14"/>
    <n v="341.59999999999997"/>
    <s v="Normal Quality"/>
    <d v="2024-03-23T17:21:52"/>
    <s v="Ronkonkoma"/>
    <s v=" New York"/>
    <x v="0"/>
  </r>
  <r>
    <s v="TommUnknown Hilfiger"/>
    <s v="Eau de Toilette"/>
    <x v="79"/>
    <n v="0"/>
    <n v="40"/>
    <n v="1279.5999999999999"/>
    <s v="Normal Quality"/>
    <d v="2024-03-23T17:25:38"/>
    <s v="Hackensack"/>
    <s v="New York"/>
    <x v="0"/>
  </r>
  <r>
    <s v="As Show"/>
    <s v="Eau de Toilette"/>
    <x v="65"/>
    <n v="51"/>
    <n v="46"/>
    <n v="1655.5400000000002"/>
    <s v="Normal Quality"/>
    <d v="2024-03-23T17:33:21"/>
    <s v="New York"/>
    <s v="United States"/>
    <x v="5"/>
  </r>
  <r>
    <s v="Acqua Di Gio"/>
    <s v="Eau de Toilette"/>
    <x v="67"/>
    <n v="10"/>
    <n v="78"/>
    <n v="1247.22"/>
    <s v="Normal Quality"/>
    <d v="2024-03-23T17:35:17"/>
    <s v="New York"/>
    <s v="United States"/>
    <x v="2"/>
  </r>
  <r>
    <s v="As Show"/>
    <s v="Eau de Toilette"/>
    <x v="34"/>
    <n v="10"/>
    <n v="92"/>
    <n v="2759.08"/>
    <s v="Normal Quality"/>
    <d v="2024-03-23T17:35:18"/>
    <s v="New York"/>
    <s v="United States"/>
    <x v="2"/>
  </r>
  <r>
    <s v="As Show"/>
    <s v="Eau de Toilette"/>
    <x v="184"/>
    <n v="0"/>
    <n v="37"/>
    <n v="1442.63"/>
    <s v="Normal Quality"/>
    <d v="2024-03-23T17:35:18"/>
    <s v="New York"/>
    <s v="United States"/>
    <x v="2"/>
  </r>
  <r>
    <s v="Paco Rabanne"/>
    <s v="Eau de Parfum"/>
    <x v="326"/>
    <n v="10"/>
    <n v="23"/>
    <n v="1724.77"/>
    <s v="Normal Quality"/>
    <d v="2024-03-23T17:37:22"/>
    <s v="New York"/>
    <s v="United States"/>
    <x v="2"/>
  </r>
  <r>
    <s v="Old Spice"/>
    <s v="Eau de Cologne"/>
    <x v="25"/>
    <n v="7"/>
    <n v="132"/>
    <n v="2638.68"/>
    <s v="Normal Quality"/>
    <d v="2024-03-23T17:38:31"/>
    <s v="Stafford"/>
    <s v=" Texas"/>
    <x v="0"/>
  </r>
  <r>
    <s v="Montale"/>
    <s v="Eau de Parfum"/>
    <x v="152"/>
    <n v="10"/>
    <n v="4"/>
    <n v="236"/>
    <s v="Normal Quality"/>
    <d v="2024-03-23T17:42:12"/>
    <s v="Irving"/>
    <s v=" Texas"/>
    <x v="0"/>
  </r>
  <r>
    <s v="Unknownves Saint Laurent"/>
    <s v="Eau de Toilette"/>
    <x v="388"/>
    <n v="5"/>
    <n v="16"/>
    <n v="1112.8"/>
    <s v="Normal Quality"/>
    <d v="2024-03-23T17:44:35"/>
    <s v="Brooklyn"/>
    <s v=" New York"/>
    <x v="0"/>
  </r>
  <r>
    <s v="As Show"/>
    <s v="Eau de Parfum"/>
    <x v="27"/>
    <n v="5"/>
    <n v="24"/>
    <n v="2639.7599999999998"/>
    <s v="Normal Quality"/>
    <d v="2024-03-23T18:03:02"/>
    <s v="California"/>
    <s v="United States"/>
    <x v="2"/>
  </r>
  <r>
    <s v="Lattafa"/>
    <s v="Eau de Parfum"/>
    <x v="389"/>
    <n v="10"/>
    <n v="10"/>
    <n v="239.89999999999998"/>
    <s v="Normal Quality"/>
    <d v="2024-03-23T18:07:56"/>
    <s v="New York"/>
    <s v=" New York"/>
    <x v="0"/>
  </r>
  <r>
    <s v="Alexandria Eau de Parfum"/>
    <s v="Eau de Parfum"/>
    <x v="390"/>
    <n v="57"/>
    <n v="4"/>
    <n v="12"/>
    <s v="Normal Quality"/>
    <d v="2024-03-23T18:11:56"/>
    <s v="Wynnewood"/>
    <s v="pennsylvania"/>
    <x v="0"/>
  </r>
  <r>
    <s v="Davidoff"/>
    <s v="Eau de Toilette"/>
    <x v="391"/>
    <n v="3"/>
    <n v="849"/>
    <n v="29698.019999999997"/>
    <s v="Normal Quality"/>
    <d v="2024-03-23T18:21:52"/>
    <s v="Hackensack"/>
    <s v="New York"/>
    <x v="0"/>
  </r>
  <r>
    <s v="Chanel"/>
    <s v="Eau de Parfum"/>
    <x v="392"/>
    <n v="5"/>
    <n v="12"/>
    <n v="138"/>
    <s v="Normal Quality"/>
    <d v="2024-03-23T18:36:28"/>
    <s v="Montclair"/>
    <s v=" California"/>
    <x v="0"/>
  </r>
  <r>
    <s v="Calvin Klein"/>
    <s v="Eau de Toilette"/>
    <x v="171"/>
    <n v="28"/>
    <n v="3"/>
    <n v="53.97"/>
    <s v="Normal Quality"/>
    <d v="2024-03-23T18:43:56"/>
    <s v="West Harrison"/>
    <s v=" Indiana"/>
    <x v="0"/>
  </r>
  <r>
    <s v="Cuba"/>
    <s v="Eau de Toilette"/>
    <x v="393"/>
    <n v="2"/>
    <n v="391"/>
    <n v="4136.78"/>
    <s v="Normal Quality"/>
    <d v="2024-03-23T18:45:09"/>
    <s v="Dallas"/>
    <s v=" Texas"/>
    <x v="0"/>
  </r>
  <r>
    <s v="GuUnknown Laroche"/>
    <s v="Eau de Toilette"/>
    <x v="394"/>
    <n v="3"/>
    <n v="2345"/>
    <n v="39818.1"/>
    <s v="High Quality"/>
    <d v="2024-03-23T18:45:23"/>
    <s v="Dallas"/>
    <s v=" Texas"/>
    <x v="0"/>
  </r>
  <r>
    <s v="Eau de Cologne"/>
    <s v="Eau de Toilette"/>
    <x v="395"/>
    <n v="10"/>
    <n v="410"/>
    <n v="10438.6"/>
    <s v="Normal Quality"/>
    <d v="2024-03-23T18:50:00"/>
    <s v="New York"/>
    <s v=" United States"/>
    <x v="0"/>
  </r>
  <r>
    <s v="GivenchUnknown"/>
    <s v="Eau de Toilette"/>
    <x v="7"/>
    <n v="9"/>
    <n v="45"/>
    <n v="1799.5500000000002"/>
    <s v="Normal Quality"/>
    <d v="2024-03-23T18:59:51"/>
    <s v="California"/>
    <s v="USA"/>
    <x v="2"/>
  </r>
  <r>
    <s v="As Show"/>
    <s v="Eau de Parfum"/>
    <x v="27"/>
    <n v="0"/>
    <n v="5"/>
    <n v="549.94999999999993"/>
    <s v="Normal Quality"/>
    <d v="2024-03-23T19:11:36"/>
    <s v="North York"/>
    <s v=" Ontario"/>
    <x v="1"/>
  </r>
  <r>
    <s v="Viktor &amp; Rolf"/>
    <s v="Eau de Parfum"/>
    <x v="396"/>
    <n v="31"/>
    <n v="1296"/>
    <n v="112389.12"/>
    <s v="High Quality"/>
    <d v="2024-03-23T19:12:32"/>
    <s v="Hackensack"/>
    <s v="New York"/>
    <x v="0"/>
  </r>
  <r>
    <s v="Designer Series"/>
    <s v="Eau de Toilette"/>
    <x v="397"/>
    <n v="10"/>
    <n v="229"/>
    <n v="2885.4"/>
    <s v="Normal Quality"/>
    <d v="2024-03-23T19:13:34"/>
    <s v="Cumming"/>
    <s v=" Georgia"/>
    <x v="0"/>
  </r>
  <r>
    <s v="Giorgio Armani"/>
    <s v="Eau de Toilette"/>
    <x v="398"/>
    <n v="10"/>
    <n v="578"/>
    <n v="26559.100000000002"/>
    <s v="Normal Quality"/>
    <d v="2024-03-23T19:16:37"/>
    <s v="Kalamazoo"/>
    <s v=" Michigan"/>
    <x v="0"/>
  </r>
  <r>
    <s v="Versace"/>
    <s v="Eau de Toilette"/>
    <x v="399"/>
    <n v="6"/>
    <n v="21310"/>
    <n v="957671.39999999991"/>
    <s v="High Quality"/>
    <d v="2024-03-23T19:44:36"/>
    <s v="Hackensack"/>
    <s v="New York"/>
    <x v="0"/>
  </r>
  <r>
    <s v="Halloween"/>
    <s v="Eau de Parfum"/>
    <x v="400"/>
    <n v="9"/>
    <n v="25"/>
    <n v="751.75"/>
    <s v="Normal Quality"/>
    <d v="2024-03-23T19:44:52"/>
    <s v="Brooklyn"/>
    <s v=" New York"/>
    <x v="0"/>
  </r>
  <r>
    <s v="As Shown"/>
    <s v="Eau de Parfum"/>
    <x v="311"/>
    <n v="10"/>
    <n v="12"/>
    <n v="443.88"/>
    <s v="Normal Quality"/>
    <d v="2024-03-23T19:46:45"/>
    <s v="Shenzhen"/>
    <s v=" China"/>
    <x v="0"/>
  </r>
  <r>
    <s v="As Show"/>
    <s v="Eau de Toilette"/>
    <x v="65"/>
    <n v="84"/>
    <n v="51"/>
    <n v="1835.49"/>
    <s v="Normal Quality"/>
    <d v="2024-03-23T19:47:23"/>
    <s v="New York"/>
    <s v="USA"/>
    <x v="2"/>
  </r>
  <r>
    <s v="Superz Budapest"/>
    <s v="Eau de Parfum"/>
    <x v="401"/>
    <n v="10"/>
    <n v="28"/>
    <n v="3500"/>
    <s v="Normal Quality"/>
    <d v="2024-03-23T19:49:00"/>
    <s v="Hollywood"/>
    <s v=" Florida"/>
    <x v="0"/>
  </r>
  <r>
    <s v="Unbranded"/>
    <s v="Eau de Parfum"/>
    <x v="67"/>
    <n v="10"/>
    <n v="45"/>
    <n v="719.55"/>
    <s v="Normal Quality"/>
    <d v="2024-03-23T19:54:34"/>
    <s v="Houston"/>
    <s v=" Texas"/>
    <x v="0"/>
  </r>
  <r>
    <s v="Fragrance World"/>
    <s v="Eau de Parfum"/>
    <x v="1"/>
    <n v="10"/>
    <n v="1"/>
    <n v="27.99"/>
    <s v="Normal Quality"/>
    <d v="2024-03-23T19:57:55"/>
    <s v="Brooklyn"/>
    <s v=" New York"/>
    <x v="0"/>
  </r>
  <r>
    <s v="Dolce &amp; Gabbana"/>
    <s v="Eau de Toilette"/>
    <x v="402"/>
    <n v="8"/>
    <n v="9208"/>
    <n v="275687.52"/>
    <s v="High Quality"/>
    <d v="2024-03-23T20:04:11"/>
    <s v="Hackensack"/>
    <s v="New York"/>
    <x v="0"/>
  </r>
  <r>
    <s v="Unbranded"/>
    <s v="Eau de Parfum"/>
    <x v="220"/>
    <n v="3"/>
    <n v="2"/>
    <n v="43.98"/>
    <s v="Normal Quality"/>
    <d v="2024-03-23T20:05:17"/>
    <s v="Shenzhen"/>
    <s v=" China"/>
    <x v="3"/>
  </r>
  <r>
    <s v="Unbranded"/>
    <s v="Eau de Parfum"/>
    <x v="65"/>
    <n v="10"/>
    <n v="27"/>
    <n v="971.73"/>
    <s v="Normal Quality"/>
    <d v="2024-03-23T20:05:31"/>
    <s v="Shenzhen"/>
    <s v=" China"/>
    <x v="0"/>
  </r>
  <r>
    <s v="Franck Olivier"/>
    <s v="Eau de Parfum"/>
    <x v="403"/>
    <n v="10"/>
    <n v="6"/>
    <n v="107.10000000000001"/>
    <s v="Normal Quality"/>
    <d v="2024-03-23T20:14:23"/>
    <s v="Brooklyn"/>
    <s v=" New York"/>
    <x v="0"/>
  </r>
  <r>
    <s v="Prada"/>
    <s v="Eau de Toilette"/>
    <x v="404"/>
    <n v="0"/>
    <n v="322"/>
    <n v="27972.140000000003"/>
    <s v="Normal Quality"/>
    <d v="2024-03-23T20:20:11"/>
    <s v="Hackensack"/>
    <s v="New York"/>
    <x v="0"/>
  </r>
  <r>
    <s v="Missoni"/>
    <s v="Eau de Parfum"/>
    <x v="400"/>
    <n v="226"/>
    <n v="12"/>
    <n v="360.84000000000003"/>
    <s v="Normal Quality"/>
    <d v="2024-03-23T20:20:19"/>
    <s v="Brooklyn"/>
    <s v=" New York"/>
    <x v="0"/>
  </r>
  <r>
    <s v="Paco Rabanne"/>
    <s v="Eau de Toilette"/>
    <x v="124"/>
    <n v="0"/>
    <n v="8877"/>
    <n v="426007.23000000004"/>
    <s v="High Quality"/>
    <d v="2024-03-23T20:23:14"/>
    <s v="Hackensack"/>
    <s v="New York"/>
    <x v="0"/>
  </r>
  <r>
    <s v="Dolce&amp;Gabbana"/>
    <s v="Eau de Toilette"/>
    <x v="405"/>
    <n v="0"/>
    <n v="3787"/>
    <n v="202415.15000000002"/>
    <s v="High Quality"/>
    <d v="2024-03-23T20:23:26"/>
    <s v="Hackensack"/>
    <s v="New York"/>
    <x v="0"/>
  </r>
  <r>
    <s v="Versace"/>
    <s v="Eau de Toilette"/>
    <x v="335"/>
    <n v="2"/>
    <n v="7"/>
    <n v="138.11000000000001"/>
    <s v="Normal Quality"/>
    <d v="2024-03-23T20:44:22"/>
    <s v="Brooklyn"/>
    <s v=" New York"/>
    <x v="0"/>
  </r>
  <r>
    <s v="Unknownves Saint Laurent"/>
    <s v="Eau de Parfum"/>
    <x v="406"/>
    <n v="8"/>
    <n v="25"/>
    <n v="1197"/>
    <s v="Normal Quality"/>
    <d v="2024-03-23T20:46:56"/>
    <s v="Sacramento"/>
    <s v=" California"/>
    <x v="0"/>
  </r>
  <r>
    <s v="JimmUnknown Choo"/>
    <s v="Eau de Toilette"/>
    <x v="311"/>
    <n v="2"/>
    <n v="16"/>
    <n v="591.84"/>
    <s v="Normal Quality"/>
    <d v="2024-03-23T20:57:06"/>
    <s v="Melissa"/>
    <s v=" Texas"/>
    <x v="0"/>
  </r>
  <r>
    <s v="Zara"/>
    <s v="Eau de Parfum"/>
    <x v="407"/>
    <n v="10"/>
    <n v="12"/>
    <n v="707.40000000000009"/>
    <s v="Normal Quality"/>
    <d v="2024-03-23T21:06:08"/>
    <s v="Englewood"/>
    <s v="New York"/>
    <x v="0"/>
  </r>
  <r>
    <s v="Salvatore Ferragamo"/>
    <s v="Eau de Toilette"/>
    <x v="174"/>
    <n v="10"/>
    <n v="23"/>
    <n v="648.37"/>
    <s v="Normal Quality"/>
    <d v="2024-03-23T21:08:23"/>
    <s v="Brooklyn"/>
    <s v=" New York"/>
    <x v="0"/>
  </r>
  <r>
    <s v="Giorgio Armani"/>
    <s v="Eau de Toilette"/>
    <x v="347"/>
    <n v="3"/>
    <n v="1484"/>
    <n v="44445.799999999996"/>
    <s v="High Quality"/>
    <d v="2024-03-23T21:10:46"/>
    <s v="Warren"/>
    <s v=" Michigan"/>
    <x v="0"/>
  </r>
  <r>
    <s v="~ Dolce &amp; Gabbana ~"/>
    <s v="Eau de Parfum"/>
    <x v="0"/>
    <n v="34"/>
    <n v="22"/>
    <n v="1209.78"/>
    <s v="Normal Quality"/>
    <d v="2024-03-23T21:13:14"/>
    <s v="Melissa"/>
    <s v=" Texas"/>
    <x v="0"/>
  </r>
  <r>
    <s v="BurberrUnknown"/>
    <s v="Eau de Toilette"/>
    <x v="309"/>
    <n v="10"/>
    <n v="6188"/>
    <n v="204080.24"/>
    <s v="High Quality"/>
    <d v="2024-03-23T21:24:43"/>
    <s v="Hackensack"/>
    <s v="New York"/>
    <x v="0"/>
  </r>
  <r>
    <s v="Dolce&amp;Gabbana"/>
    <s v="Eau de Toilette"/>
    <x v="408"/>
    <n v="10"/>
    <n v="45"/>
    <n v="1295.55"/>
    <s v="Normal Quality"/>
    <d v="2024-03-23T21:29:48"/>
    <s v="Detroit"/>
    <s v=" Michigan"/>
    <x v="0"/>
  </r>
  <r>
    <s v="GuUnknown Laroche"/>
    <s v="Eau de Toilette"/>
    <x v="409"/>
    <n v="10"/>
    <n v="5500"/>
    <n v="104005"/>
    <s v="High Quality"/>
    <d v="2024-03-23T21:35:04"/>
    <s v="Hackensack"/>
    <s v="New York"/>
    <x v="0"/>
  </r>
  <r>
    <s v="Coach"/>
    <s v="Eau de Parfum"/>
    <x v="3"/>
    <n v="10"/>
    <n v="9"/>
    <n v="314.91000000000003"/>
    <s v="Normal Quality"/>
    <d v="2024-03-23T21:45:55"/>
    <s v="Edison"/>
    <s v="New York"/>
    <x v="0"/>
  </r>
  <r>
    <s v="Afnan"/>
    <s v="Eau de Parfum"/>
    <x v="287"/>
    <n v="13"/>
    <n v="14"/>
    <n v="328.85999999999996"/>
    <s v="Normal Quality"/>
    <d v="2024-03-23T21:50:21"/>
    <s v="Brooklyn"/>
    <s v=" New York"/>
    <x v="0"/>
  </r>
  <r>
    <s v="Eau de Parfum"/>
    <s v="Eau de Cologne"/>
    <x v="410"/>
    <n v="10"/>
    <n v="11"/>
    <n v="1212.0899999999999"/>
    <s v="Normal Quality"/>
    <d v="2024-03-23T21:56:47"/>
    <s v="Corona"/>
    <s v=" California"/>
    <x v="0"/>
  </r>
  <r>
    <s v="ThierrUnknown Mugler"/>
    <s v="Eau de Toilette"/>
    <x v="160"/>
    <n v="10"/>
    <n v="221"/>
    <n v="13257.79"/>
    <s v="Normal Quality"/>
    <d v="2024-03-23T21:56:49"/>
    <s v="Katy"/>
    <s v=" Texas"/>
    <x v="0"/>
  </r>
  <r>
    <s v="Franck Olivier"/>
    <s v="Eau de Parfum"/>
    <x v="411"/>
    <n v="4"/>
    <n v="9"/>
    <n v="169.10999999999999"/>
    <s v="Normal Quality"/>
    <d v="2024-03-23T21:56:59"/>
    <s v="Brooklyn"/>
    <s v=" New York"/>
    <x v="0"/>
  </r>
  <r>
    <s v="Tom Ford"/>
    <s v="Eau de Parfum"/>
    <x v="412"/>
    <n v="0"/>
    <n v="262"/>
    <n v="30533.480000000003"/>
    <s v="Normal Quality"/>
    <d v="2024-03-23T21:59:23"/>
    <s v="Hackensack"/>
    <s v="New York"/>
    <x v="0"/>
  </r>
  <r>
    <s v="TommUnknown Bahama"/>
    <s v="Eau de Cologne"/>
    <x v="413"/>
    <n v="10"/>
    <n v="18"/>
    <n v="413.64"/>
    <s v="Normal Quality"/>
    <d v="2024-03-23T22:10:24"/>
    <s v="Brooklyn"/>
    <s v=" New York"/>
    <x v="0"/>
  </r>
  <r>
    <s v="BurberrUnknown"/>
    <s v="Eau de Parfum"/>
    <x v="414"/>
    <n v="10"/>
    <n v="55"/>
    <n v="4238.8499999999995"/>
    <s v="Normal Quality"/>
    <d v="2024-03-23T22:10:28"/>
    <s v="Brooklyn"/>
    <s v=" New York"/>
    <x v="0"/>
  </r>
  <r>
    <s v="Khadlaj"/>
    <s v="Eau de Parfum"/>
    <x v="415"/>
    <n v="9"/>
    <n v="4"/>
    <n v="219.44"/>
    <s v="Normal Quality"/>
    <d v="2024-03-23T22:14:29"/>
    <s v="Brooklyn"/>
    <s v=" New York"/>
    <x v="0"/>
  </r>
  <r>
    <s v="Bath &amp; BodUnknown Works"/>
    <s v="Eau de Cologne"/>
    <x v="272"/>
    <n v="0"/>
    <n v="717"/>
    <n v="20032.98"/>
    <s v="Normal Quality"/>
    <d v="2024-03-23T22:18:49"/>
    <s v="Modesto"/>
    <s v=" California"/>
    <x v="0"/>
  </r>
  <r>
    <s v="Dolce&amp;Gabbana"/>
    <s v="Eau de Toilette"/>
    <x v="416"/>
    <n v="8"/>
    <n v="566"/>
    <n v="16131"/>
    <s v="Normal Quality"/>
    <d v="2024-03-23T22:20:26"/>
    <s v="Grand Rapids"/>
    <s v=" Michigan"/>
    <x v="0"/>
  </r>
  <r>
    <s v="Unknownves Saint Laurent"/>
    <s v="Eau de Parfum"/>
    <x v="417"/>
    <n v="40"/>
    <n v="19"/>
    <n v="1607.21"/>
    <s v="Normal Quality"/>
    <d v="2024-03-23T22:26:34"/>
    <s v="Brooklyn"/>
    <s v=" New York"/>
    <x v="0"/>
  </r>
  <r>
    <s v="Louis Vuitton"/>
    <s v="Eau de Parfum"/>
    <x v="418"/>
    <n v="10"/>
    <n v="448"/>
    <n v="9833.6"/>
    <s v="Normal Quality"/>
    <d v="2024-03-23T22:35:31"/>
    <s v="Pearland"/>
    <s v=" Texas"/>
    <x v="0"/>
  </r>
  <r>
    <s v="Jean Paul Gaultier"/>
    <s v="Eau de Toilette"/>
    <x v="419"/>
    <n v="8"/>
    <n v="539"/>
    <n v="61979.61"/>
    <s v="Normal Quality"/>
    <d v="2024-03-23T22:43:23"/>
    <s v="Katy"/>
    <s v=" Texas"/>
    <x v="0"/>
  </r>
  <r>
    <s v="Eau de Cologne"/>
    <s v="Eau de Parfum"/>
    <x v="420"/>
    <n v="7"/>
    <n v="42"/>
    <n v="3570"/>
    <s v="Normal Quality"/>
    <d v="2024-03-23T22:52:13"/>
    <s v="Fresh Meadows"/>
    <s v=" New York"/>
    <x v="0"/>
  </r>
  <r>
    <s v="Eau de Cologne"/>
    <s v="Eau de Parfum"/>
    <x v="421"/>
    <n v="10"/>
    <n v="5"/>
    <n v="440"/>
    <s v="Normal Quality"/>
    <d v="2024-03-23T22:52:22"/>
    <s v="South San Francisco"/>
    <s v=" California"/>
    <x v="0"/>
  </r>
  <r>
    <s v="As Show"/>
    <s v="Eau de Parfum"/>
    <x v="12"/>
    <n v="10"/>
    <n v="157"/>
    <n v="10988.429999999998"/>
    <s v="Normal Quality"/>
    <d v="2024-03-23T22:52:49"/>
    <s v="Dayton"/>
    <s v="New York"/>
    <x v="2"/>
  </r>
  <r>
    <s v="Paco Rabanne"/>
    <s v="Eau de Parfum"/>
    <x v="133"/>
    <n v="10"/>
    <n v="59"/>
    <n v="4070.41"/>
    <s v="Normal Quality"/>
    <d v="2024-03-23T23:00:53"/>
    <s v="Melissa"/>
    <s v=" Texas"/>
    <x v="0"/>
  </r>
  <r>
    <s v="As Show"/>
    <s v="Eau de Parfum"/>
    <x v="27"/>
    <n v="10"/>
    <n v="48"/>
    <n v="5279.5199999999995"/>
    <s v="Normal Quality"/>
    <d v="2024-03-23T23:07:49"/>
    <s v="Atlanta"/>
    <s v=" Georgia"/>
    <x v="1"/>
  </r>
  <r>
    <s v="Polo Ralph Lauren"/>
    <s v="Eau de Toilette"/>
    <x v="422"/>
    <n v="2"/>
    <n v="445"/>
    <n v="14240"/>
    <s v="Normal Quality"/>
    <d v="2024-03-23T23:12:15"/>
    <s v="Bethpage"/>
    <s v=" New York"/>
    <x v="0"/>
  </r>
  <r>
    <s v="Giorgio Armani"/>
    <s v="Eau de Toilette"/>
    <x v="423"/>
    <n v="10"/>
    <n v="185"/>
    <n v="6752.5"/>
    <s v="Normal Quality"/>
    <d v="2024-03-23T23:20:00"/>
    <s v="Battle Creek"/>
    <s v=" Michigan"/>
    <x v="0"/>
  </r>
  <r>
    <s v="Lattafa"/>
    <s v="Eau de Parfum"/>
    <x v="424"/>
    <n v="95"/>
    <n v="11"/>
    <n v="283.69"/>
    <s v="Normal Quality"/>
    <d v="2024-03-23T23:20:23"/>
    <s v="Brooklyn"/>
    <s v=" New York"/>
    <x v="0"/>
  </r>
  <r>
    <s v="Giorgio Armani"/>
    <s v="Eau de Parfum"/>
    <x v="87"/>
    <n v="8"/>
    <n v="420"/>
    <n v="39895.799999999996"/>
    <s v="Normal Quality"/>
    <d v="2024-03-23T23:31:35"/>
    <s v="Katy"/>
    <s v=" Texas"/>
    <x v="0"/>
  </r>
  <r>
    <s v="Calvin Klein"/>
    <s v="Eau de Toilette"/>
    <x v="309"/>
    <n v="8"/>
    <n v="4427"/>
    <n v="146002.46"/>
    <s v="High Quality"/>
    <d v="2024-03-23T23:46:32"/>
    <s v="Hackensack"/>
    <s v="New York"/>
    <x v="0"/>
  </r>
  <r>
    <s v="Creed"/>
    <s v="Eau de Parfum"/>
    <x v="425"/>
    <n v="0"/>
    <n v="266"/>
    <n v="50087.8"/>
    <s v="Normal Quality"/>
    <d v="2024-03-23T23:46:32"/>
    <s v="Hackensack"/>
    <s v="New York"/>
    <x v="0"/>
  </r>
  <r>
    <s v="Valentino"/>
    <s v="Eau de Toilette"/>
    <x v="63"/>
    <n v="9"/>
    <n v="11"/>
    <n v="879.89"/>
    <s v="Normal Quality"/>
    <d v="2024-03-23T23:59:20"/>
    <s v="Hk"/>
    <s v=" Hong Kong"/>
    <x v="0"/>
  </r>
  <r>
    <s v="Unknownves Saint Laurent"/>
    <s v="Eau de Parfum"/>
    <x v="426"/>
    <n v="10"/>
    <n v="5"/>
    <n v="419.95"/>
    <s v="Normal Quality"/>
    <d v="2024-03-23T23:59:45"/>
    <s v="United States"/>
    <s v=" Hong Kong"/>
    <x v="0"/>
  </r>
  <r>
    <s v="Unbranded"/>
    <s v="Eau de Parfum"/>
    <x v="427"/>
    <n v="258"/>
    <n v="19"/>
    <n v="1766.81"/>
    <s v="Normal Quality"/>
    <d v="2024-03-24T00:01:17"/>
    <s v="College Point"/>
    <s v=" New York"/>
    <x v="0"/>
  </r>
  <r>
    <s v="Azzaro"/>
    <s v="Eau de Parfum"/>
    <x v="428"/>
    <n v="8"/>
    <n v="4"/>
    <n v="351.96"/>
    <s v="Normal Quality"/>
    <d v="2024-03-24T00:01:17"/>
    <s v="New York"/>
    <s v=" United States"/>
    <x v="3"/>
  </r>
  <r>
    <s v="Giorgio Armani"/>
    <s v="Eau de Toilette"/>
    <x v="28"/>
    <n v="3"/>
    <n v="111"/>
    <n v="3217.89"/>
    <s v="Normal Quality"/>
    <d v="2024-03-24T00:02:00"/>
    <s v="College Point"/>
    <s v=" New York"/>
    <x v="0"/>
  </r>
  <r>
    <s v="Abercrombie &amp; Fitch"/>
    <s v="Eau de Cologne"/>
    <x v="17"/>
    <n v="2"/>
    <n v="376"/>
    <n v="18796.240000000002"/>
    <s v="Normal Quality"/>
    <d v="2024-03-24T00:02:15"/>
    <s v="Warren"/>
    <s v=" Michigan"/>
    <x v="0"/>
  </r>
  <r>
    <s v="Versace"/>
    <s v="Eau de Toilette"/>
    <x v="3"/>
    <n v="10"/>
    <n v="136"/>
    <n v="4758.6400000000003"/>
    <s v="Normal Quality"/>
    <d v="2024-03-24T00:02:27"/>
    <s v="Warren"/>
    <s v=" Michigan"/>
    <x v="0"/>
  </r>
  <r>
    <s v="Hermès"/>
    <s v="Eau de Toilette"/>
    <x v="196"/>
    <n v="2"/>
    <n v="3"/>
    <n v="176.97"/>
    <s v="Normal Quality"/>
    <d v="2024-03-24T00:09:17"/>
    <s v="New York"/>
    <s v=" New York"/>
    <x v="0"/>
  </r>
  <r>
    <s v="Giorgio Armani"/>
    <s v="Eau de Parfum"/>
    <x v="429"/>
    <n v="0"/>
    <n v="1"/>
    <n v="90.44"/>
    <s v="Normal Quality"/>
    <d v="2024-03-24T00:10:31"/>
    <s v="New York"/>
    <s v=" New York"/>
    <x v="0"/>
  </r>
  <r>
    <s v="Unbranded"/>
    <s v="Eau de Parfum"/>
    <x v="420"/>
    <n v="10"/>
    <n v="6"/>
    <n v="510"/>
    <s v="Normal Quality"/>
    <d v="2024-03-24T00:10:39"/>
    <s v="Ithaca"/>
    <s v=" New York"/>
    <x v="0"/>
  </r>
  <r>
    <s v="Unbranded"/>
    <s v="Eau de Parfum"/>
    <x v="137"/>
    <n v="86"/>
    <n v="84"/>
    <n v="1427.1599999999999"/>
    <s v="Normal Quality"/>
    <d v="2024-03-24T00:13:42"/>
    <s v="Hong Kong"/>
    <s v=" China"/>
    <x v="0"/>
  </r>
  <r>
    <s v="Versace"/>
    <s v="Eau de Toilette"/>
    <x v="65"/>
    <n v="383"/>
    <n v="43"/>
    <n v="1547.5700000000002"/>
    <s v="Normal Quality"/>
    <d v="2024-03-24T00:13:55"/>
    <s v="Pomona"/>
    <s v=" California"/>
    <x v="0"/>
  </r>
  <r>
    <s v="Mirage Brands"/>
    <s v="Eau de Toilette"/>
    <x v="430"/>
    <n v="5"/>
    <n v="552"/>
    <n v="7540.32"/>
    <s v="Normal Quality"/>
    <d v="2024-03-24T00:14:35"/>
    <s v="Hephzibah"/>
    <s v=" Georgia"/>
    <x v="0"/>
  </r>
  <r>
    <s v="As Shown"/>
    <s v="Eau de Parfum"/>
    <x v="17"/>
    <n v="48"/>
    <n v="45"/>
    <n v="2249.5500000000002"/>
    <s v="Normal Quality"/>
    <d v="2024-03-24T00:15:22"/>
    <s v="Ottawa"/>
    <s v="California"/>
    <x v="1"/>
  </r>
  <r>
    <s v="Versace"/>
    <s v="Eau de Parfum"/>
    <x v="311"/>
    <n v="0"/>
    <n v="37"/>
    <n v="1368.63"/>
    <s v="Normal Quality"/>
    <d v="2024-03-24T00:16:00"/>
    <s v="Toronto"/>
    <s v="Ontario"/>
    <x v="1"/>
  </r>
  <r>
    <s v="As Show"/>
    <s v="Eau de Parfum"/>
    <x v="431"/>
    <n v="0"/>
    <n v="3"/>
    <n v="298.46999999999997"/>
    <s v="Normal Quality"/>
    <d v="2024-03-24T00:20:22"/>
    <s v="Rochester"/>
    <s v=" New York"/>
    <x v="0"/>
  </r>
  <r>
    <s v="As Show"/>
    <s v="Eau de Parfum"/>
    <x v="17"/>
    <n v="10"/>
    <n v="25"/>
    <n v="1249.75"/>
    <s v="Normal Quality"/>
    <d v="2024-03-24T00:24:35"/>
    <s v="California Or Hong Kong"/>
    <s v=" Hong Kong"/>
    <x v="3"/>
  </r>
  <r>
    <s v="Fragrance"/>
    <s v="Eau de Parfum"/>
    <x v="237"/>
    <n v="2"/>
    <n v="3"/>
    <n v="140.97"/>
    <s v="Normal Quality"/>
    <d v="2024-03-24T00:24:54"/>
    <s v="New City"/>
    <s v=" New York"/>
    <x v="0"/>
  </r>
  <r>
    <s v="Chanel"/>
    <s v="Eau de Parfum"/>
    <x v="280"/>
    <n v="10"/>
    <n v="239"/>
    <n v="3319.71"/>
    <s v="Normal Quality"/>
    <d v="2024-03-24T00:31:06"/>
    <s v="Phillipsburg"/>
    <s v="New York"/>
    <x v="0"/>
  </r>
  <r>
    <s v="Chanel"/>
    <s v="Eau de Toilette"/>
    <x v="432"/>
    <n v="5"/>
    <n v="163"/>
    <n v="1744.1"/>
    <s v="Normal Quality"/>
    <d v="2024-03-24T00:31:08"/>
    <s v="Phillipsburg"/>
    <s v="New York"/>
    <x v="0"/>
  </r>
  <r>
    <s v="BurberrUnknown"/>
    <s v="Eau de Toilette"/>
    <x v="433"/>
    <n v="10"/>
    <n v="254"/>
    <n v="2019.3"/>
    <s v="Normal Quality"/>
    <d v="2024-03-24T00:33:04"/>
    <s v="Phillipsburg"/>
    <s v="New York"/>
    <x v="0"/>
  </r>
  <r>
    <s v="Hermès"/>
    <s v="Eau de Parfum"/>
    <x v="434"/>
    <n v="3"/>
    <n v="131"/>
    <n v="1112.19"/>
    <s v="Normal Quality"/>
    <d v="2024-03-24T00:33:39"/>
    <s v="Phillipsburg"/>
    <s v="New York"/>
    <x v="0"/>
  </r>
  <r>
    <s v="Versace"/>
    <s v="Eau de Toilette"/>
    <x v="65"/>
    <n v="3"/>
    <n v="221"/>
    <n v="7953.7900000000009"/>
    <s v="Normal Quality"/>
    <d v="2024-03-24T00:47:14"/>
    <s v="Dayton"/>
    <s v="New York"/>
    <x v="1"/>
  </r>
  <r>
    <s v="Valentino"/>
    <s v="Eau de Toilette"/>
    <x v="435"/>
    <n v="6"/>
    <n v="8"/>
    <n v="607.91999999999996"/>
    <s v="Normal Quality"/>
    <d v="2024-03-24T00:48:30"/>
    <s v="Walnut"/>
    <s v=" California"/>
    <x v="2"/>
  </r>
  <r>
    <s v="Unbranded"/>
    <s v="Eau de Parfum"/>
    <x v="0"/>
    <n v="3"/>
    <n v="6"/>
    <n v="329.94"/>
    <s v="Normal Quality"/>
    <d v="2024-03-24T00:56:01"/>
    <s v="Los Angeles"/>
    <s v=" California"/>
    <x v="0"/>
  </r>
  <r>
    <s v="Armaf"/>
    <s v="Eau de Parfum"/>
    <x v="7"/>
    <n v="7"/>
    <n v="76"/>
    <n v="3039.2400000000002"/>
    <s v="Normal Quality"/>
    <d v="2024-03-24T00:56:45"/>
    <s v="Los Angeles"/>
    <s v=" California"/>
    <x v="0"/>
  </r>
  <r>
    <s v="Moschino"/>
    <s v="Eau de Parfum"/>
    <x v="34"/>
    <n v="2"/>
    <n v="17"/>
    <n v="509.83"/>
    <s v="Normal Quality"/>
    <d v="2024-03-24T00:58:38"/>
    <s v="Hamtramck"/>
    <s v=" Michigan"/>
    <x v="0"/>
  </r>
  <r>
    <s v="As Picture Shown"/>
    <s v="Eau de Parfum"/>
    <x v="436"/>
    <n v="0"/>
    <n v="15"/>
    <n v="1889.85"/>
    <s v="Normal Quality"/>
    <d v="2024-03-24T01:04:08"/>
    <s v="Livingston Manor"/>
    <s v=" New York"/>
    <x v="0"/>
  </r>
  <r>
    <s v="LuxurUnknown"/>
    <s v="Eau de Toilette"/>
    <x v="437"/>
    <n v="10"/>
    <n v="272"/>
    <n v="2902.24"/>
    <s v="Normal Quality"/>
    <d v="2024-03-24T01:20:13"/>
    <s v="Dallas"/>
    <s v=" Texas"/>
    <x v="0"/>
  </r>
  <r>
    <s v="Unknownves Saint Laurent"/>
    <s v="Eau de Parfum"/>
    <x v="438"/>
    <n v="10"/>
    <n v="7"/>
    <n v="325.35999999999996"/>
    <s v="Normal Quality"/>
    <d v="2024-03-24T01:20:40"/>
    <s v="Houston"/>
    <s v=" Texas"/>
    <x v="4"/>
  </r>
  <r>
    <s v="Eau de Cologne"/>
    <s v="Eau de Toilette"/>
    <x v="439"/>
    <n v="10"/>
    <n v="214"/>
    <n v="7490"/>
    <s v="Normal Quality"/>
    <d v="2024-03-24T01:25:38"/>
    <s v="Grafton"/>
    <s v=" Wisconsin"/>
    <x v="0"/>
  </r>
  <r>
    <s v="Abercrombie &amp; Fitch"/>
    <s v="Eau de Cologne"/>
    <x v="7"/>
    <n v="6"/>
    <n v="275"/>
    <n v="10997.25"/>
    <s v="Normal Quality"/>
    <d v="2024-03-24T01:40:01"/>
    <s v="Carlsbad"/>
    <s v=" California"/>
    <x v="0"/>
  </r>
  <r>
    <s v="Versace"/>
    <s v="Eau de Toilette"/>
    <x v="48"/>
    <n v="10"/>
    <n v="270"/>
    <n v="8100"/>
    <s v="Normal Quality"/>
    <d v="2024-03-24T01:40:45"/>
    <s v="Carlsbad"/>
    <s v=" California"/>
    <x v="0"/>
  </r>
  <r>
    <s v="Paco Rabanne"/>
    <s v="Eau de Toilette"/>
    <x v="49"/>
    <n v="10"/>
    <n v="313"/>
    <n v="20341.87"/>
    <s v="Normal Quality"/>
    <d v="2024-03-24T01:41:58"/>
    <s v="Katy"/>
    <s v=" Texas"/>
    <x v="0"/>
  </r>
  <r>
    <s v="Coach"/>
    <s v="Eau de Toilette"/>
    <x v="440"/>
    <n v="66"/>
    <n v="7592"/>
    <n v="274450.8"/>
    <s v="High Quality"/>
    <d v="2024-03-24T01:43:19"/>
    <s v="Dallas"/>
    <s v=" Texas"/>
    <x v="0"/>
  </r>
  <r>
    <s v="Calvin Klein"/>
    <s v="Eau de Toilette"/>
    <x v="441"/>
    <n v="3"/>
    <n v="348"/>
    <n v="6667.68"/>
    <s v="Normal Quality"/>
    <d v="2024-03-24T01:43:20"/>
    <s v="Dallas"/>
    <s v=" Texas"/>
    <x v="0"/>
  </r>
  <r>
    <s v="Unknownves Saint Laurent"/>
    <s v="Eau de Toilette"/>
    <x v="442"/>
    <n v="10"/>
    <n v="210"/>
    <n v="12005.7"/>
    <s v="Normal Quality"/>
    <d v="2024-03-24T01:43:21"/>
    <s v="Dallas"/>
    <s v=" Texas"/>
    <x v="0"/>
  </r>
  <r>
    <s v="BentleUnknown"/>
    <s v="Eau de Parfum"/>
    <x v="443"/>
    <n v="0"/>
    <n v="5145"/>
    <n v="149822.39999999999"/>
    <s v="High Quality"/>
    <d v="2024-03-24T01:45:52"/>
    <s v="Hackensack"/>
    <s v="New York"/>
    <x v="0"/>
  </r>
  <r>
    <s v="Unbranded"/>
    <s v="Eau de Parfum"/>
    <x v="67"/>
    <n v="8"/>
    <n v="14"/>
    <n v="223.86"/>
    <s v="Normal Quality"/>
    <d v="2024-03-24T01:46:35"/>
    <s v="Houston"/>
    <s v=" Texas"/>
    <x v="0"/>
  </r>
  <r>
    <s v="Ralph Lauren"/>
    <s v="Eau de Toilette"/>
    <x v="79"/>
    <n v="22"/>
    <n v="35"/>
    <n v="1119.6499999999999"/>
    <s v="Normal Quality"/>
    <d v="2024-03-24T02:00:07"/>
    <s v="Hackensack"/>
    <s v="New York"/>
    <x v="0"/>
  </r>
  <r>
    <s v="Unknownves Saint Laurent"/>
    <s v="Eau de Parfum"/>
    <x v="444"/>
    <n v="0"/>
    <n v="16"/>
    <n v="975.84"/>
    <s v="Normal Quality"/>
    <d v="2024-03-24T02:09:23"/>
    <s v="Houston"/>
    <s v=" Texas"/>
    <x v="0"/>
  </r>
  <r>
    <s v="Giorgio Armani"/>
    <s v="Eau de Parfum"/>
    <x v="133"/>
    <n v="842"/>
    <n v="99"/>
    <n v="6830.0099999999993"/>
    <s v="Normal Quality"/>
    <d v="2024-03-24T02:15:09"/>
    <s v="Charlotte"/>
    <s v=" North Carolina"/>
    <x v="0"/>
  </r>
  <r>
    <s v="Emporio Armani"/>
    <s v="Eau de Parfum"/>
    <x v="35"/>
    <n v="9"/>
    <n v="7"/>
    <n v="594.92999999999995"/>
    <s v="Normal Quality"/>
    <d v="2024-03-24T02:24:38"/>
    <s v="California"/>
    <s v=" Hong Kong"/>
    <x v="3"/>
  </r>
  <r>
    <s v="As Show"/>
    <s v="Eau de Toilette"/>
    <x v="17"/>
    <n v="10"/>
    <n v="15"/>
    <n v="749.85"/>
    <s v="Normal Quality"/>
    <d v="2024-03-24T02:29:59"/>
    <s v="Dayton"/>
    <s v=" New York"/>
    <x v="2"/>
  </r>
  <r>
    <s v="Lucianno"/>
    <s v="Eau de Parfum"/>
    <x v="445"/>
    <n v="3"/>
    <n v="21"/>
    <n v="1386"/>
    <s v="Normal Quality"/>
    <d v="2024-03-24T02:33:19"/>
    <s v="Scarborough"/>
    <s v=" Ontario"/>
    <x v="1"/>
  </r>
  <r>
    <s v="Rue21"/>
    <s v="Eau de Cologne"/>
    <x v="446"/>
    <n v="4"/>
    <n v="22"/>
    <n v="550"/>
    <s v="Normal Quality"/>
    <d v="2024-03-24T02:35:10"/>
    <s v="Chesapeake"/>
    <s v=" Virginia"/>
    <x v="0"/>
  </r>
  <r>
    <s v="Paco Rabanne"/>
    <s v="Eau de Parfum"/>
    <x v="133"/>
    <n v="5"/>
    <n v="20"/>
    <n v="1379.8"/>
    <s v="Normal Quality"/>
    <d v="2024-03-24T02:41:49"/>
    <s v="San Jose"/>
    <s v=" California"/>
    <x v="0"/>
  </r>
  <r>
    <s v="Giorgio Armani"/>
    <s v="Eau de Toilette"/>
    <x v="205"/>
    <n v="0"/>
    <n v="101"/>
    <n v="4644.99"/>
    <s v="Normal Quality"/>
    <d v="2024-03-24T02:49:19"/>
    <s v="Pfafftown"/>
    <s v=" North Carolina"/>
    <x v="0"/>
  </r>
  <r>
    <s v="Unknownves Saint Laurent"/>
    <s v="Eau de Parfum"/>
    <x v="444"/>
    <n v="10"/>
    <n v="27"/>
    <n v="1646.73"/>
    <s v="Normal Quality"/>
    <d v="2024-03-24T02:57:18"/>
    <s v="Santa Cruz"/>
    <s v=" California"/>
    <x v="0"/>
  </r>
  <r>
    <s v="Boucheron"/>
    <s v="Eau de Parfum"/>
    <x v="150"/>
    <n v="6"/>
    <n v="61"/>
    <n v="2006.29"/>
    <s v="Normal Quality"/>
    <d v="2024-03-24T03:08:22"/>
    <s v="Brooklyn"/>
    <s v=" New York"/>
    <x v="0"/>
  </r>
  <r>
    <s v="Jean Paul Gaultier"/>
    <s v="Eau de Toilette"/>
    <x v="447"/>
    <n v="10"/>
    <n v="116"/>
    <n v="5276.84"/>
    <s v="Normal Quality"/>
    <d v="2024-03-24T03:20:23"/>
    <s v="Cincinnati"/>
    <s v=" Ohio"/>
    <x v="0"/>
  </r>
  <r>
    <s v="GivenchUnknown"/>
    <s v="Eau de Parfum"/>
    <x v="448"/>
    <n v="4"/>
    <n v="197"/>
    <n v="15760"/>
    <s v="Normal Quality"/>
    <d v="2024-03-24T03:20:57"/>
    <s v="Katy"/>
    <s v=" Texas"/>
    <x v="0"/>
  </r>
  <r>
    <s v="Dolce&amp;Gabbana"/>
    <s v="Eau de Parfum"/>
    <x v="449"/>
    <n v="5"/>
    <n v="5"/>
    <n v="372.40000000000003"/>
    <s v="Normal Quality"/>
    <d v="2024-03-24T03:20:58"/>
    <s v="Katy"/>
    <s v=" Texas"/>
    <x v="0"/>
  </r>
  <r>
    <s v="Abercrombie &amp; Fitch"/>
    <s v="Eau de Cologne"/>
    <x v="450"/>
    <n v="0"/>
    <n v="3"/>
    <n v="130.47"/>
    <s v="Normal Quality"/>
    <d v="2024-03-24T03:25:20"/>
    <s v="Dunedin"/>
    <s v=" Florida"/>
    <x v="0"/>
  </r>
  <r>
    <s v="Giorgio Armani"/>
    <s v="Eau de Toilette"/>
    <x v="50"/>
    <n v="7"/>
    <n v="159"/>
    <n v="7153.4100000000008"/>
    <s v="Normal Quality"/>
    <d v="2024-03-24T03:30:43"/>
    <s v="Reinholds"/>
    <s v="pennsylvania"/>
    <x v="0"/>
  </r>
  <r>
    <s v="Davidoff"/>
    <s v="Eau de Toilette"/>
    <x v="451"/>
    <n v="10"/>
    <n v="71"/>
    <n v="1738.79"/>
    <s v="Normal Quality"/>
    <d v="2024-03-24T03:36:50"/>
    <s v="Las Vegas"/>
    <s v=" Nevada"/>
    <x v="0"/>
  </r>
  <r>
    <s v="Davidoff"/>
    <s v="Eau de Toilette"/>
    <x v="85"/>
    <n v="10"/>
    <n v="64"/>
    <n v="1631.36"/>
    <s v="Normal Quality"/>
    <d v="2024-03-24T03:48:03"/>
    <s v="Baltimore"/>
    <s v=" Maryland"/>
    <x v="0"/>
  </r>
  <r>
    <s v="Ralph Lauren"/>
    <s v="Eau de Parfum"/>
    <x v="452"/>
    <n v="0"/>
    <n v="869"/>
    <n v="46908.619999999995"/>
    <s v="Normal Quality"/>
    <d v="2024-03-24T03:56:56"/>
    <s v="Hackensack"/>
    <s v="New York"/>
    <x v="0"/>
  </r>
  <r>
    <s v="Calvin Klein"/>
    <s v="Eau de Parfum"/>
    <x v="118"/>
    <n v="6"/>
    <n v="54052"/>
    <n v="1291302.28"/>
    <s v="High Quality"/>
    <d v="2024-03-24T03:59:39"/>
    <s v="Hackensack"/>
    <s v="New York"/>
    <x v="0"/>
  </r>
  <r>
    <s v="Dior"/>
    <s v="Eau de Parfum"/>
    <x v="159"/>
    <n v="3"/>
    <n v="1332"/>
    <n v="34618.68"/>
    <s v="High Quality"/>
    <d v="2024-03-24T04:03:31"/>
    <s v="Cranston"/>
    <s v=" Rhode Island"/>
    <x v="0"/>
  </r>
  <r>
    <s v="Dior"/>
    <s v="Eau de Parfum"/>
    <x v="453"/>
    <n v="10"/>
    <n v="4"/>
    <n v="355.96"/>
    <s v="Normal Quality"/>
    <d v="2024-03-24T04:19:41"/>
    <s v="Belleville"/>
    <s v=" Michigan"/>
    <x v="0"/>
  </r>
  <r>
    <s v="Giorgio Armani"/>
    <s v="Eau de Toilette"/>
    <x v="22"/>
    <n v="2"/>
    <n v="132"/>
    <n v="5542.68"/>
    <s v="Normal Quality"/>
    <d v="2024-03-24T04:20:12"/>
    <s v="Thomasville"/>
    <s v=" Alabama"/>
    <x v="0"/>
  </r>
  <r>
    <s v="As Picture Show"/>
    <s v="Eau de Parfum"/>
    <x v="454"/>
    <n v="6"/>
    <n v="32"/>
    <n v="6079.68"/>
    <s v="Normal Quality"/>
    <d v="2024-03-24T04:22:27"/>
    <s v="Livingston Manor"/>
    <s v=" New York"/>
    <x v="0"/>
  </r>
  <r>
    <s v="Sean John"/>
    <s v="Eau de Toilette"/>
    <x v="90"/>
    <n v="10"/>
    <n v="116"/>
    <n v="2898.8399999999997"/>
    <s v="Normal Quality"/>
    <d v="2024-03-24T04:29:16"/>
    <s v="Miami"/>
    <s v=" Florida"/>
    <x v="0"/>
  </r>
  <r>
    <s v="Lattafa"/>
    <s v="Eau de Parfum"/>
    <x v="455"/>
    <n v="10"/>
    <n v="44"/>
    <n v="661.31999999999994"/>
    <s v="Normal Quality"/>
    <d v="2024-03-24T05:02:25"/>
    <s v="Brooklyn"/>
    <s v=" New York"/>
    <x v="0"/>
  </r>
  <r>
    <s v="Armaf"/>
    <s v="Eau de Toilette"/>
    <x v="34"/>
    <n v="10"/>
    <n v="384"/>
    <n v="11516.16"/>
    <s v="Normal Quality"/>
    <d v="2024-03-24T05:13:20"/>
    <s v="Hamtramck"/>
    <s v=" Michigan"/>
    <x v="0"/>
  </r>
  <r>
    <s v="Davidoff"/>
    <s v="Eau de Toilette"/>
    <x v="456"/>
    <n v="0"/>
    <n v="40130"/>
    <n v="1012479.9"/>
    <s v="High Quality"/>
    <d v="2024-03-24T05:18:15"/>
    <s v="Hackensack"/>
    <s v="New York"/>
    <x v="0"/>
  </r>
  <r>
    <s v="Bharara"/>
    <s v="Eau de Parfum"/>
    <x v="166"/>
    <n v="6"/>
    <n v="512"/>
    <n v="27642.880000000001"/>
    <s v="Normal Quality"/>
    <d v="2024-03-24T05:27:02"/>
    <s v="Melissa"/>
    <s v=" Texas"/>
    <x v="0"/>
  </r>
  <r>
    <s v="Kenneth Cole"/>
    <s v="Eau de Parfum"/>
    <x v="144"/>
    <n v="10"/>
    <n v="368"/>
    <n v="4044.32"/>
    <s v="Normal Quality"/>
    <d v="2024-03-24T05:30:37"/>
    <s v="Brooklyn"/>
    <s v=" New York"/>
    <x v="0"/>
  </r>
  <r>
    <s v="Giorgio Armani"/>
    <s v="Eau de Parfum"/>
    <x v="12"/>
    <n v="50"/>
    <n v="35"/>
    <n v="2449.6499999999996"/>
    <s v="Normal Quality"/>
    <d v="2024-03-24T05:43:37"/>
    <s v="Highland Park"/>
    <s v=" Michigan"/>
    <x v="0"/>
  </r>
  <r>
    <s v="Ralph Lauren"/>
    <s v="Eau de Toilette"/>
    <x v="3"/>
    <n v="10"/>
    <n v="225"/>
    <n v="7872.75"/>
    <s v="Normal Quality"/>
    <d v="2024-03-24T05:43:51"/>
    <s v="Highland Park"/>
    <s v=" Michigan"/>
    <x v="0"/>
  </r>
  <r>
    <s v="Maison Alhambra"/>
    <s v="Eau de Parfum"/>
    <x v="335"/>
    <n v="4"/>
    <n v="18"/>
    <n v="355.14"/>
    <s v="Normal Quality"/>
    <d v="2024-03-24T05:44:31"/>
    <s v="Brooklyn"/>
    <s v=" New York"/>
    <x v="0"/>
  </r>
  <r>
    <s v="Giorgio Armani"/>
    <s v="Eau de Parfum"/>
    <x v="117"/>
    <n v="10"/>
    <n v="235"/>
    <n v="17152.649999999998"/>
    <s v="Normal Quality"/>
    <d v="2024-03-24T05:51:04"/>
    <s v="Farmington"/>
    <s v=" Michigan"/>
    <x v="0"/>
  </r>
  <r>
    <s v="Giorgio Armani"/>
    <s v="Eau de Toilette"/>
    <x v="34"/>
    <n v="5"/>
    <n v="6"/>
    <n v="179.94"/>
    <s v="Normal Quality"/>
    <d v="2024-03-24T05:51:42"/>
    <s v="Warren"/>
    <s v=" Michigan"/>
    <x v="0"/>
  </r>
  <r>
    <s v="Polo Ralph Lauren"/>
    <s v="Eau de Toilette"/>
    <x v="162"/>
    <n v="311"/>
    <n v="89"/>
    <n v="3025.11"/>
    <s v="Normal Quality"/>
    <d v="2024-03-24T05:53:37"/>
    <s v="Fenton"/>
    <s v=" Michigan"/>
    <x v="0"/>
  </r>
  <r>
    <s v="Paco Rabanne"/>
    <s v="Eau de Parfum"/>
    <x v="12"/>
    <n v="10"/>
    <n v="2"/>
    <n v="139.97999999999999"/>
    <s v="Normal Quality"/>
    <d v="2024-03-24T05:54:34"/>
    <s v="Warren"/>
    <s v=" Michigan"/>
    <x v="0"/>
  </r>
  <r>
    <s v="Dior"/>
    <s v="Eau de Toilette"/>
    <x v="35"/>
    <n v="5"/>
    <n v="16"/>
    <n v="1359.84"/>
    <s v="Normal Quality"/>
    <d v="2024-03-24T05:54:57"/>
    <s v="Warren"/>
    <s v=" Michigan"/>
    <x v="0"/>
  </r>
  <r>
    <s v="Polo Ralph Lauren"/>
    <s v="Eau de Toilette"/>
    <x v="311"/>
    <n v="3"/>
    <n v="257"/>
    <n v="9506.43"/>
    <s v="Normal Quality"/>
    <d v="2024-03-24T06:07:15"/>
    <s v="Laughlin"/>
    <s v=" Nevada"/>
    <x v="0"/>
  </r>
  <r>
    <s v="Ralph Lauren"/>
    <s v="Eau de Toilette"/>
    <x v="34"/>
    <n v="10"/>
    <n v="169"/>
    <n v="5068.3099999999995"/>
    <s v="Normal Quality"/>
    <d v="2024-03-24T06:07:43"/>
    <s v="Laughlin"/>
    <s v=" Nevada"/>
    <x v="0"/>
  </r>
  <r>
    <s v="Montblanc"/>
    <s v="Eau de Parfum"/>
    <x v="457"/>
    <n v="226"/>
    <n v="30"/>
    <n v="1071.3"/>
    <s v="Normal Quality"/>
    <d v="2024-03-24T06:08:29"/>
    <s v="Brooklyn"/>
    <s v=" New York"/>
    <x v="0"/>
  </r>
  <r>
    <s v="Ralph Lauren"/>
    <s v="Eau de Cologne"/>
    <x v="166"/>
    <n v="10"/>
    <n v="229"/>
    <n v="12363.710000000001"/>
    <s v="Normal Quality"/>
    <d v="2024-03-24T06:09:16"/>
    <s v="Dallas"/>
    <s v=" Texas"/>
    <x v="0"/>
  </r>
  <r>
    <s v="Hermes"/>
    <s v="Eau de Parfum"/>
    <x v="335"/>
    <n v="2"/>
    <n v="20"/>
    <n v="394.6"/>
    <s v="Normal Quality"/>
    <d v="2024-03-24T06:14:31"/>
    <s v="Brooklyn"/>
    <s v=" New York"/>
    <x v="0"/>
  </r>
  <r>
    <s v="Unknownves Saint Laurent"/>
    <s v="Eau de Parfum"/>
    <x v="458"/>
    <n v="8"/>
    <n v="2293"/>
    <n v="212240.08000000002"/>
    <s v="High Quality"/>
    <d v="2024-03-24T06:15:40"/>
    <s v="Hackensack"/>
    <s v="New York"/>
    <x v="0"/>
  </r>
  <r>
    <s v="Gucci"/>
    <s v="Eau de Toilette"/>
    <x v="223"/>
    <n v="0"/>
    <n v="100"/>
    <n v="7198"/>
    <s v="Normal Quality"/>
    <d v="2024-03-24T06:21:19"/>
    <s v="Dallas"/>
    <s v=" Texas"/>
    <x v="0"/>
  </r>
  <r>
    <s v="Lattafa"/>
    <s v="Eau de Parfum"/>
    <x v="459"/>
    <n v="8"/>
    <n v="989"/>
    <n v="21303.059999999998"/>
    <s v="Normal Quality"/>
    <d v="2024-03-24T06:21:20"/>
    <s v="Dallas"/>
    <s v=" Texas"/>
    <x v="0"/>
  </r>
  <r>
    <s v="Armaf"/>
    <s v="Eau de Parfum"/>
    <x v="7"/>
    <n v="56"/>
    <n v="276"/>
    <n v="11037.24"/>
    <s v="Normal Quality"/>
    <d v="2024-03-24T06:26:11"/>
    <s v="Phoenix"/>
    <s v=" Arizona"/>
    <x v="0"/>
  </r>
  <r>
    <s v="Abercrombie &amp; Fitch"/>
    <s v="Eau de Cologne"/>
    <x v="460"/>
    <n v="10"/>
    <n v="464"/>
    <n v="15752.800000000001"/>
    <s v="Normal Quality"/>
    <d v="2024-03-24T06:26:36"/>
    <s v="Phoenix"/>
    <s v=" Arizona"/>
    <x v="0"/>
  </r>
  <r>
    <s v="Armaf"/>
    <s v="Eau de Parfum"/>
    <x v="461"/>
    <n v="0"/>
    <n v="619"/>
    <n v="13995.59"/>
    <s v="Normal Quality"/>
    <d v="2024-03-24T06:34:10"/>
    <s v="Dallas"/>
    <s v=" Texas"/>
    <x v="0"/>
  </r>
  <r>
    <s v="Versace"/>
    <s v="Eau de Parfum"/>
    <x v="462"/>
    <n v="10"/>
    <n v="1787"/>
    <n v="52162.53"/>
    <s v="High Quality"/>
    <d v="2024-03-24T06:34:25"/>
    <s v="Miami"/>
    <s v=" Florida"/>
    <x v="0"/>
  </r>
  <r>
    <s v="BentleUnknown"/>
    <s v="Eau de Parfum"/>
    <x v="28"/>
    <n v="3"/>
    <n v="65"/>
    <n v="1884.35"/>
    <s v="Normal Quality"/>
    <d v="2024-03-24T06:39:48"/>
    <s v="Melissa"/>
    <s v=" Texas"/>
    <x v="0"/>
  </r>
  <r>
    <s v="Coach"/>
    <s v="Eau de Toilette"/>
    <x v="7"/>
    <n v="10"/>
    <n v="35"/>
    <n v="1399.65"/>
    <s v="Normal Quality"/>
    <d v="2024-03-24T06:43:00"/>
    <s v="Melissa"/>
    <s v=" Texas"/>
    <x v="0"/>
  </r>
  <r>
    <s v="Bvlgari"/>
    <s v="Eau de Toilette"/>
    <x v="17"/>
    <n v="6"/>
    <n v="3"/>
    <n v="149.97"/>
    <s v="Normal Quality"/>
    <d v="2024-03-24T06:45:32"/>
    <s v="Hk"/>
    <s v=" Hong Kong"/>
    <x v="3"/>
  </r>
  <r>
    <s v="BurberrUnknown"/>
    <s v="Eau de Toilette"/>
    <x v="116"/>
    <n v="2"/>
    <n v="59"/>
    <n v="1946.41"/>
    <s v="Normal Quality"/>
    <d v="2024-03-24T06:48:06"/>
    <s v="Dexter"/>
    <s v=" Michigan"/>
    <x v="0"/>
  </r>
  <r>
    <s v="Afnan"/>
    <s v="Eau de Parfum"/>
    <x v="463"/>
    <n v="0"/>
    <n v="1242"/>
    <n v="47059.38"/>
    <s v="High Quality"/>
    <d v="2024-03-24T06:55:05"/>
    <s v="Hackensack"/>
    <s v="New York"/>
    <x v="0"/>
  </r>
  <r>
    <s v="Dolce&amp;Gabbana"/>
    <s v="Eau de Parfum"/>
    <x v="457"/>
    <n v="10"/>
    <n v="36"/>
    <n v="1285.56"/>
    <s v="Normal Quality"/>
    <d v="2024-03-24T06:58:53"/>
    <s v="Brooklyn"/>
    <s v=" New York"/>
    <x v="0"/>
  </r>
  <r>
    <s v="Maison Alhambra"/>
    <s v="Eau de Parfum"/>
    <x v="335"/>
    <n v="452"/>
    <n v="55"/>
    <n v="1085.1500000000001"/>
    <s v="Normal Quality"/>
    <d v="2024-03-24T07:02:34"/>
    <s v="Brooklyn"/>
    <s v=" New York"/>
    <x v="0"/>
  </r>
  <r>
    <s v="Mont Blanc"/>
    <s v="Eau de Toilette"/>
    <x v="464"/>
    <n v="10"/>
    <n v="1424"/>
    <n v="31669.759999999998"/>
    <s v="High Quality"/>
    <d v="2024-03-24T07:07:02"/>
    <s v="Hackensack"/>
    <s v="New York"/>
    <x v="0"/>
  </r>
  <r>
    <s v="Paul Sebastian"/>
    <s v="Eau de Cologne "/>
    <x v="465"/>
    <n v="7"/>
    <n v="4934"/>
    <n v="128777.40000000001"/>
    <s v="High Quality"/>
    <d v="2024-03-24T07:07:02"/>
    <s v="Hackensack"/>
    <s v="New York"/>
    <x v="0"/>
  </r>
  <r>
    <s v="JuicUnknown Couture"/>
    <s v="Eau de Toilette"/>
    <x v="466"/>
    <n v="10"/>
    <n v="541"/>
    <n v="12226.6"/>
    <s v="Normal Quality"/>
    <d v="2024-03-24T07:10:03"/>
    <s v="Hackensack"/>
    <s v="New York"/>
    <x v="0"/>
  </r>
  <r>
    <s v="Unknownves Saint Laurent"/>
    <s v="Eau de Parfum"/>
    <x v="444"/>
    <n v="322"/>
    <n v="35"/>
    <n v="2134.65"/>
    <s v="Normal Quality"/>
    <d v="2024-03-24T07:11:06"/>
    <s v="Las Vegas"/>
    <s v=" Nevada"/>
    <x v="0"/>
  </r>
  <r>
    <s v="Jean Paul Gaultier"/>
    <s v="Eau de Toilette"/>
    <x v="183"/>
    <n v="5"/>
    <n v="30"/>
    <n v="1469.7"/>
    <s v="Normal Quality"/>
    <d v="2024-03-24T07:13:17"/>
    <s v="Detroit"/>
    <s v=" Michigan"/>
    <x v="0"/>
  </r>
  <r>
    <s v="Gucci"/>
    <s v="Eau de Parfum"/>
    <x v="17"/>
    <n v="10"/>
    <n v="78"/>
    <n v="3899.2200000000003"/>
    <s v="Normal Quality"/>
    <d v="2024-03-24T07:13:24"/>
    <s v="Detroit"/>
    <s v=" Michigan"/>
    <x v="0"/>
  </r>
  <r>
    <s v="Paco Rabanne"/>
    <s v="Eau de Toilette"/>
    <x v="7"/>
    <n v="5"/>
    <n v="5"/>
    <n v="199.95000000000002"/>
    <s v="Normal Quality"/>
    <d v="2024-03-24T07:13:32"/>
    <s v="Detroit"/>
    <s v=" Michigan"/>
    <x v="0"/>
  </r>
  <r>
    <s v="Armaf"/>
    <s v="Eau de Parfum"/>
    <x v="467"/>
    <n v="3"/>
    <n v="179"/>
    <n v="4886.7"/>
    <s v="Normal Quality"/>
    <d v="2024-03-24T07:13:43"/>
    <s v="Hackensack"/>
    <s v="New York"/>
    <x v="0"/>
  </r>
  <r>
    <s v="Dolce&amp;Gabbana"/>
    <s v="Eau de Toilette"/>
    <x v="34"/>
    <n v="3"/>
    <n v="10"/>
    <n v="299.89999999999998"/>
    <s v="Normal Quality"/>
    <d v="2024-03-24T07:13:43"/>
    <s v="Detroit"/>
    <s v=" Michigan"/>
    <x v="0"/>
  </r>
  <r>
    <s v="Dolce &amp; Gabbana"/>
    <s v="Eau de Parfum"/>
    <x v="468"/>
    <n v="3"/>
    <n v="370"/>
    <n v="25537.399999999998"/>
    <s v="Normal Quality"/>
    <d v="2024-03-24T07:14:08"/>
    <s v="Edison"/>
    <s v="New York"/>
    <x v="0"/>
  </r>
  <r>
    <s v="Liz Claiborne"/>
    <s v="Eau de Cologne"/>
    <x v="101"/>
    <n v="0"/>
    <n v="150"/>
    <n v="2697"/>
    <s v="Normal Quality"/>
    <d v="2024-03-24T07:15:03"/>
    <s v="Edison"/>
    <s v="New York"/>
    <x v="0"/>
  </r>
  <r>
    <s v="Elizabeth TaUnknownlor"/>
    <s v="Eau de Cologne"/>
    <x v="469"/>
    <n v="0"/>
    <n v="4"/>
    <n v="68.680000000000007"/>
    <s v="Normal Quality"/>
    <d v="2024-03-24T07:15:49"/>
    <s v="Ontario"/>
    <s v=" California"/>
    <x v="0"/>
  </r>
  <r>
    <s v="Montblanc"/>
    <s v="Eau de Parfum"/>
    <x v="182"/>
    <n v="0"/>
    <n v="349"/>
    <n v="10920.21"/>
    <s v="Normal Quality"/>
    <d v="2024-03-24T07:16:10"/>
    <s v="Dallas"/>
    <s v=" Texas"/>
    <x v="0"/>
  </r>
  <r>
    <s v="Giorgio Armani"/>
    <s v="Eau de Parfum"/>
    <x v="292"/>
    <n v="8"/>
    <n v="34"/>
    <n v="4079.66"/>
    <s v="Normal Quality"/>
    <d v="2024-03-24T07:16:53"/>
    <s v="New York"/>
    <s v="USA"/>
    <x v="2"/>
  </r>
  <r>
    <s v="Liz Claiborne"/>
    <s v="Eau de Cologne"/>
    <x v="470"/>
    <n v="3"/>
    <n v="1370"/>
    <n v="23687.3"/>
    <s v="High Quality"/>
    <d v="2024-03-24T07:21:08"/>
    <s v="Dallas"/>
    <s v=" Texas"/>
    <x v="0"/>
  </r>
  <r>
    <s v="Salvatore Ferragamo"/>
    <s v="Eau de Toilette"/>
    <x v="471"/>
    <n v="10"/>
    <n v="785"/>
    <n v="16485"/>
    <s v="Normal Quality"/>
    <d v="2024-03-24T07:21:08"/>
    <s v="Dallas"/>
    <s v=" Texas"/>
    <x v="0"/>
  </r>
  <r>
    <s v="Coach"/>
    <s v="Eau de Toilette"/>
    <x v="22"/>
    <n v="9"/>
    <n v="248"/>
    <n v="10413.52"/>
    <s v="Normal Quality"/>
    <d v="2024-03-24T07:21:29"/>
    <s v="Dallas"/>
    <s v=" Texas"/>
    <x v="0"/>
  </r>
  <r>
    <s v="John Varvatos"/>
    <s v="Eau de Toilette"/>
    <x v="472"/>
    <n v="3"/>
    <n v="121"/>
    <n v="3533.2"/>
    <s v="Normal Quality"/>
    <d v="2024-03-24T07:22:11"/>
    <s v="Dallas"/>
    <s v=" Texas"/>
    <x v="0"/>
  </r>
  <r>
    <s v="Unknownves Saint Laurent"/>
    <s v="Eau de Toilette"/>
    <x v="473"/>
    <n v="8"/>
    <n v="720"/>
    <n v="50875.199999999997"/>
    <s v="Normal Quality"/>
    <d v="2024-03-24T07:28:09"/>
    <s v="Dallas"/>
    <s v=" Texas"/>
    <x v="0"/>
  </r>
  <r>
    <s v="Armaf"/>
    <s v="Eau de Parfum"/>
    <x v="474"/>
    <n v="5"/>
    <n v="4460"/>
    <n v="155386.40000000002"/>
    <s v="High Quality"/>
    <d v="2024-03-24T07:32:37"/>
    <s v="Hackensack"/>
    <s v="New York"/>
    <x v="0"/>
  </r>
  <r>
    <s v="Paco Rabanne"/>
    <s v="Eau de Toilette"/>
    <x v="475"/>
    <n v="10"/>
    <n v="849"/>
    <n v="24544.59"/>
    <s v="Normal Quality"/>
    <d v="2024-03-24T07:33:32"/>
    <s v="Dallas"/>
    <s v=" Texas"/>
    <x v="0"/>
  </r>
  <r>
    <s v="Calvin Klein"/>
    <s v="Eau de Toilette"/>
    <x v="476"/>
    <n v="10"/>
    <n v="287"/>
    <n v="9060.59"/>
    <s v="Normal Quality"/>
    <d v="2024-03-24T07:35:03"/>
    <s v="Hackensack"/>
    <s v="New York"/>
    <x v="0"/>
  </r>
  <r>
    <s v="CotUnknown Inc."/>
    <s v="Unknown"/>
    <x v="20"/>
    <n v="10"/>
    <n v="72"/>
    <n v="663.12000000000012"/>
    <s v="Normal Quality"/>
    <d v="2024-03-24T07:35:23"/>
    <s v="San Diego"/>
    <s v=" California"/>
    <x v="0"/>
  </r>
  <r>
    <s v="Unknownves Saint Laurent"/>
    <s v="Eau de Toilette"/>
    <x v="477"/>
    <n v="0"/>
    <n v="4802"/>
    <n v="339261.30000000005"/>
    <s v="High Quality"/>
    <d v="2024-03-24T07:41:02"/>
    <s v="Hackensack"/>
    <s v="New York"/>
    <x v="0"/>
  </r>
  <r>
    <s v="Azzaro"/>
    <s v="Eau de Toilette"/>
    <x v="478"/>
    <n v="0"/>
    <n v="1337"/>
    <n v="34762"/>
    <s v="High Quality"/>
    <d v="2024-03-24T07:41:09"/>
    <s v="Dallas"/>
    <s v=" Texas"/>
    <x v="0"/>
  </r>
  <r>
    <s v="Paco Rabanne"/>
    <s v="Eau de Toilette"/>
    <x v="479"/>
    <n v="0"/>
    <n v="33"/>
    <n v="3596.34"/>
    <s v="Normal Quality"/>
    <d v="2024-03-24T07:43:03"/>
    <s v="Hackensack"/>
    <s v="New York"/>
    <x v="0"/>
  </r>
  <r>
    <s v="Eau de Parfums De MarlUnknown"/>
    <s v="Eau de Parfum"/>
    <x v="3"/>
    <n v="10"/>
    <n v="19"/>
    <n v="664.81000000000006"/>
    <s v="Normal Quality"/>
    <d v="2024-03-24T07:43:15"/>
    <s v="Brooklyn"/>
    <s v=" New York"/>
    <x v="0"/>
  </r>
  <r>
    <s v="Unbranded"/>
    <s v="Eau de Parfum"/>
    <x v="105"/>
    <n v="3"/>
    <n v="11"/>
    <n v="143"/>
    <s v="Normal Quality"/>
    <d v="2024-03-24T07:51:28"/>
    <s v="New York"/>
    <s v=" New York"/>
    <x v="0"/>
  </r>
  <r>
    <s v="Ralph Lauren"/>
    <s v="Eau de Toilette"/>
    <x v="3"/>
    <n v="4"/>
    <n v="615"/>
    <n v="21518.850000000002"/>
    <s v="Normal Quality"/>
    <d v="2024-03-24T07:53:23"/>
    <s v="Ecorse"/>
    <s v=" Michigan"/>
    <x v="0"/>
  </r>
  <r>
    <s v="Giorgio Armani"/>
    <s v="Eau de Toilette"/>
    <x v="34"/>
    <n v="10"/>
    <n v="179"/>
    <n v="5368.21"/>
    <s v="Normal Quality"/>
    <d v="2024-03-24T07:53:38"/>
    <s v="Ecorse"/>
    <s v=" Michigan"/>
    <x v="0"/>
  </r>
  <r>
    <s v="BurberrUnknown"/>
    <s v="Eau de Toilette"/>
    <x v="480"/>
    <n v="10"/>
    <n v="12583"/>
    <n v="355469.75"/>
    <s v="High Quality"/>
    <d v="2024-03-24T07:53:46"/>
    <s v="Hackensack"/>
    <s v="New York"/>
    <x v="0"/>
  </r>
  <r>
    <s v="Unknown"/>
    <s v="Eau de Parfum"/>
    <x v="481"/>
    <n v="0"/>
    <n v="3110"/>
    <n v="171547.59999999998"/>
    <s v="High Quality"/>
    <d v="2024-03-24T07:53:50"/>
    <s v="Hackensack"/>
    <s v="New York"/>
    <x v="0"/>
  </r>
  <r>
    <s v="Lalique"/>
    <s v="Eau de Toilette"/>
    <x v="482"/>
    <n v="0"/>
    <n v="1866"/>
    <n v="49486.32"/>
    <s v="High Quality"/>
    <d v="2024-03-24T07:55:09"/>
    <s v="Dallas"/>
    <s v=" Texas"/>
    <x v="0"/>
  </r>
  <r>
    <s v="Roja"/>
    <s v="Eau de Parfum"/>
    <x v="483"/>
    <n v="0"/>
    <n v="18"/>
    <n v="3653.1"/>
    <s v="Normal Quality"/>
    <d v="2024-03-24T07:55:27"/>
    <s v="Edison"/>
    <s v="New York"/>
    <x v="0"/>
  </r>
  <r>
    <s v="Maison Alhambra"/>
    <s v="Eau de Parfum"/>
    <x v="34"/>
    <n v="5"/>
    <n v="42"/>
    <n v="1259.58"/>
    <s v="Normal Quality"/>
    <d v="2024-03-24T07:55:47"/>
    <s v="Miami"/>
    <s v=" Florida"/>
    <x v="0"/>
  </r>
  <r>
    <s v="Carolina Herrera"/>
    <s v="Eau de Parfum"/>
    <x v="484"/>
    <n v="52"/>
    <n v="7"/>
    <n v="159.53"/>
    <s v="Normal Quality"/>
    <d v="2024-03-24T07:55:54"/>
    <s v="Edison"/>
    <s v="New York"/>
    <x v="0"/>
  </r>
  <r>
    <s v="Eau de Parfums De MarlUnknown"/>
    <s v="Eau de Parfum"/>
    <x v="485"/>
    <n v="0"/>
    <n v="593"/>
    <n v="92300.45"/>
    <s v="Normal Quality"/>
    <d v="2024-03-24T07:56:19"/>
    <s v="Edison"/>
    <s v="New York"/>
    <x v="0"/>
  </r>
  <r>
    <s v="Lattafa"/>
    <s v="Eau de Parfum"/>
    <x v="486"/>
    <n v="2"/>
    <n v="156"/>
    <n v="2637.96"/>
    <s v="Normal Quality"/>
    <d v="2024-03-24T07:56:25"/>
    <s v="Brooklyn"/>
    <s v=" New York"/>
    <x v="0"/>
  </r>
  <r>
    <s v="Polo Ralph Lauren"/>
    <s v="Eau de Toilette"/>
    <x v="487"/>
    <n v="10"/>
    <n v="5023"/>
    <n v="165608.31"/>
    <s v="High Quality"/>
    <d v="2024-03-24T07:57:49"/>
    <s v="Dallas"/>
    <s v=" Texas"/>
    <x v="0"/>
  </r>
  <r>
    <s v="Azzaro"/>
    <s v="Eau de Toilette"/>
    <x v="488"/>
    <n v="56"/>
    <n v="30655"/>
    <n v="1420246.15"/>
    <s v="High Quality"/>
    <d v="2024-03-24T07:58:01"/>
    <s v="Hackensack"/>
    <s v="New York"/>
    <x v="0"/>
  </r>
  <r>
    <s v="Dolce &amp; Gabbana"/>
    <s v="Eau de Toilette"/>
    <x v="489"/>
    <n v="9"/>
    <n v="182"/>
    <n v="9114.56"/>
    <s v="Normal Quality"/>
    <d v="2024-03-24T07:58:17"/>
    <s v="Edison"/>
    <s v="New York"/>
    <x v="0"/>
  </r>
  <r>
    <s v="English LaundrUnknown"/>
    <s v="Eau de Parfum"/>
    <x v="490"/>
    <n v="37"/>
    <n v="169"/>
    <n v="6197.2300000000005"/>
    <s v="Normal Quality"/>
    <d v="2024-03-24T07:58:46"/>
    <s v="Edison"/>
    <s v="New York"/>
    <x v="0"/>
  </r>
  <r>
    <s v="PerrUnknown Ellis"/>
    <s v="Eau de Toilette"/>
    <x v="491"/>
    <n v="0"/>
    <n v="232"/>
    <n v="9447.0399999999991"/>
    <s v="Normal Quality"/>
    <d v="2024-03-24T07:58:54"/>
    <s v="Edison"/>
    <s v="New York"/>
    <x v="0"/>
  </r>
  <r>
    <s v="Gucci"/>
    <s v="Eau de Toilette"/>
    <x v="492"/>
    <n v="0"/>
    <n v="137"/>
    <n v="9357.1"/>
    <s v="Normal Quality"/>
    <d v="2024-03-24T07:59:03"/>
    <s v="Hackensack"/>
    <s v="New York"/>
    <x v="0"/>
  </r>
  <r>
    <s v="Gianni Versace"/>
    <s v="Eau de Toilette"/>
    <x v="493"/>
    <n v="3"/>
    <n v="1925"/>
    <n v="48952.75"/>
    <s v="High Quality"/>
    <d v="2024-03-24T08:02:07"/>
    <s v="Dallas"/>
    <s v=" Texas"/>
    <x v="0"/>
  </r>
  <r>
    <s v="Dolce&amp;Gabbana"/>
    <s v="Eau de Parfum"/>
    <x v="494"/>
    <n v="272"/>
    <n v="37"/>
    <n v="2440.89"/>
    <s v="Normal Quality"/>
    <d v="2024-03-24T08:08:36"/>
    <s v="Katy"/>
    <s v=" Texas"/>
    <x v="0"/>
  </r>
  <r>
    <s v="GivenchUnknown"/>
    <s v="Eau de Toilette"/>
    <x v="495"/>
    <n v="8"/>
    <n v="636"/>
    <n v="32079.84"/>
    <s v="Normal Quality"/>
    <d v="2024-03-24T08:09:07"/>
    <s v="Dallas"/>
    <s v=" Texas"/>
    <x v="0"/>
  </r>
  <r>
    <s v="Ralph Lauren"/>
    <s v="Eau de Toilette"/>
    <x v="496"/>
    <n v="4"/>
    <n v="972"/>
    <n v="22686.48"/>
    <s v="Normal Quality"/>
    <d v="2024-03-24T08:09:10"/>
    <s v="Dallas"/>
    <s v=" Texas"/>
    <x v="0"/>
  </r>
  <r>
    <s v="Giorgio Armani"/>
    <s v="Eau de Toilette"/>
    <x v="34"/>
    <n v="199"/>
    <n v="588"/>
    <n v="17634.12"/>
    <s v="Normal Quality"/>
    <d v="2024-03-24T08:09:29"/>
    <s v="Detroit"/>
    <s v=" Michigan"/>
    <x v="0"/>
  </r>
  <r>
    <s v="Dolce&amp;Gabbana"/>
    <s v="Eau de Toilette"/>
    <x v="162"/>
    <n v="10"/>
    <n v="573"/>
    <n v="19476.27"/>
    <s v="Normal Quality"/>
    <d v="2024-03-24T08:09:37"/>
    <s v="Detroit"/>
    <s v=" Michigan"/>
    <x v="0"/>
  </r>
  <r>
    <s v="Abercrombie &amp; Fitch"/>
    <s v="Eau de Cologne"/>
    <x v="184"/>
    <n v="4"/>
    <n v="919"/>
    <n v="35831.810000000005"/>
    <s v="Normal Quality"/>
    <d v="2024-03-24T08:09:49"/>
    <s v="Detroit"/>
    <s v=" Michigan"/>
    <x v="0"/>
  </r>
  <r>
    <s v="Guess"/>
    <s v="Eau de Toilette"/>
    <x v="497"/>
    <n v="0"/>
    <n v="1613"/>
    <n v="32711.640000000003"/>
    <s v="High Quality"/>
    <d v="2024-03-24T08:14:07"/>
    <s v="Dallas"/>
    <s v=" Texas"/>
    <x v="0"/>
  </r>
  <r>
    <s v="Grandeur"/>
    <s v="Eau de Parfum"/>
    <x v="316"/>
    <n v="2"/>
    <n v="44"/>
    <n v="1671.5600000000002"/>
    <s v="Normal Quality"/>
    <d v="2024-03-24T08:14:43"/>
    <s v="Miami"/>
    <s v=" Florida"/>
    <x v="0"/>
  </r>
  <r>
    <s v="Ralph Lauren"/>
    <s v="Eau de Parfum"/>
    <x v="498"/>
    <n v="0"/>
    <n v="1683"/>
    <n v="89148.51"/>
    <s v="High Quality"/>
    <d v="2024-03-24T08:14:55"/>
    <s v="Hackensack"/>
    <s v="New York"/>
    <x v="0"/>
  </r>
  <r>
    <s v="Kenneth Cole"/>
    <s v="Eau de Toilette"/>
    <x v="499"/>
    <n v="10"/>
    <n v="9265"/>
    <n v="223657.1"/>
    <s v="High Quality"/>
    <d v="2024-03-24T08:16:12"/>
    <s v="Hackensack"/>
    <s v="New York"/>
    <x v="0"/>
  </r>
  <r>
    <s v="Creed"/>
    <s v="Eau de Parfum"/>
    <x v="500"/>
    <n v="0"/>
    <n v="327"/>
    <n v="58915.59"/>
    <s v="Normal Quality"/>
    <d v="2024-03-24T08:16:13"/>
    <s v="Hackensack"/>
    <s v="New York"/>
    <x v="0"/>
  </r>
  <r>
    <s v="Cartier"/>
    <s v="Eau de Toilette"/>
    <x v="501"/>
    <n v="7"/>
    <n v="48"/>
    <n v="2862.2400000000002"/>
    <s v="Normal Quality"/>
    <d v="2024-03-24T08:20:12"/>
    <s v="Dallas"/>
    <s v=" Texas"/>
    <x v="0"/>
  </r>
  <r>
    <s v="Kenzo"/>
    <s v="Eau de Toilette"/>
    <x v="124"/>
    <n v="3"/>
    <n v="165"/>
    <n v="7918.35"/>
    <s v="Normal Quality"/>
    <d v="2024-03-24T08:20:39"/>
    <s v="Katy"/>
    <s v=" Texas"/>
    <x v="0"/>
  </r>
  <r>
    <s v="IsseUnknown MiUnknownake"/>
    <s v="Eau de Toilette"/>
    <x v="502"/>
    <n v="6"/>
    <n v="2465"/>
    <n v="135377.80000000002"/>
    <s v="High Quality"/>
    <d v="2024-03-24T08:21:08"/>
    <s v="Dallas"/>
    <s v=" Texas"/>
    <x v="0"/>
  </r>
  <r>
    <s v="Versace"/>
    <s v="Eau de Toilette"/>
    <x v="7"/>
    <n v="10"/>
    <n v="4"/>
    <n v="159.96"/>
    <s v="Normal Quality"/>
    <d v="2024-03-24T08:24:47"/>
    <s v="Egg Harbor Township"/>
    <s v="New York"/>
    <x v="0"/>
  </r>
  <r>
    <s v="Giorgio Armani"/>
    <s v="Eau de Toilette"/>
    <x v="34"/>
    <n v="10"/>
    <n v="141"/>
    <n v="4228.59"/>
    <s v="Normal Quality"/>
    <d v="2024-03-24T08:25:48"/>
    <s v="Inkster"/>
    <s v=" Michigan"/>
    <x v="0"/>
  </r>
  <r>
    <s v="IsseUnknown MiUnknownake"/>
    <s v="Eau de Toilette"/>
    <x v="503"/>
    <n v="6"/>
    <n v="2206"/>
    <n v="121131.45999999999"/>
    <s v="High Quality"/>
    <d v="2024-03-24T08:29:02"/>
    <s v="Hackensack"/>
    <s v="New York"/>
    <x v="0"/>
  </r>
  <r>
    <s v="Avon"/>
    <s v="Eau de Parfum"/>
    <x v="504"/>
    <n v="10"/>
    <n v="66"/>
    <n v="920.04"/>
    <s v="Normal Quality"/>
    <d v="2024-03-24T08:30:22"/>
    <s v="Orlando"/>
    <s v=" United States"/>
    <x v="0"/>
  </r>
  <r>
    <s v="Azzaro"/>
    <s v="Eau de Parfum"/>
    <x v="505"/>
    <n v="258"/>
    <n v="920"/>
    <n v="82772.399999999994"/>
    <s v="Normal Quality"/>
    <d v="2024-03-24T08:32:16"/>
    <s v="Katy"/>
    <s v=" Texas"/>
    <x v="0"/>
  </r>
  <r>
    <s v="Prada"/>
    <s v="Eau de Parfum"/>
    <x v="506"/>
    <n v="10"/>
    <n v="19"/>
    <n v="1718.55"/>
    <s v="Normal Quality"/>
    <d v="2024-03-24T08:32:51"/>
    <s v="Brooklyn"/>
    <s v=" New York"/>
    <x v="0"/>
  </r>
  <r>
    <s v="J. Del Pozo"/>
    <s v="Eau de Toilette"/>
    <x v="507"/>
    <n v="10"/>
    <n v="542"/>
    <n v="15235.619999999999"/>
    <s v="Normal Quality"/>
    <d v="2024-03-24T08:33:10"/>
    <s v="Dallas"/>
    <s v=" Texas"/>
    <x v="0"/>
  </r>
  <r>
    <s v="Creed"/>
    <s v="Eau de Parfum"/>
    <x v="508"/>
    <n v="3"/>
    <n v="456"/>
    <n v="118145.04"/>
    <s v="Normal Quality"/>
    <d v="2024-03-24T08:34:05"/>
    <s v="Edison"/>
    <s v="New York"/>
    <x v="0"/>
  </r>
  <r>
    <s v="Ralph Lauren"/>
    <s v="Eau de Toilette"/>
    <x v="79"/>
    <n v="7"/>
    <n v="44"/>
    <n v="1407.56"/>
    <s v="Normal Quality"/>
    <d v="2024-03-24T08:35:47"/>
    <s v="Dearborn"/>
    <s v=" Michigan"/>
    <x v="0"/>
  </r>
  <r>
    <s v="C.K"/>
    <s v="Eau de Toilette"/>
    <x v="509"/>
    <n v="10"/>
    <n v="12739"/>
    <n v="366246.25"/>
    <s v="High Quality"/>
    <d v="2024-03-24T08:44:02"/>
    <s v="Hackensack"/>
    <s v="New York"/>
    <x v="0"/>
  </r>
  <r>
    <s v="Prada"/>
    <s v="Eau de Toilette"/>
    <x v="510"/>
    <n v="4"/>
    <n v="7"/>
    <n v="465.84999999999997"/>
    <s v="Normal Quality"/>
    <d v="2024-03-24T08:44:38"/>
    <s v="Brooklyn"/>
    <s v=" New York"/>
    <x v="0"/>
  </r>
  <r>
    <s v="Armaf"/>
    <s v="Eau de Parfum"/>
    <x v="284"/>
    <n v="2"/>
    <n v="427"/>
    <n v="11742.5"/>
    <s v="Normal Quality"/>
    <d v="2024-03-24T08:44:53"/>
    <s v="Edison"/>
    <s v="New York"/>
    <x v="0"/>
  </r>
  <r>
    <s v="Valentino"/>
    <s v="Eau de Toilette"/>
    <x v="505"/>
    <n v="71"/>
    <n v="295"/>
    <n v="26541.15"/>
    <s v="Normal Quality"/>
    <d v="2024-03-24T08:44:55"/>
    <s v="Katy"/>
    <s v=" Texas"/>
    <x v="0"/>
  </r>
  <r>
    <s v="Jean Paul Gaultier"/>
    <s v="Eau de Parfum"/>
    <x v="87"/>
    <n v="9"/>
    <n v="1024"/>
    <n v="97269.759999999995"/>
    <s v="High Quality"/>
    <d v="2024-03-24T08:44:57"/>
    <s v="Katy"/>
    <s v=" Texas"/>
    <x v="0"/>
  </r>
  <r>
    <s v="Giorgio Armani"/>
    <s v="Eau de Toilette"/>
    <x v="34"/>
    <n v="127"/>
    <n v="410"/>
    <n v="12295.9"/>
    <s v="Normal Quality"/>
    <d v="2024-03-24T08:45:15"/>
    <s v="Melvindale"/>
    <s v=" Michigan"/>
    <x v="0"/>
  </r>
  <r>
    <s v="Dolce&amp;Gabbana"/>
    <s v="Eau de Parfum"/>
    <x v="511"/>
    <n v="10"/>
    <n v="64"/>
    <n v="3529.6"/>
    <s v="Normal Quality"/>
    <d v="2024-03-24T08:47:04"/>
    <s v="Hackensack"/>
    <s v="New York"/>
    <x v="0"/>
  </r>
  <r>
    <s v="Prada"/>
    <s v="Eau de Parfum"/>
    <x v="429"/>
    <n v="0"/>
    <n v="587"/>
    <n v="53088.28"/>
    <s v="Normal Quality"/>
    <d v="2024-03-24T08:49:02"/>
    <s v="Hackensack"/>
    <s v="New York"/>
    <x v="0"/>
  </r>
  <r>
    <s v="Sterling"/>
    <s v="Eau de Parfum"/>
    <x v="512"/>
    <n v="10"/>
    <n v="4"/>
    <n v="213.68"/>
    <s v="Normal Quality"/>
    <d v="2024-03-24T08:49:52"/>
    <s v="Edison"/>
    <s v="New York"/>
    <x v="0"/>
  </r>
  <r>
    <s v="Dolce&amp;Gabbana"/>
    <s v="Eau de Parfum"/>
    <x v="513"/>
    <n v="0"/>
    <n v="125"/>
    <n v="2361.25"/>
    <s v="Normal Quality"/>
    <d v="2024-03-24T08:50:11"/>
    <s v="New York"/>
    <s v=" New York"/>
    <x v="0"/>
  </r>
  <r>
    <s v="Creed"/>
    <s v="Eau de Parfum"/>
    <x v="514"/>
    <n v="72"/>
    <n v="53"/>
    <n v="11283.17"/>
    <s v="Normal Quality"/>
    <d v="2024-03-24T08:50:32"/>
    <s v="Edison"/>
    <s v="New York"/>
    <x v="0"/>
  </r>
  <r>
    <s v="Viktor &amp; Rolf"/>
    <s v="Eau de Parfum"/>
    <x v="515"/>
    <n v="33"/>
    <n v="116"/>
    <n v="8690.7199999999993"/>
    <s v="Normal Quality"/>
    <d v="2024-03-24T08:50:35"/>
    <s v="Edison"/>
    <s v="New York"/>
    <x v="0"/>
  </r>
  <r>
    <s v="Lalique"/>
    <s v="Eau de Parfum"/>
    <x v="516"/>
    <n v="3"/>
    <n v="202"/>
    <n v="11606.92"/>
    <s v="Normal Quality"/>
    <d v="2024-03-24T08:50:39"/>
    <s v="Edison"/>
    <s v="New York"/>
    <x v="0"/>
  </r>
  <r>
    <s v="Unbranded"/>
    <s v="Eau de Toilette"/>
    <x v="517"/>
    <n v="33"/>
    <n v="1146"/>
    <n v="15883.56"/>
    <s v="High Quality"/>
    <d v="2024-03-24T08:52:14"/>
    <s v="Cumming"/>
    <s v=" Georgia"/>
    <x v="0"/>
  </r>
  <r>
    <s v="Unbranded"/>
    <s v="Eau de Parfum"/>
    <x v="67"/>
    <n v="10"/>
    <n v="81"/>
    <n v="1295.19"/>
    <s v="Normal Quality"/>
    <d v="2024-03-24T08:53:14"/>
    <s v="Houston"/>
    <s v=" Texas"/>
    <x v="0"/>
  </r>
  <r>
    <s v="Viktor &amp; Rolf"/>
    <s v="Eau de Toilette"/>
    <x v="518"/>
    <n v="6"/>
    <n v="8"/>
    <n v="199.84"/>
    <s v="Normal Quality"/>
    <d v="2024-03-24T08:54:56"/>
    <s v="New York"/>
    <s v=" New York"/>
    <x v="0"/>
  </r>
  <r>
    <s v="Fragrance World"/>
    <s v="Eau de Parfum"/>
    <x v="150"/>
    <n v="10"/>
    <n v="8"/>
    <n v="263.12"/>
    <s v="Normal Quality"/>
    <d v="2024-03-24T08:56:44"/>
    <s v="Brooklyn"/>
    <s v=" New York"/>
    <x v="0"/>
  </r>
  <r>
    <s v="Ard Al Zaafaran"/>
    <s v="Eau de Parfum"/>
    <x v="403"/>
    <n v="2"/>
    <n v="29"/>
    <n v="517.65000000000009"/>
    <s v="Normal Quality"/>
    <d v="2024-03-24T08:56:45"/>
    <s v="Brooklyn"/>
    <s v=" New York"/>
    <x v="0"/>
  </r>
  <r>
    <s v="Ralph Lauren"/>
    <s v="Eau de Toilette"/>
    <x v="65"/>
    <n v="2"/>
    <n v="4520"/>
    <n v="162674.80000000002"/>
    <s v="High Quality"/>
    <d v="2024-03-24T08:57:22"/>
    <s v="Hackensack"/>
    <s v="New York"/>
    <x v="0"/>
  </r>
  <r>
    <s v="Dumont"/>
    <s v="Eau de Parfum"/>
    <x v="17"/>
    <n v="10"/>
    <n v="187"/>
    <n v="9348.130000000001"/>
    <s v="Normal Quality"/>
    <d v="2024-03-24T09:02:39"/>
    <s v="Brooklyn"/>
    <s v=" New York"/>
    <x v="0"/>
  </r>
  <r>
    <s v="PerrUnknown Ellis"/>
    <s v="Eau de Toilette"/>
    <x v="519"/>
    <n v="3"/>
    <n v="1831"/>
    <n v="40117.21"/>
    <s v="High Quality"/>
    <d v="2024-03-24T09:06:07"/>
    <s v="Dallas"/>
    <s v=" Texas"/>
    <x v="0"/>
  </r>
  <r>
    <s v="Unbranded"/>
    <s v="Eau de Parfum"/>
    <x v="315"/>
    <n v="4"/>
    <n v="17"/>
    <n v="270.13"/>
    <s v="Normal Quality"/>
    <d v="2024-03-24T09:08:14"/>
    <s v="Shanghai"/>
    <s v=" China"/>
    <x v="3"/>
  </r>
  <r>
    <s v="Unbranded"/>
    <s v="Eau de Parfum"/>
    <x v="315"/>
    <n v="0"/>
    <n v="8"/>
    <n v="127.12"/>
    <s v="Normal Quality"/>
    <d v="2024-03-24T09:08:17"/>
    <s v="Shanghai"/>
    <s v=" China"/>
    <x v="0"/>
  </r>
  <r>
    <s v="Lanvin"/>
    <s v="Eau de Toilette"/>
    <x v="171"/>
    <n v="0"/>
    <n v="1955"/>
    <n v="35170.449999999997"/>
    <s v="High Quality"/>
    <d v="2024-03-24T09:10:18"/>
    <s v="Dallas"/>
    <s v=" Texas"/>
    <x v="0"/>
  </r>
  <r>
    <s v="Unbranded"/>
    <s v="Eau de Parfum"/>
    <x v="67"/>
    <n v="9"/>
    <n v="594"/>
    <n v="9498.06"/>
    <s v="Normal Quality"/>
    <d v="2024-03-24T09:12:14"/>
    <s v="Houston"/>
    <s v=" Texas"/>
    <x v="0"/>
  </r>
  <r>
    <s v="Paco Rabanne"/>
    <s v="Eau de Toilette"/>
    <x v="205"/>
    <n v="96"/>
    <n v="2452"/>
    <n v="112767.48000000001"/>
    <s v="High Quality"/>
    <d v="2024-03-24T09:17:35"/>
    <s v="Hackensack"/>
    <s v="New York"/>
    <x v="0"/>
  </r>
  <r>
    <s v="BurberrUnknown"/>
    <s v="Eau de Parfum"/>
    <x v="520"/>
    <n v="4"/>
    <n v="16"/>
    <n v="1210.4000000000001"/>
    <s v="Normal Quality"/>
    <d v="2024-03-24T09:20:14"/>
    <s v="Hackensack"/>
    <s v="New York"/>
    <x v="0"/>
  </r>
  <r>
    <s v="Tom Ford"/>
    <s v="Eau de Parfum"/>
    <x v="521"/>
    <n v="10"/>
    <n v="64"/>
    <n v="8671.36"/>
    <s v="Normal Quality"/>
    <d v="2024-03-24T09:20:14"/>
    <s v="Hackensack"/>
    <s v="New York"/>
    <x v="0"/>
  </r>
  <r>
    <s v="Michel Germain"/>
    <s v="Eau de Toilette"/>
    <x v="522"/>
    <n v="3"/>
    <n v="258"/>
    <n v="10627.019999999999"/>
    <s v="Normal Quality"/>
    <d v="2024-03-24T09:22:09"/>
    <s v="Dallas"/>
    <s v=" Texas"/>
    <x v="0"/>
  </r>
  <r>
    <s v="Mont Blanc"/>
    <s v="Eau de Parfum"/>
    <x v="523"/>
    <n v="10"/>
    <n v="1234"/>
    <n v="45423.54"/>
    <s v="High Quality"/>
    <d v="2024-03-24T09:22:44"/>
    <s v="Dallas"/>
    <s v=" Texas"/>
    <x v="0"/>
  </r>
  <r>
    <s v="Rasasi"/>
    <s v="Eau de Parfum"/>
    <x v="166"/>
    <n v="3"/>
    <n v="140"/>
    <n v="7558.6"/>
    <s v="Normal Quality"/>
    <d v="2024-03-24T09:23:11"/>
    <s v="Melissa"/>
    <s v=" Texas"/>
    <x v="0"/>
  </r>
  <r>
    <s v="Dolce &amp; Gabbana"/>
    <s v="Eau de Parfum"/>
    <x v="524"/>
    <n v="2"/>
    <n v="3"/>
    <n v="227.85000000000002"/>
    <s v="Normal Quality"/>
    <d v="2024-03-24T09:26:23"/>
    <s v="Edison"/>
    <s v="New York"/>
    <x v="0"/>
  </r>
  <r>
    <s v="Carolina Herrera"/>
    <s v="Eau de Toilette"/>
    <x v="525"/>
    <n v="10"/>
    <n v="3691"/>
    <n v="219356.13"/>
    <s v="High Quality"/>
    <d v="2024-03-24T09:27:04"/>
    <s v="Hackensack"/>
    <s v="New York"/>
    <x v="0"/>
  </r>
  <r>
    <s v="Paul Sebastian"/>
    <s v="Eau de Cologne"/>
    <x v="526"/>
    <n v="10"/>
    <n v="597"/>
    <n v="10220.640000000001"/>
    <s v="Normal Quality"/>
    <d v="2024-03-24T09:32:11"/>
    <s v="Dallas"/>
    <s v=" Texas"/>
    <x v="0"/>
  </r>
  <r>
    <s v="Calvin Klein"/>
    <s v="Eau de Toilette"/>
    <x v="527"/>
    <n v="161"/>
    <n v="5582"/>
    <n v="226629.2"/>
    <s v="High Quality"/>
    <d v="2024-03-24T09:35:06"/>
    <s v="Dallas"/>
    <s v=" Texas"/>
    <x v="0"/>
  </r>
  <r>
    <s v="King"/>
    <s v="Eau de Parfum"/>
    <x v="528"/>
    <n v="0"/>
    <n v="430"/>
    <n v="32164"/>
    <s v="Normal Quality"/>
    <d v="2024-03-24T09:36:50"/>
    <s v="Dallas"/>
    <s v=" Texas"/>
    <x v="0"/>
  </r>
  <r>
    <s v="Hermes"/>
    <s v="Eau de Toilette"/>
    <x v="529"/>
    <n v="6"/>
    <n v="418"/>
    <n v="6261.64"/>
    <s v="Normal Quality"/>
    <d v="2024-03-24T09:36:53"/>
    <s v="Hackensack"/>
    <s v="New York"/>
    <x v="0"/>
  </r>
  <r>
    <s v="Versace"/>
    <s v="Eau de Toilette"/>
    <x v="530"/>
    <n v="10"/>
    <n v="19899"/>
    <n v="733875.12"/>
    <s v="High Quality"/>
    <d v="2024-03-24T09:36:54"/>
    <s v="Hackensack"/>
    <s v="New York"/>
    <x v="0"/>
  </r>
  <r>
    <s v="Eau de Cologne"/>
    <s v="Eau de Parfum"/>
    <x v="531"/>
    <n v="0"/>
    <n v="25"/>
    <n v="1722.25"/>
    <s v="Normal Quality"/>
    <d v="2024-03-24T09:37:13"/>
    <s v="New York"/>
    <s v=" New York"/>
    <x v="0"/>
  </r>
  <r>
    <s v="Liz Claiborne"/>
    <s v="Eau de Cologne"/>
    <x v="532"/>
    <n v="7"/>
    <n v="7816"/>
    <n v="130605.36"/>
    <s v="High Quality"/>
    <d v="2024-03-24T09:42:05"/>
    <s v="Dallas"/>
    <s v=" Texas"/>
    <x v="0"/>
  </r>
  <r>
    <s v="BurberrUnknown"/>
    <s v="Eau de Toilette"/>
    <x v="149"/>
    <n v="10"/>
    <n v="36"/>
    <n v="1114.2"/>
    <s v="Normal Quality"/>
    <d v="2024-03-24T09:46:46"/>
    <s v="Dearborn Heights"/>
    <s v=" Michigan"/>
    <x v="0"/>
  </r>
  <r>
    <s v="Ralph Lauren"/>
    <s v="Eau de Toilette"/>
    <x v="311"/>
    <n v="10"/>
    <n v="39"/>
    <n v="1442.6100000000001"/>
    <s v="Normal Quality"/>
    <d v="2024-03-24T09:46:54"/>
    <s v="Dearborn Heights"/>
    <s v=" Michigan"/>
    <x v="0"/>
  </r>
  <r>
    <s v="Rasasi"/>
    <s v="Eau de Parfum"/>
    <x v="533"/>
    <n v="756"/>
    <n v="258"/>
    <n v="11638.38"/>
    <s v="Normal Quality"/>
    <d v="2024-03-24T09:50:28"/>
    <s v="Brooklyn"/>
    <s v=" New York"/>
    <x v="0"/>
  </r>
  <r>
    <s v="Paco Rabanne"/>
    <s v="Eau de Toilette"/>
    <x v="17"/>
    <n v="10"/>
    <n v="165"/>
    <n v="8248.35"/>
    <s v="Normal Quality"/>
    <d v="2024-03-24T09:52:03"/>
    <s v="Flat Lick"/>
    <s v=" Kentuck"/>
    <x v="0"/>
  </r>
  <r>
    <s v="Afnan"/>
    <s v="Eau de Parfum"/>
    <x v="534"/>
    <n v="59"/>
    <n v="16"/>
    <n v="552"/>
    <s v="Normal Quality"/>
    <d v="2024-03-24T09:54:04"/>
    <s v="Dallas"/>
    <s v=" Texas"/>
    <x v="0"/>
  </r>
  <r>
    <s v="PerrUnknown Ellis"/>
    <s v="Eau de Toilette"/>
    <x v="535"/>
    <n v="2"/>
    <n v="2611"/>
    <n v="60079.11"/>
    <s v="High Quality"/>
    <d v="2024-03-24T09:56:02"/>
    <s v="Hackensack"/>
    <s v="New York"/>
    <x v="0"/>
  </r>
  <r>
    <s v="Unbranded"/>
    <s v="Eau de Parfum"/>
    <x v="8"/>
    <n v="10"/>
    <n v="358"/>
    <n v="5366.42"/>
    <s v="Normal Quality"/>
    <d v="2024-03-24T09:56:14"/>
    <s v="Houston"/>
    <s v=" Texas"/>
    <x v="0"/>
  </r>
  <r>
    <s v="GivenchUnknown"/>
    <s v="Eau de Toilette"/>
    <x v="152"/>
    <n v="10"/>
    <n v="601"/>
    <n v="35459"/>
    <s v="Normal Quality"/>
    <d v="2024-03-24T09:57:09"/>
    <s v="Katy"/>
    <s v=" Texas"/>
    <x v="0"/>
  </r>
  <r>
    <s v="Montblanc"/>
    <s v="Eau de Toilette"/>
    <x v="536"/>
    <n v="40"/>
    <n v="1424"/>
    <n v="36753.439999999995"/>
    <s v="High Quality"/>
    <d v="2024-03-24T09:58:09"/>
    <s v="Dallas"/>
    <s v=" Texas"/>
    <x v="0"/>
  </r>
  <r>
    <s v="Dolce&amp;Gabbana"/>
    <s v="Eau de Parfum"/>
    <x v="419"/>
    <n v="3"/>
    <n v="13"/>
    <n v="1494.87"/>
    <s v="Normal Quality"/>
    <d v="2024-03-24T10:00:08"/>
    <s v="Sanborn"/>
    <s v=" New York"/>
    <x v="0"/>
  </r>
  <r>
    <s v="As Picture Shown"/>
    <s v="Eau de Parfum"/>
    <x v="167"/>
    <n v="9"/>
    <n v="8"/>
    <n v="799.92"/>
    <s v="Normal Quality"/>
    <d v="2024-03-24T10:01:25"/>
    <s v="Hongkong"/>
    <s v=" Hong Kong"/>
    <x v="2"/>
  </r>
  <r>
    <s v="As Picture Show"/>
    <s v="Eau de Parfum"/>
    <x v="273"/>
    <n v="10"/>
    <n v="13"/>
    <n v="1624.87"/>
    <s v="Normal Quality"/>
    <d v="2024-03-24T10:01:25"/>
    <s v="Taiwan"/>
    <s v=" Taiwan"/>
    <x v="3"/>
  </r>
  <r>
    <s v="Michael Jordan"/>
    <s v="Eau de Cologne"/>
    <x v="537"/>
    <n v="10"/>
    <n v="488"/>
    <n v="10633.52"/>
    <s v="Normal Quality"/>
    <d v="2024-03-24T10:03:02"/>
    <s v="Hackensack"/>
    <s v="New York"/>
    <x v="0"/>
  </r>
  <r>
    <s v="Dior"/>
    <s v="Eau de Parfum"/>
    <x v="35"/>
    <n v="7"/>
    <n v="116"/>
    <n v="9858.84"/>
    <s v="Normal Quality"/>
    <d v="2024-03-24T10:03:04"/>
    <s v="Allen Park"/>
    <s v=" Michigan"/>
    <x v="0"/>
  </r>
  <r>
    <s v="Unknownves Saint Laurent"/>
    <s v="Eau de Toilette"/>
    <x v="538"/>
    <n v="10"/>
    <n v="145"/>
    <n v="21023.550000000003"/>
    <s v="Normal Quality"/>
    <d v="2024-03-24T10:07:16"/>
    <s v="Katy"/>
    <s v=" Texas"/>
    <x v="0"/>
  </r>
  <r>
    <s v="Unbranded"/>
    <s v="Eau de Parfum"/>
    <x v="539"/>
    <n v="10"/>
    <n v="103"/>
    <n v="1336.94"/>
    <s v="Normal Quality"/>
    <d v="2024-03-24T10:10:30"/>
    <s v="Perth Amboy"/>
    <s v="New York"/>
    <x v="0"/>
  </r>
  <r>
    <s v="Versace"/>
    <s v="Eau de Toilette"/>
    <x v="540"/>
    <n v="10"/>
    <n v="1819"/>
    <n v="120763.41"/>
    <s v="High Quality"/>
    <d v="2024-03-24T10:12:08"/>
    <s v="Dallas"/>
    <s v=" Texas"/>
    <x v="0"/>
  </r>
  <r>
    <s v="Armaf"/>
    <s v="Eau de Parfum"/>
    <x v="541"/>
    <n v="3"/>
    <n v="501"/>
    <n v="9724.41"/>
    <s v="Normal Quality"/>
    <d v="2024-03-24T10:13:10"/>
    <s v="Dallas"/>
    <s v=" Texas"/>
    <x v="0"/>
  </r>
  <r>
    <s v="Milestone Perfumes"/>
    <s v="Eau de Parfum"/>
    <x v="542"/>
    <n v="47"/>
    <n v="21"/>
    <n v="417.69"/>
    <s v="Normal Quality"/>
    <d v="2024-03-24T10:13:17"/>
    <s v="Miami"/>
    <s v=" Florida"/>
    <x v="0"/>
  </r>
  <r>
    <s v="Unbranded"/>
    <s v="Eau de Parfum"/>
    <x v="8"/>
    <n v="12"/>
    <n v="172"/>
    <n v="2578.2800000000002"/>
    <s v="Normal Quality"/>
    <d v="2024-03-24T10:16:08"/>
    <s v="Perth Amboy"/>
    <s v="New York"/>
    <x v="0"/>
  </r>
  <r>
    <s v="Jean Paul Gaultier"/>
    <s v="Eau de Toilette"/>
    <x v="140"/>
    <n v="0"/>
    <n v="248"/>
    <n v="12893.52"/>
    <s v="Normal Quality"/>
    <d v="2024-03-24T10:17:45"/>
    <s v="Detroit"/>
    <s v=" Michigan"/>
    <x v="0"/>
  </r>
  <r>
    <s v="Montblanc"/>
    <s v="Eau de Toilette"/>
    <x v="543"/>
    <n v="0"/>
    <n v="5098"/>
    <n v="268256.76"/>
    <s v="High Quality"/>
    <d v="2024-03-24T10:18:05"/>
    <s v="Hackensack"/>
    <s v="New York"/>
    <x v="0"/>
  </r>
  <r>
    <s v="Calvin Klein"/>
    <s v="Eau de Toilette"/>
    <x v="544"/>
    <n v="207"/>
    <n v="1536"/>
    <n v="39905.279999999999"/>
    <s v="High Quality"/>
    <d v="2024-03-24T10:18:05"/>
    <s v="Hackensack"/>
    <s v="New York"/>
    <x v="0"/>
  </r>
  <r>
    <s v="Eau de Cologne"/>
    <s v="Eau de Toilette"/>
    <x v="545"/>
    <n v="5"/>
    <n v="2247"/>
    <n v="87498.18"/>
    <s v="High Quality"/>
    <d v="2024-03-24T10:18:06"/>
    <s v="Dallas"/>
    <s v=" Texas"/>
    <x v="0"/>
  </r>
  <r>
    <s v="Dolce&amp;Gabbana"/>
    <s v="Eau de Toilette"/>
    <x v="546"/>
    <n v="0"/>
    <n v="4733"/>
    <n v="301444.76999999996"/>
    <s v="High Quality"/>
    <d v="2024-03-24T10:18:07"/>
    <s v="Hackensack"/>
    <s v="New York"/>
    <x v="0"/>
  </r>
  <r>
    <s v="Lomani"/>
    <s v="Eau de Toilette"/>
    <x v="547"/>
    <n v="9"/>
    <n v="1630"/>
    <n v="26715.7"/>
    <s v="High Quality"/>
    <d v="2024-03-24T10:18:08"/>
    <s v="Dallas"/>
    <s v=" Texas"/>
    <x v="0"/>
  </r>
  <r>
    <s v="GivenchUnknown"/>
    <s v="Eau de Toilette"/>
    <x v="548"/>
    <n v="2"/>
    <n v="627"/>
    <n v="21769.439999999999"/>
    <s v="Normal Quality"/>
    <d v="2024-03-24T10:20:09"/>
    <s v="Dallas"/>
    <s v=" Texas"/>
    <x v="0"/>
  </r>
  <r>
    <s v="Afnan"/>
    <s v="Eau de Parfum"/>
    <x v="549"/>
    <n v="5"/>
    <n v="147"/>
    <n v="5646.2699999999995"/>
    <s v="Normal Quality"/>
    <d v="2024-03-24T10:21:08"/>
    <s v="Edison"/>
    <s v="New York"/>
    <x v="0"/>
  </r>
  <r>
    <s v="Sterling"/>
    <s v="Eau de Parfum"/>
    <x v="550"/>
    <n v="10"/>
    <n v="129"/>
    <n v="5028.4199999999992"/>
    <s v="Normal Quality"/>
    <d v="2024-03-24T10:21:12"/>
    <s v="Edison"/>
    <s v="New York"/>
    <x v="0"/>
  </r>
  <r>
    <s v="IsseUnknown MiUnknownake"/>
    <s v="Eau de Toilette"/>
    <x v="244"/>
    <n v="5"/>
    <n v="88"/>
    <n v="2142.8000000000002"/>
    <s v="Normal Quality"/>
    <d v="2024-03-24T10:21:23"/>
    <s v="Edison"/>
    <s v="New York"/>
    <x v="0"/>
  </r>
  <r>
    <s v="Victor &amp; Rolf"/>
    <s v="Eau de Parfum"/>
    <x v="551"/>
    <n v="4"/>
    <n v="1"/>
    <n v="74.59"/>
    <s v="Normal Quality"/>
    <d v="2024-03-24T10:22:34"/>
    <s v="New York"/>
    <s v=" New York"/>
    <x v="0"/>
  </r>
  <r>
    <s v="Dolce&amp;Gabbana"/>
    <s v="Eau de Parfum"/>
    <x v="42"/>
    <n v="3"/>
    <n v="16"/>
    <n v="655.84"/>
    <s v="Normal Quality"/>
    <d v="2024-03-24T10:25:34"/>
    <s v="Detroit"/>
    <s v=" Michigan"/>
    <x v="0"/>
  </r>
  <r>
    <s v="Davidoff"/>
    <s v="Eau de Toilette"/>
    <x v="552"/>
    <n v="65"/>
    <n v="13549"/>
    <n v="518113.76"/>
    <s v="High Quality"/>
    <d v="2024-03-24T10:26:59"/>
    <s v="Hackensack"/>
    <s v="New York"/>
    <x v="0"/>
  </r>
  <r>
    <s v="Versace"/>
    <s v="Eau de Toilette"/>
    <x v="553"/>
    <n v="0"/>
    <n v="31718"/>
    <n v="1261424.8600000001"/>
    <s v="High Quality"/>
    <d v="2024-03-24T10:26:59"/>
    <s v="Hackensack"/>
    <s v="New York"/>
    <x v="0"/>
  </r>
  <r>
    <s v="Versace"/>
    <s v="Eau de Toilette"/>
    <x v="554"/>
    <n v="0"/>
    <n v="4569"/>
    <n v="93070.53"/>
    <s v="High Quality"/>
    <d v="2024-03-24T10:26:59"/>
    <s v="Hackensack"/>
    <s v="New York"/>
    <x v="0"/>
  </r>
  <r>
    <s v="Hugo Boss"/>
    <s v="Eau de Toilette"/>
    <x v="555"/>
    <n v="0"/>
    <n v="7506"/>
    <n v="381229.74"/>
    <s v="High Quality"/>
    <d v="2024-03-24T10:26:59"/>
    <s v="Hackensack"/>
    <s v="New York"/>
    <x v="0"/>
  </r>
  <r>
    <s v="Unknownves Saint Laurent"/>
    <s v="Eau de Toilette"/>
    <x v="407"/>
    <n v="10"/>
    <n v="545"/>
    <n v="32127.75"/>
    <s v="Normal Quality"/>
    <d v="2024-03-24T10:27:08"/>
    <s v="Dallas"/>
    <s v=" Texas"/>
    <x v="0"/>
  </r>
  <r>
    <s v="Mancera"/>
    <s v="Eau de Parfum"/>
    <x v="58"/>
    <n v="31"/>
    <n v="17"/>
    <n v="229.5"/>
    <s v="Normal Quality"/>
    <d v="2024-04-01T21:47:48"/>
    <s v="Albany"/>
    <s v=" New York"/>
    <x v="0"/>
  </r>
  <r>
    <s v="Hugo Boss"/>
    <s v="Eau de Toilette"/>
    <x v="57"/>
    <n v="310"/>
    <n v="75"/>
    <n v="1346.25"/>
    <s v="Normal Quality"/>
    <d v="2024-04-02T11:24:36"/>
    <s v="Des Moines"/>
    <s v=" Iowa"/>
    <x v="0"/>
  </r>
  <r>
    <s v="Dolce &amp; Gabbana"/>
    <s v="Eau de Parfum"/>
    <x v="119"/>
    <n v="10"/>
    <n v="702"/>
    <n v="7722"/>
    <s v="Normal Quality"/>
    <d v="2024-04-05T00:52:00"/>
    <s v="Albany"/>
    <s v=" New York"/>
    <x v="0"/>
  </r>
  <r>
    <s v="Dolce &amp; Gabbana"/>
    <s v="Eau de Parfum"/>
    <x v="556"/>
    <n v="24"/>
    <n v="115"/>
    <n v="862.5"/>
    <s v="Normal Quality"/>
    <d v="2024-04-05T00:53:07"/>
    <s v="Albany"/>
    <s v=" New York"/>
    <x v="0"/>
  </r>
  <r>
    <s v="Diesel"/>
    <s v="Eau de Toilette"/>
    <x v="137"/>
    <n v="4"/>
    <n v="28"/>
    <n v="475.71999999999997"/>
    <s v="Normal Quality"/>
    <d v="2024-04-08T05:02:35"/>
    <s v="Des Moines"/>
    <s v=" Iowa"/>
    <x v="0"/>
  </r>
  <r>
    <s v="Fc"/>
    <s v="Eau de Parfum"/>
    <x v="557"/>
    <n v="7"/>
    <n v="119"/>
    <n v="1749.3"/>
    <s v="Normal Quality"/>
    <d v="2024-04-09T05:59:11"/>
    <s v="Hephzibah"/>
    <s v=" Georgia"/>
    <x v="0"/>
  </r>
  <r>
    <s v="Ralph Lauren"/>
    <s v="Eau de Toilette"/>
    <x v="446"/>
    <n v="3"/>
    <n v="8"/>
    <n v="200"/>
    <s v="Normal Quality"/>
    <d v="2024-04-11T04:33:41"/>
    <s v="Nine Mile Falls"/>
    <s v=" Washington"/>
    <x v="0"/>
  </r>
  <r>
    <s v="BUnknown Al Hambra"/>
    <s v="Eau de Parfum"/>
    <x v="558"/>
    <n v="10"/>
    <n v="72"/>
    <n v="1850.3999999999999"/>
    <s v="Normal Quality"/>
    <d v="2024-04-12T07:43:55"/>
    <s v="New York"/>
    <s v=" New York"/>
    <x v="0"/>
  </r>
  <r>
    <s v="Prada"/>
    <s v="Eau de Toilette"/>
    <x v="559"/>
    <n v="5"/>
    <n v="21"/>
    <n v="186.48000000000002"/>
    <s v="Normal Quality"/>
    <d v="2024-04-12T08:49:37"/>
    <s v="Debary"/>
    <s v=" Florida"/>
    <x v="0"/>
  </r>
  <r>
    <s v="Polo Ralph Lauren"/>
    <s v="Eau de Parfum"/>
    <x v="560"/>
    <n v="10"/>
    <n v="78"/>
    <n v="2932.0200000000004"/>
    <s v="Normal Quality"/>
    <d v="2024-04-12T09:33:58"/>
    <s v="Edison"/>
    <s v="New York"/>
    <x v="0"/>
  </r>
  <r>
    <s v="Abercrombie &amp; Fitch"/>
    <s v="Eau de Cologne"/>
    <x v="17"/>
    <n v="5"/>
    <n v="381"/>
    <n v="19046.190000000002"/>
    <s v="Normal Quality"/>
    <d v="2024-04-12T11:01:52"/>
    <s v="Rochester"/>
    <s v=" New York"/>
    <x v="0"/>
  </r>
  <r>
    <s v="Bath &amp; BodUnknown Works"/>
    <s v="Eau de Cologne"/>
    <x v="561"/>
    <n v="150"/>
    <n v="35"/>
    <n v="2098.9499999999998"/>
    <s v="Normal Quality"/>
    <d v="2024-04-12T14:07:41"/>
    <s v="Dover"/>
    <s v=" Delaware"/>
    <x v="0"/>
  </r>
  <r>
    <s v="Fragrance Couture"/>
    <s v="Eau de Toilette"/>
    <x v="529"/>
    <n v="0"/>
    <n v="206"/>
    <n v="3085.88"/>
    <s v="Normal Quality"/>
    <d v="2024-04-12T15:57:06"/>
    <s v="Cumming"/>
    <s v=" Georgia"/>
    <x v="0"/>
  </r>
  <r>
    <s v="Dossier"/>
    <s v="Eau de Parfum"/>
    <x v="32"/>
    <n v="8"/>
    <n v="16"/>
    <n v="320"/>
    <s v="Normal Quality"/>
    <d v="2024-04-12T21:26:05"/>
    <s v="Los Angeles"/>
    <s v=" California"/>
    <x v="0"/>
  </r>
  <r>
    <s v="Guerlain"/>
    <s v="Eau de Toilette"/>
    <x v="87"/>
    <n v="9"/>
    <n v="24"/>
    <n v="2279.7599999999998"/>
    <s v="Normal Quality"/>
    <d v="2024-04-14T16:22:25"/>
    <s v="Brooklyn"/>
    <s v=" New York"/>
    <x v="0"/>
  </r>
  <r>
    <s v="Hermès"/>
    <s v="Eau de Toilette"/>
    <x v="301"/>
    <n v="6"/>
    <n v="117"/>
    <n v="6199.83"/>
    <s v="Normal Quality"/>
    <d v="2024-04-15T10:18:57"/>
    <s v="Miami"/>
    <s v=" Florida"/>
    <x v="0"/>
  </r>
  <r>
    <s v="BUnknown Al Hambra"/>
    <s v="Eau de Parfum"/>
    <x v="562"/>
    <n v="9"/>
    <n v="7"/>
    <n v="152.6"/>
    <s v="Normal Quality"/>
    <d v="2024-04-16T13:49:22"/>
    <s v="New York"/>
    <s v=" New York"/>
    <x v="0"/>
  </r>
  <r>
    <s v="Unbranded"/>
    <s v="Car Air Freshener"/>
    <x v="563"/>
    <n v="10"/>
    <n v="131"/>
    <n v="941.8900000000001"/>
    <s v="Normal Quality"/>
    <d v="2024-04-17T23:41:54"/>
    <s v="Houston"/>
    <s v=" Texas"/>
    <x v="0"/>
  </r>
  <r>
    <s v="As Shown"/>
    <s v="Eau de Parfum"/>
    <x v="12"/>
    <n v="10"/>
    <n v="11"/>
    <n v="769.89"/>
    <s v="Normal Quality"/>
    <d v="2024-04-21T19:30:34"/>
    <s v="Hong Kong"/>
    <s v=" Hong Kong"/>
    <x v="2"/>
  </r>
  <r>
    <s v="Louis Vuitton"/>
    <s v="Eau de Parfum"/>
    <x v="564"/>
    <n v="6"/>
    <n v="647"/>
    <n v="14848.65"/>
    <s v="Normal Quality"/>
    <d v="2024-04-21T21:21:42"/>
    <s v="Pearland"/>
    <s v=" Texas"/>
    <x v="0"/>
  </r>
  <r>
    <s v="Dolce&amp;Gabbana"/>
    <s v="Eau de Parfum"/>
    <x v="565"/>
    <n v="4"/>
    <n v="9"/>
    <n v="701.91"/>
    <s v="Normal Quality"/>
    <d v="2024-04-21T23:06:38"/>
    <s v="Miami"/>
    <s v=" Florida"/>
    <x v="0"/>
  </r>
  <r>
    <s v="Polo Ralph Lauren"/>
    <s v="Eau de Parfum"/>
    <x v="566"/>
    <n v="6"/>
    <n v="8"/>
    <n v="71.92"/>
    <s v="Normal Quality"/>
    <d v="2024-04-22T05:34:36"/>
    <s v="Saint Petersburg"/>
    <s v=" Florida"/>
    <x v="0"/>
  </r>
  <r>
    <s v="Lapidus"/>
    <s v="Eau de Toilette"/>
    <x v="567"/>
    <n v="7"/>
    <n v="518"/>
    <n v="10401.439999999999"/>
    <s v="Normal Quality"/>
    <d v="2024-04-23T03:57:22"/>
    <s v="Dallas"/>
    <s v=" Texas"/>
    <x v="0"/>
  </r>
  <r>
    <s v="Giorgio Armani"/>
    <s v="Eau de Toilette"/>
    <x v="140"/>
    <n v="3"/>
    <n v="28"/>
    <n v="1455.72"/>
    <s v="Normal Quality"/>
    <d v="2024-04-23T04:55:18"/>
    <s v="Houston"/>
    <s v=" Texas"/>
    <x v="0"/>
  </r>
  <r>
    <s v="Calvin Klein"/>
    <s v="Eau de Toilette"/>
    <x v="418"/>
    <n v="0"/>
    <n v="189"/>
    <n v="4148.55"/>
    <s v="Normal Quality"/>
    <d v="2024-04-23T19:35:29"/>
    <s v="New York"/>
    <s v=" New York"/>
    <x v="0"/>
  </r>
  <r>
    <s v="As Picture Show"/>
    <s v="Eau de Parfum"/>
    <x v="12"/>
    <n v="900"/>
    <n v="44"/>
    <n v="3079.56"/>
    <s v="Normal Quality"/>
    <d v="2024-04-23T20:25:43"/>
    <s v="Dayton"/>
    <s v="New York"/>
    <x v="0"/>
  </r>
  <r>
    <s v="Armaf"/>
    <s v="Eau de Parfum"/>
    <x v="420"/>
    <n v="10"/>
    <n v="10"/>
    <n v="850"/>
    <s v="Normal Quality"/>
    <d v="2024-04-24T15:40:00"/>
    <s v="Houston"/>
    <s v=" Texas"/>
    <x v="0"/>
  </r>
  <r>
    <s v="Lalique"/>
    <s v="Eau de Parfum"/>
    <x v="568"/>
    <n v="8"/>
    <n v="397"/>
    <n v="12493.59"/>
    <s v="Normal Quality"/>
    <d v="2024-04-24T22:58:09"/>
    <s v="Dallas"/>
    <s v=" Texas"/>
    <x v="0"/>
  </r>
  <r>
    <s v="Ed HardUnknown"/>
    <s v="Eau de Toilette"/>
    <x v="569"/>
    <n v="4"/>
    <n v="14"/>
    <n v="573.30000000000007"/>
    <s v="Normal Quality"/>
    <d v="2024-04-26T08:32:12"/>
    <s v="Pompano Beach"/>
    <s v=" Florida"/>
    <x v="0"/>
  </r>
  <r>
    <s v="Prada"/>
    <s v="Eau de Toilette"/>
    <x v="570"/>
    <n v="0"/>
    <n v="8"/>
    <n v="612"/>
    <s v="Normal Quality"/>
    <d v="2024-04-26T10:06:31"/>
    <s v="Rochester"/>
    <s v=" New York"/>
    <x v="0"/>
  </r>
  <r>
    <s v="Ralph Lauren"/>
    <s v="Eau de Toilette"/>
    <x v="34"/>
    <n v="5"/>
    <n v="8"/>
    <n v="239.92"/>
    <s v="Normal Quality"/>
    <d v="2024-04-26T20:26:52"/>
    <s v="Middletown"/>
    <s v=" Delaware"/>
    <x v="0"/>
  </r>
  <r>
    <s v="Macarena"/>
    <s v="Eau de Parfum"/>
    <x v="25"/>
    <n v="10"/>
    <n v="122"/>
    <n v="2438.7799999999997"/>
    <s v="Normal Quality"/>
    <d v="2024-04-28T09:27:00"/>
    <s v="North Brunswick"/>
    <s v="New York"/>
    <x v="0"/>
  </r>
  <r>
    <s v="Unbranded"/>
    <s v="Eau de Parfum"/>
    <x v="232"/>
    <n v="10"/>
    <n v="8"/>
    <n v="111.92"/>
    <s v="Normal Quality"/>
    <d v="2024-04-28T20:19:23"/>
    <s v="Dearborn"/>
    <s v=" Michigan"/>
    <x v="0"/>
  </r>
  <r>
    <s v="Unbranded"/>
    <s v="Eau de Parfum"/>
    <x v="232"/>
    <n v="10"/>
    <n v="9"/>
    <n v="125.91"/>
    <s v="Normal Quality"/>
    <d v="2024-04-28T20:19:23"/>
    <s v="Dearborn"/>
    <s v=" Michigan"/>
    <x v="0"/>
  </r>
  <r>
    <s v="Unknownsl"/>
    <s v="Eau de Parfum"/>
    <x v="17"/>
    <n v="3"/>
    <n v="12"/>
    <n v="599.88"/>
    <s v="Normal Quality"/>
    <d v="2024-04-29T17:51:10"/>
    <s v="Dayton"/>
    <s v=" New York"/>
    <x v="0"/>
  </r>
  <r>
    <s v="Unbranded"/>
    <s v="Eau de Parfum"/>
    <x v="137"/>
    <n v="6"/>
    <n v="404"/>
    <n v="6863.9599999999991"/>
    <s v="Normal Quality"/>
    <d v="2024-04-29T18:02:01"/>
    <s v="Ca"/>
    <s v=" United States"/>
    <x v="3"/>
  </r>
  <r>
    <s v="Carolina Herrera"/>
    <s v="Eau de Toilette"/>
    <x v="571"/>
    <n v="0"/>
    <n v="17"/>
    <n v="1121.83"/>
    <s v="Normal Quality"/>
    <d v="2024-04-29T18:20:43"/>
    <s v="El Cajon"/>
    <s v=" California"/>
    <x v="0"/>
  </r>
  <r>
    <s v="Unknownves Saint Laurent"/>
    <s v="Eau de Toilette"/>
    <x v="435"/>
    <n v="7"/>
    <n v="19"/>
    <n v="1443.81"/>
    <s v="Normal Quality"/>
    <d v="2024-04-29T19:07:25"/>
    <s v="El Cajon"/>
    <s v=" California"/>
    <x v="0"/>
  </r>
  <r>
    <s v="Jil Sander"/>
    <s v="Eau de Toilette"/>
    <x v="572"/>
    <n v="0"/>
    <n v="85"/>
    <n v="2366.4"/>
    <s v="Normal Quality"/>
    <d v="2024-04-30T06:45:20"/>
    <s v="Dallas"/>
    <s v=" Texas"/>
    <x v="0"/>
  </r>
  <r>
    <s v="Al Wataniah"/>
    <s v="Eau de Parfum"/>
    <x v="439"/>
    <n v="10"/>
    <n v="36"/>
    <n v="1260"/>
    <s v="Normal Quality"/>
    <d v="2024-04-30T08:56:26"/>
    <s v="Englewood Cliffs"/>
    <s v="New York"/>
    <x v="0"/>
  </r>
  <r>
    <s v="Have A Scent"/>
    <s v="Roll On"/>
    <x v="134"/>
    <n v="3"/>
    <n v="94"/>
    <n v="939.06000000000006"/>
    <s v="Normal Quality"/>
    <d v="2024-04-30T11:41:49"/>
    <s v="Fort Lauderdale"/>
    <s v=" Florida"/>
    <x v="0"/>
  </r>
  <r>
    <s v="Dior"/>
    <s v="Eau de Toilette"/>
    <x v="573"/>
    <n v="4"/>
    <n v="28"/>
    <n v="1903.7199999999998"/>
    <s v="Normal Quality"/>
    <d v="2024-04-30T19:09:09"/>
    <s v="Princeton Junction"/>
    <s v="New York"/>
    <x v="0"/>
  </r>
  <r>
    <s v="Maison Martin Margiela"/>
    <s v="Eau de Toilette"/>
    <x v="7"/>
    <n v="0"/>
    <n v="11"/>
    <n v="439.89000000000004"/>
    <s v="Normal Quality"/>
    <d v="2024-04-30T20:11:27"/>
    <s v="Monroe Township"/>
    <s v="New York"/>
    <x v="2"/>
  </r>
  <r>
    <s v="Versace"/>
    <s v="Eau de Toilette"/>
    <x v="316"/>
    <n v="10"/>
    <n v="26"/>
    <n v="987.74"/>
    <s v="Normal Quality"/>
    <d v="2024-03-01T00:00:00"/>
    <s v="Miami"/>
    <s v=" Florida"/>
    <x v="0"/>
  </r>
  <r>
    <s v="Karl Lagerfeld"/>
    <s v="Eau de Toilette"/>
    <x v="486"/>
    <n v="224"/>
    <n v="825"/>
    <n v="13950.75"/>
    <s v="Normal Quality"/>
    <d v="2024-03-02T00:00:00"/>
    <s v="Edison"/>
    <s v="New York"/>
    <x v="0"/>
  </r>
  <r>
    <s v="Unbranded"/>
    <s v="Eau de Parfum"/>
    <x v="159"/>
    <n v="7"/>
    <n v="38"/>
    <n v="987.61999999999989"/>
    <s v="Normal Quality"/>
    <d v="2024-03-03T00:00:00"/>
    <s v="Spring Hill"/>
    <s v=" Florida"/>
    <x v="0"/>
  </r>
  <r>
    <s v="Ralph Lauren"/>
    <s v="Eau de Toilette"/>
    <x v="17"/>
    <n v="5"/>
    <n v="243"/>
    <n v="12147.57"/>
    <s v="Normal Quality"/>
    <d v="2024-03-04T00:00:00"/>
    <s v="Miami"/>
    <s v=" Florida"/>
    <x v="0"/>
  </r>
  <r>
    <s v="Hermès"/>
    <s v="Eau de Toilette"/>
    <x v="167"/>
    <n v="2"/>
    <n v="65"/>
    <n v="6499.3499999999995"/>
    <s v="Normal Quality"/>
    <d v="2024-03-05T00:00:00"/>
    <s v="Miami"/>
    <s v=" Florida"/>
    <x v="0"/>
  </r>
  <r>
    <s v="Allsaints"/>
    <s v="Eau de Parfum"/>
    <x v="124"/>
    <n v="82"/>
    <n v="13"/>
    <n v="623.87"/>
    <s v="Normal Quality"/>
    <d v="2024-03-06T00:00:00"/>
    <s v="Salem"/>
    <s v=" Virginia"/>
    <x v="0"/>
  </r>
  <r>
    <s v="Ralph Lauren"/>
    <s v="Eau de Toilette"/>
    <x v="28"/>
    <n v="4"/>
    <n v="180"/>
    <n v="5218.2"/>
    <s v="Normal Quality"/>
    <d v="2024-03-07T00:00:00"/>
    <s v="Miami"/>
    <s v=" Florida"/>
    <x v="0"/>
  </r>
  <r>
    <s v="Hinode"/>
    <s v="Eau de Parfum"/>
    <x v="574"/>
    <n v="0"/>
    <n v="177"/>
    <n v="17523"/>
    <s v="Normal Quality"/>
    <d v="2024-03-08T00:00:00"/>
    <s v="Regente Feijo"/>
    <s v=" Brazil"/>
    <x v="0"/>
  </r>
  <r>
    <s v="Al Rehab"/>
    <s v="Eau de Parfum"/>
    <x v="566"/>
    <n v="10"/>
    <n v="76"/>
    <n v="683.24"/>
    <s v="Normal Quality"/>
    <d v="2024-03-09T00:00:00"/>
    <s v="Lynbrook"/>
    <s v=" New York"/>
    <x v="0"/>
  </r>
  <r>
    <s v="GuUnknown Laroche"/>
    <s v="Deodorant"/>
    <x v="11"/>
    <n v="3"/>
    <n v="257"/>
    <n v="4099.1499999999996"/>
    <s v="Normal Quality"/>
    <d v="2024-03-10T00:00:00"/>
    <s v="Hicksville"/>
    <s v=" New York"/>
    <x v="0"/>
  </r>
  <r>
    <s v="Giorgio Armani"/>
    <s v="Eau de Toilette"/>
    <x v="0"/>
    <n v="60"/>
    <n v="384"/>
    <n v="21116.16"/>
    <s v="Normal Quality"/>
    <d v="2024-03-11T00:00:00"/>
    <s v="Miami"/>
    <s v=" Florida"/>
    <x v="0"/>
  </r>
  <r>
    <s v="Dossier"/>
    <s v="Eau de Parfum"/>
    <x v="32"/>
    <n v="5"/>
    <n v="23"/>
    <n v="460"/>
    <s v="Normal Quality"/>
    <d v="2024-03-27T00:00:00"/>
    <s v="Los Angeles"/>
    <s v=" California"/>
    <x v="0"/>
  </r>
  <r>
    <s v="Unbranded"/>
    <s v="Eau de Parfum"/>
    <x v="575"/>
    <n v="3"/>
    <n v="7"/>
    <n v="336"/>
    <s v="Normal Quality"/>
    <d v="2024-03-27T00:00:00"/>
    <s v="Webster"/>
    <s v=" Florida"/>
    <x v="0"/>
  </r>
  <r>
    <s v="Dossier"/>
    <s v="Eau de Parfum"/>
    <x v="32"/>
    <n v="8"/>
    <n v="0"/>
    <n v="0"/>
    <s v="Normal Quality"/>
    <d v="2024-03-27T00:00:00"/>
    <s v="Los Angeles"/>
    <s v=" California"/>
    <x v="0"/>
  </r>
  <r>
    <s v="Bath &amp; BodUnknown Works"/>
    <s v="Eau de Cologne"/>
    <x v="130"/>
    <n v="0"/>
    <n v="5"/>
    <n v="144.75"/>
    <s v="Normal Quality"/>
    <d v="2024-03-27T00:00:00"/>
    <s v="Chesapeake"/>
    <s v=" Virginia"/>
    <x v="0"/>
  </r>
  <r>
    <s v="Bath &amp; BodUnknown Works"/>
    <s v="Eau de Cologne"/>
    <x v="576"/>
    <n v="10"/>
    <n v="12"/>
    <n v="428.15999999999997"/>
    <s v="Normal Quality"/>
    <d v="2024-03-27T00:00:00"/>
    <s v="Chesapeake"/>
    <s v=" Virginia"/>
    <x v="0"/>
  </r>
  <r>
    <s v="Dolce &amp; Gabbana"/>
    <s v="Eau de Parfum"/>
    <x v="577"/>
    <n v="6"/>
    <n v="41"/>
    <n v="656"/>
    <s v="Normal Quality"/>
    <d v="2024-03-27T00:00:00"/>
    <s v="Albany"/>
    <s v=" New York"/>
    <x v="0"/>
  </r>
  <r>
    <s v="Giorgio Armani"/>
    <s v="Eau de Parfum"/>
    <x v="67"/>
    <n v="0"/>
    <n v="20"/>
    <n v="319.8"/>
    <s v="Normal Quality"/>
    <d v="2024-03-27T00:00:00"/>
    <s v="Woodbridge"/>
    <s v=" Virginia"/>
    <x v="0"/>
  </r>
  <r>
    <s v="Giorgio Armani"/>
    <s v="Eau de Parfum"/>
    <x v="578"/>
    <n v="10"/>
    <n v="6"/>
    <n v="119.69999999999999"/>
    <s v="Normal Quality"/>
    <d v="2024-03-27T00:00:00"/>
    <s v="Stafford"/>
    <s v=" Texas"/>
    <x v="0"/>
  </r>
  <r>
    <s v="Armaf"/>
    <s v="Eau de Parfum"/>
    <x v="579"/>
    <n v="4"/>
    <n v="4"/>
    <n v="155.88"/>
    <s v="Normal Quality"/>
    <d v="2024-03-27T00:00:00"/>
    <s v="North Brunswick"/>
    <s v="New York"/>
    <x v="0"/>
  </r>
  <r>
    <s v="Ulric De Varens"/>
    <s v="Eau de Toilette"/>
    <x v="6"/>
    <n v="2"/>
    <n v="1"/>
    <n v="22"/>
    <s v="Normal Quality"/>
    <d v="2024-03-27T00:00:00"/>
    <s v="Miami"/>
    <s v=" Florida"/>
    <x v="0"/>
  </r>
  <r>
    <s v="Armaf"/>
    <s v="Eau de Parfum"/>
    <x v="401"/>
    <n v="10"/>
    <n v="2"/>
    <n v="250"/>
    <s v="Normal Quality"/>
    <d v="2024-03-27T00:00:00"/>
    <s v="Houston"/>
    <s v=" Texas"/>
    <x v="0"/>
  </r>
  <r>
    <s v="Jean Paul Gaultier"/>
    <s v="Eau de Parfum"/>
    <x v="580"/>
    <n v="0"/>
    <n v="0"/>
    <n v="0"/>
    <s v="Normal Quality"/>
    <d v="2024-03-27T00:00:00"/>
    <s v="Winter Haven"/>
    <s v=" Florida"/>
    <x v="0"/>
  </r>
  <r>
    <s v="Lacoste"/>
    <s v="Eau de Toilette"/>
    <x v="581"/>
    <n v="12"/>
    <n v="14"/>
    <n v="662.76"/>
    <s v="Normal Quality"/>
    <d v="2024-03-27T00:00:00"/>
    <s v="Westminster"/>
    <s v=" California"/>
    <x v="0"/>
  </r>
  <r>
    <s v="Giorgio Armani"/>
    <s v="Eau de Toilette"/>
    <x v="28"/>
    <n v="7"/>
    <n v="10"/>
    <n v="289.89999999999998"/>
    <s v="Normal Quality"/>
    <d v="2024-03-27T00:00:00"/>
    <s v="College Point"/>
    <s v=" New York"/>
    <x v="0"/>
  </r>
  <r>
    <s v="As Photos"/>
    <s v="Eau de Toilette"/>
    <x v="582"/>
    <n v="0"/>
    <n v="2"/>
    <n v="69.36"/>
    <s v="Normal Quality"/>
    <d v="2024-03-27T00:00:00"/>
    <s v="Austin"/>
    <s v=" Texas"/>
    <x v="0"/>
  </r>
  <r>
    <s v="Hollister"/>
    <s v="Eau de Cologne"/>
    <x v="583"/>
    <n v="8"/>
    <n v="12"/>
    <n v="347.64"/>
    <s v="Normal Quality"/>
    <d v="2024-03-27T00:00:00"/>
    <s v="Chesapeake"/>
    <s v=" Virginia"/>
    <x v="0"/>
  </r>
  <r>
    <s v="Paco Rabanne"/>
    <s v="Eau de Parfum"/>
    <x v="176"/>
    <n v="0"/>
    <n v="2"/>
    <n v="280"/>
    <s v="Normal Quality"/>
    <d v="2024-03-27T00:00:00"/>
    <s v="Franklin Square"/>
    <s v=" New York"/>
    <x v="0"/>
  </r>
  <r>
    <s v="Hugo Boss"/>
    <s v="Eau de Parfum"/>
    <x v="301"/>
    <n v="0"/>
    <n v="7"/>
    <n v="370.93"/>
    <s v="Normal Quality"/>
    <d v="2024-03-27T00:00:00"/>
    <s v="Miami"/>
    <s v=" Florida"/>
    <x v="0"/>
  </r>
  <r>
    <s v="Kenneth Cole"/>
    <s v="Eau de Toilette"/>
    <x v="584"/>
    <n v="8"/>
    <n v="14"/>
    <n v="338.09999999999997"/>
    <s v="Normal Quality"/>
    <d v="2024-03-27T00:00:00"/>
    <s v="Miami"/>
    <s v=" Florida"/>
    <x v="0"/>
  </r>
  <r>
    <s v="Milestone Perfumes"/>
    <s v="Eau de Parfum"/>
    <x v="3"/>
    <n v="5"/>
    <n v="4"/>
    <n v="139.96"/>
    <s v="Normal Quality"/>
    <d v="2024-03-27T00:00:00"/>
    <s v="Virginia Beach"/>
    <s v=" Virginia"/>
    <x v="0"/>
  </r>
  <r>
    <s v="IsseUnknown MiUnknownake"/>
    <s v="Eau de Toilette"/>
    <x v="585"/>
    <n v="10"/>
    <n v="5"/>
    <n v="134.75"/>
    <s v="Normal Quality"/>
    <d v="2024-03-27T00:00:00"/>
    <s v="Oneida"/>
    <s v=" Tennessee"/>
    <x v="0"/>
  </r>
  <r>
    <s v="Unbranded"/>
    <s v="Eau de Cologne"/>
    <x v="586"/>
    <n v="3"/>
    <n v="3"/>
    <n v="54"/>
    <s v="Normal Quality"/>
    <d v="2024-03-27T00:00:00"/>
    <s v="Phenix City"/>
    <s v=" Alabama"/>
    <x v="0"/>
  </r>
  <r>
    <s v="Adidas"/>
    <s v="Eau de Toilette"/>
    <x v="587"/>
    <n v="7"/>
    <n v="17"/>
    <n v="196.86"/>
    <s v="Normal Quality"/>
    <d v="2024-03-27T00:00:00"/>
    <s v="New York"/>
    <s v=" New York"/>
    <x v="0"/>
  </r>
  <r>
    <s v="Prada"/>
    <s v="Eau de Toilette"/>
    <x v="63"/>
    <n v="10"/>
    <n v="1"/>
    <n v="79.989999999999995"/>
    <s v="Normal Quality"/>
    <d v="2024-03-27T00:00:00"/>
    <s v="Memphis"/>
    <s v=" Tennessee"/>
    <x v="0"/>
  </r>
  <r>
    <s v="Branded"/>
    <s v="Eau de Parfum"/>
    <x v="171"/>
    <n v="0"/>
    <n v="1"/>
    <n v="17.989999999999998"/>
    <s v="Normal Quality"/>
    <d v="2024-03-27T00:00:00"/>
    <s v="Multiple Location"/>
    <s v=" United States"/>
    <x v="0"/>
  </r>
  <r>
    <s v="Dolce&amp;Gabbana"/>
    <s v="Eau de Toilette"/>
    <x v="1"/>
    <n v="10"/>
    <n v="9"/>
    <n v="251.91"/>
    <s v="Normal Quality"/>
    <d v="2024-03-27T00:00:00"/>
    <s v="Jersey City"/>
    <s v="New York"/>
    <x v="0"/>
  </r>
  <r>
    <s v="Dolce&amp;Gabbana"/>
    <s v="Eau de Parfum"/>
    <x v="588"/>
    <n v="10"/>
    <n v="1"/>
    <n v="75"/>
    <s v="Normal Quality"/>
    <d v="2024-03-27T00:00:00"/>
    <s v="Franklin Square"/>
    <s v=" New York"/>
    <x v="0"/>
  </r>
  <r>
    <s v="Giorgio Arm.Ani"/>
    <s v="Eau de Toilette"/>
    <x v="304"/>
    <n v="5"/>
    <n v="1"/>
    <n v="36.68"/>
    <s v="Normal Quality"/>
    <d v="2024-03-27T00:00:00"/>
    <s v="Austin"/>
    <s v=" Texas"/>
    <x v="0"/>
  </r>
  <r>
    <s v="Hollister"/>
    <s v="Eau de Cologne"/>
    <x v="589"/>
    <n v="4"/>
    <n v="3"/>
    <n v="140.25"/>
    <s v="Normal Quality"/>
    <d v="2024-03-27T00:00:00"/>
    <s v="Green Bay"/>
    <s v=" Wisconsin"/>
    <x v="0"/>
  </r>
  <r>
    <s v="Hollister"/>
    <s v="Eau de Cologne"/>
    <x v="590"/>
    <n v="6"/>
    <n v="5"/>
    <n v="133.75"/>
    <s v="Normal Quality"/>
    <d v="2024-03-27T00:00:00"/>
    <s v="Chesapeake"/>
    <s v=" Virginia"/>
    <x v="0"/>
  </r>
  <r>
    <s v="Viktor &amp; Rolf"/>
    <s v="Eau de Parfum"/>
    <x v="591"/>
    <n v="0"/>
    <n v="2"/>
    <n v="149.69999999999999"/>
    <s v="Normal Quality"/>
    <d v="2024-03-27T00:00:00"/>
    <s v="Monterey Park"/>
    <s v=" California"/>
    <x v="0"/>
  </r>
  <r>
    <s v="Chanel"/>
    <s v="Eau de Toilette"/>
    <x v="505"/>
    <n v="0"/>
    <n v="0"/>
    <n v="0"/>
    <s v="Normal Quality"/>
    <d v="2024-03-27T00:00:00"/>
    <s v="Lakewood"/>
    <s v=" California"/>
    <x v="0"/>
  </r>
  <r>
    <s v="Unbranded"/>
    <s v="Eau de Parfum"/>
    <x v="592"/>
    <n v="5"/>
    <n v="6"/>
    <n v="79.679999999999993"/>
    <s v="Normal Quality"/>
    <d v="2024-03-27T00:00:00"/>
    <s v="Wa"/>
    <s v=" United States"/>
    <x v="0"/>
  </r>
  <r>
    <s v="Eau de Cologne"/>
    <s v="Eau de Cologne"/>
    <x v="439"/>
    <n v="10"/>
    <n v="8"/>
    <n v="280"/>
    <s v="Normal Quality"/>
    <d v="2024-03-27T00:00:00"/>
    <s v="Gonzales"/>
    <s v=" Louisiana"/>
    <x v="0"/>
  </r>
  <r>
    <s v="Unknownves Saint Laurent"/>
    <s v="Eau de Parfum"/>
    <x v="593"/>
    <n v="10"/>
    <n v="6"/>
    <n v="59.34"/>
    <s v="Normal Quality"/>
    <d v="2024-03-27T00:00:00"/>
    <s v="Woodbridge"/>
    <s v=" Virginia"/>
    <x v="0"/>
  </r>
  <r>
    <s v="Gucci"/>
    <s v="Eau de Toilette"/>
    <x v="166"/>
    <n v="8"/>
    <n v="3"/>
    <n v="161.97"/>
    <s v="Normal Quality"/>
    <d v="2024-03-27T00:00:00"/>
    <s v="Miami"/>
    <s v=" Florida"/>
    <x v="0"/>
  </r>
  <r>
    <s v="Eau de Parfums De MarlUnknown"/>
    <s v="Eau de Parfum"/>
    <x v="25"/>
    <n v="3"/>
    <n v="6"/>
    <n v="119.94"/>
    <s v="Normal Quality"/>
    <d v="2024-03-27T00:00:00"/>
    <s v="Brooklyn"/>
    <s v=" New York"/>
    <x v="0"/>
  </r>
  <r>
    <s v="Paco Rabanne"/>
    <s v="Eau de Toilette"/>
    <x v="594"/>
    <n v="10"/>
    <n v="4"/>
    <n v="540"/>
    <s v="Normal Quality"/>
    <d v="2024-03-27T00:00:00"/>
    <s v="Franklin Square"/>
    <s v=" New York"/>
    <x v="0"/>
  </r>
  <r>
    <s v="Prada"/>
    <s v="Eau de Parfum"/>
    <x v="71"/>
    <n v="2"/>
    <n v="1"/>
    <n v="22.99"/>
    <s v="Normal Quality"/>
    <d v="2024-03-27T00:00:00"/>
    <s v="Cincinnati"/>
    <s v=" Ohio"/>
    <x v="0"/>
  </r>
  <r>
    <s v="Bath &amp; BodUnknown Works"/>
    <s v="Eau de Cologne"/>
    <x v="595"/>
    <n v="10"/>
    <n v="0"/>
    <n v="0"/>
    <s v="Normal Quality"/>
    <d v="2024-03-27T00:00:00"/>
    <s v="Dover"/>
    <s v=" Delaware"/>
    <x v="0"/>
  </r>
  <r>
    <s v="Tom Ford"/>
    <s v="Fragrance Oil"/>
    <x v="34"/>
    <n v="2"/>
    <n v="0"/>
    <n v="0"/>
    <s v="Normal Quality"/>
    <d v="2024-03-27T00:00:00"/>
    <s v="St. George"/>
    <s v=" Utah"/>
    <x v="0"/>
  </r>
  <r>
    <s v="Axe"/>
    <s v="Eau de Parfum"/>
    <x v="596"/>
    <n v="8"/>
    <n v="26"/>
    <n v="1117.74"/>
    <s v="Normal Quality"/>
    <d v="2024-03-27T00:00:00"/>
    <s v="Whittier"/>
    <s v=" California"/>
    <x v="0"/>
  </r>
  <r>
    <s v="Emper"/>
    <s v="Eau de Parfum"/>
    <x v="347"/>
    <n v="10"/>
    <n v="2"/>
    <n v="59.9"/>
    <s v="Normal Quality"/>
    <d v="2024-03-27T00:00:00"/>
    <s v="Dallas"/>
    <s v=" Texas"/>
    <x v="0"/>
  </r>
  <r>
    <s v="Eau de Cologne"/>
    <s v="Eau de Parfum"/>
    <x v="90"/>
    <n v="0"/>
    <n v="2"/>
    <n v="49.98"/>
    <s v="Normal Quality"/>
    <d v="2024-03-27T00:00:00"/>
    <s v="Lynnwood"/>
    <s v=" Washington"/>
    <x v="0"/>
  </r>
  <r>
    <s v="Bvlgari"/>
    <s v="Eau de Parfum"/>
    <x v="597"/>
    <n v="0"/>
    <n v="0"/>
    <n v="0"/>
    <s v="Normal Quality"/>
    <d v="2024-03-27T00:00:00"/>
    <s v="Paterson"/>
    <s v="New York"/>
    <x v="0"/>
  </r>
  <r>
    <s v="Calvin Klein"/>
    <s v="Eau de Toilette"/>
    <x v="598"/>
    <n v="3"/>
    <n v="8"/>
    <n v="199.6"/>
    <s v="Normal Quality"/>
    <d v="2024-03-27T00:00:00"/>
    <s v="Oneida"/>
    <s v=" Tennessee"/>
    <x v="0"/>
  </r>
  <r>
    <s v="Aladdin"/>
    <s v="Eau de Cologne"/>
    <x v="28"/>
    <n v="0"/>
    <n v="3"/>
    <n v="86.97"/>
    <s v="Normal Quality"/>
    <d v="2024-03-27T00:00:00"/>
    <s v="Port Orange"/>
    <s v=" Florida"/>
    <x v="0"/>
  </r>
  <r>
    <s v="Rasasi"/>
    <s v="Eau de Parfum"/>
    <x v="599"/>
    <n v="10"/>
    <n v="2"/>
    <n v="99"/>
    <s v="Normal Quality"/>
    <d v="2024-03-27T00:00:00"/>
    <s v="Miami"/>
    <s v=" Florida"/>
    <x v="0"/>
  </r>
  <r>
    <s v="Giorgio Armani"/>
    <s v="Eau de Parfum"/>
    <x v="600"/>
    <n v="2"/>
    <n v="2"/>
    <n v="48"/>
    <s v="Normal Quality"/>
    <d v="2024-03-27T00:00:00"/>
    <s v="Arlington Heights"/>
    <s v=" Illinois"/>
    <x v="0"/>
  </r>
  <r>
    <s v="Eau de Parfums De MarlUnknown"/>
    <s v="Eau de Parfum"/>
    <x v="77"/>
    <n v="6"/>
    <n v="19"/>
    <n v="228"/>
    <s v="Normal Quality"/>
    <d v="2024-03-27T00:00:00"/>
    <s v="Albany"/>
    <s v=" New York"/>
    <x v="0"/>
  </r>
  <r>
    <s v="Dolce&amp;Gabbana"/>
    <s v="Eau de Toilette"/>
    <x v="1"/>
    <n v="0"/>
    <n v="24"/>
    <n v="671.76"/>
    <s v="Normal Quality"/>
    <d v="2024-03-27T00:00:00"/>
    <s v="Des Moines"/>
    <s v=" Iowa"/>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AF4EDB-B3C8-4BEB-924B-6A47FA2F6D7A}"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rowHeaderCaption="Brand Name">
  <location ref="A3:B50" firstHeaderRow="1" firstDataRow="1" firstDataCol="1"/>
  <pivotFields count="3">
    <pivotField axis="axisRow" allDrilled="1" subtotalTop="0" showAll="0" dataSourceSort="1" defaultSubtotal="0" defaultAttributeDrillState="1">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s>
    </pivotField>
    <pivotField dataField="1" subtotalTop="0" showAll="0" defaultSubtotal="0"/>
    <pivotField allDrilled="1" subtotalTop="0" showAll="0" dataSourceSort="1" defaultSubtotal="0" defaultAttributeDrillState="1"/>
  </pivotFields>
  <rowFields count="1">
    <field x="0"/>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Sum of Sold" fld="1" baseField="0" baseItem="0"/>
  </dataFields>
  <chartFormats count="12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7"/>
          </reference>
        </references>
      </pivotArea>
    </chartFormat>
    <chartFormat chart="0" format="3">
      <pivotArea type="data" outline="0" fieldPosition="0">
        <references count="2">
          <reference field="4294967294" count="1" selected="0">
            <x v="0"/>
          </reference>
          <reference field="0" count="1" selected="0">
            <x v="46"/>
          </reference>
        </references>
      </pivotArea>
    </chartFormat>
    <chartFormat chart="0" format="4">
      <pivotArea type="data" outline="0" fieldPosition="0">
        <references count="2">
          <reference field="4294967294" count="1" selected="0">
            <x v="0"/>
          </reference>
          <reference field="0" count="1" selected="0">
            <x v="9"/>
          </reference>
        </references>
      </pivotArea>
    </chartFormat>
    <chartFormat chart="0" format="5">
      <pivotArea type="data" outline="0" fieldPosition="0">
        <references count="2">
          <reference field="4294967294" count="1" selected="0">
            <x v="0"/>
          </reference>
          <reference field="0" count="1" selected="0">
            <x v="47"/>
          </reference>
        </references>
      </pivotArea>
    </chartFormat>
    <chartFormat chart="0" format="6">
      <pivotArea type="data" outline="0" fieldPosition="0">
        <references count="2">
          <reference field="4294967294" count="1" selected="0">
            <x v="0"/>
          </reference>
          <reference field="0" count="1" selected="0">
            <x v="48"/>
          </reference>
        </references>
      </pivotArea>
    </chartFormat>
    <chartFormat chart="0" format="7">
      <pivotArea type="data" outline="0" fieldPosition="0">
        <references count="2">
          <reference field="4294967294" count="1" selected="0">
            <x v="0"/>
          </reference>
          <reference field="0" count="1" selected="0">
            <x v="28"/>
          </reference>
        </references>
      </pivotArea>
    </chartFormat>
    <chartFormat chart="0" format="8">
      <pivotArea type="data" outline="0" fieldPosition="0">
        <references count="2">
          <reference field="4294967294" count="1" selected="0">
            <x v="0"/>
          </reference>
          <reference field="0" count="1" selected="0">
            <x v="49"/>
          </reference>
        </references>
      </pivotArea>
    </chartFormat>
    <chartFormat chart="0" format="9">
      <pivotArea type="data" outline="0" fieldPosition="0">
        <references count="2">
          <reference field="4294967294" count="1" selected="0">
            <x v="0"/>
          </reference>
          <reference field="0" count="1" selected="0">
            <x v="30"/>
          </reference>
        </references>
      </pivotArea>
    </chartFormat>
    <chartFormat chart="0" format="10">
      <pivotArea type="data" outline="0" fieldPosition="0">
        <references count="2">
          <reference field="4294967294" count="1" selected="0">
            <x v="0"/>
          </reference>
          <reference field="0" count="1" selected="0">
            <x v="50"/>
          </reference>
        </references>
      </pivotArea>
    </chartFormat>
    <chartFormat chart="0" format="11">
      <pivotArea type="data" outline="0" fieldPosition="0">
        <references count="2">
          <reference field="4294967294" count="1" selected="0">
            <x v="0"/>
          </reference>
          <reference field="0" count="1" selected="0">
            <x v="51"/>
          </reference>
        </references>
      </pivotArea>
    </chartFormat>
    <chartFormat chart="0" format="12">
      <pivotArea type="data" outline="0" fieldPosition="0">
        <references count="2">
          <reference field="4294967294" count="1" selected="0">
            <x v="0"/>
          </reference>
          <reference field="0" count="1" selected="0">
            <x v="39"/>
          </reference>
        </references>
      </pivotArea>
    </chartFormat>
    <chartFormat chart="0" format="13">
      <pivotArea type="data" outline="0" fieldPosition="0">
        <references count="2">
          <reference field="4294967294" count="1" selected="0">
            <x v="0"/>
          </reference>
          <reference field="0" count="1" selected="0">
            <x v="40"/>
          </reference>
        </references>
      </pivotArea>
    </chartFormat>
    <chartFormat chart="0" format="14">
      <pivotArea type="data" outline="0" fieldPosition="0">
        <references count="2">
          <reference field="4294967294" count="1" selected="0">
            <x v="0"/>
          </reference>
          <reference field="0" count="1" selected="0">
            <x v="52"/>
          </reference>
        </references>
      </pivotArea>
    </chartFormat>
    <chartFormat chart="0" format="15">
      <pivotArea type="data" outline="0" fieldPosition="0">
        <references count="2">
          <reference field="4294967294" count="1" selected="0">
            <x v="0"/>
          </reference>
          <reference field="0" count="1" selected="0">
            <x v="43"/>
          </reference>
        </references>
      </pivotArea>
    </chartFormat>
    <chartFormat chart="0" format="16">
      <pivotArea type="data" outline="0" fieldPosition="0">
        <references count="2">
          <reference field="4294967294" count="1" selected="0">
            <x v="0"/>
          </reference>
          <reference field="0" count="1" selected="0">
            <x v="45"/>
          </reference>
        </references>
      </pivotArea>
    </chartFormat>
    <chartFormat chart="0" format="17">
      <pivotArea type="data" outline="0" fieldPosition="0">
        <references count="2">
          <reference field="4294967294" count="1" selected="0">
            <x v="0"/>
          </reference>
          <reference field="0" count="1" selected="0">
            <x v="53"/>
          </reference>
        </references>
      </pivotArea>
    </chartFormat>
    <chartFormat chart="1" format="18" series="1">
      <pivotArea type="data" outline="0" fieldPosition="0">
        <references count="1">
          <reference field="4294967294" count="1" selected="0">
            <x v="0"/>
          </reference>
        </references>
      </pivotArea>
    </chartFormat>
    <chartFormat chart="1" format="19">
      <pivotArea type="data" outline="0" fieldPosition="0">
        <references count="2">
          <reference field="4294967294" count="1" selected="0">
            <x v="0"/>
          </reference>
          <reference field="0" count="1" selected="0">
            <x v="2"/>
          </reference>
        </references>
      </pivotArea>
    </chartFormat>
    <chartFormat chart="1" format="20">
      <pivotArea type="data" outline="0" fieldPosition="0">
        <references count="2">
          <reference field="4294967294" count="1" selected="0">
            <x v="0"/>
          </reference>
          <reference field="0" count="1" selected="0">
            <x v="7"/>
          </reference>
        </references>
      </pivotArea>
    </chartFormat>
    <chartFormat chart="1" format="21">
      <pivotArea type="data" outline="0" fieldPosition="0">
        <references count="2">
          <reference field="4294967294" count="1" selected="0">
            <x v="0"/>
          </reference>
          <reference field="0" count="1" selected="0">
            <x v="46"/>
          </reference>
        </references>
      </pivotArea>
    </chartFormat>
    <chartFormat chart="1" format="22">
      <pivotArea type="data" outline="0" fieldPosition="0">
        <references count="2">
          <reference field="4294967294" count="1" selected="0">
            <x v="0"/>
          </reference>
          <reference field="0" count="1" selected="0">
            <x v="9"/>
          </reference>
        </references>
      </pivotArea>
    </chartFormat>
    <chartFormat chart="1" format="23">
      <pivotArea type="data" outline="0" fieldPosition="0">
        <references count="2">
          <reference field="4294967294" count="1" selected="0">
            <x v="0"/>
          </reference>
          <reference field="0" count="1" selected="0">
            <x v="47"/>
          </reference>
        </references>
      </pivotArea>
    </chartFormat>
    <chartFormat chart="1" format="24">
      <pivotArea type="data" outline="0" fieldPosition="0">
        <references count="2">
          <reference field="4294967294" count="1" selected="0">
            <x v="0"/>
          </reference>
          <reference field="0" count="1" selected="0">
            <x v="48"/>
          </reference>
        </references>
      </pivotArea>
    </chartFormat>
    <chartFormat chart="1" format="25">
      <pivotArea type="data" outline="0" fieldPosition="0">
        <references count="2">
          <reference field="4294967294" count="1" selected="0">
            <x v="0"/>
          </reference>
          <reference field="0" count="1" selected="0">
            <x v="28"/>
          </reference>
        </references>
      </pivotArea>
    </chartFormat>
    <chartFormat chart="1" format="26">
      <pivotArea type="data" outline="0" fieldPosition="0">
        <references count="2">
          <reference field="4294967294" count="1" selected="0">
            <x v="0"/>
          </reference>
          <reference field="0" count="1" selected="0">
            <x v="49"/>
          </reference>
        </references>
      </pivotArea>
    </chartFormat>
    <chartFormat chart="1" format="27">
      <pivotArea type="data" outline="0" fieldPosition="0">
        <references count="2">
          <reference field="4294967294" count="1" selected="0">
            <x v="0"/>
          </reference>
          <reference field="0" count="1" selected="0">
            <x v="30"/>
          </reference>
        </references>
      </pivotArea>
    </chartFormat>
    <chartFormat chart="1" format="28">
      <pivotArea type="data" outline="0" fieldPosition="0">
        <references count="2">
          <reference field="4294967294" count="1" selected="0">
            <x v="0"/>
          </reference>
          <reference field="0" count="1" selected="0">
            <x v="50"/>
          </reference>
        </references>
      </pivotArea>
    </chartFormat>
    <chartFormat chart="1" format="29">
      <pivotArea type="data" outline="0" fieldPosition="0">
        <references count="2">
          <reference field="4294967294" count="1" selected="0">
            <x v="0"/>
          </reference>
          <reference field="0" count="1" selected="0">
            <x v="51"/>
          </reference>
        </references>
      </pivotArea>
    </chartFormat>
    <chartFormat chart="1" format="30">
      <pivotArea type="data" outline="0" fieldPosition="0">
        <references count="2">
          <reference field="4294967294" count="1" selected="0">
            <x v="0"/>
          </reference>
          <reference field="0" count="1" selected="0">
            <x v="39"/>
          </reference>
        </references>
      </pivotArea>
    </chartFormat>
    <chartFormat chart="1" format="31">
      <pivotArea type="data" outline="0" fieldPosition="0">
        <references count="2">
          <reference field="4294967294" count="1" selected="0">
            <x v="0"/>
          </reference>
          <reference field="0" count="1" selected="0">
            <x v="40"/>
          </reference>
        </references>
      </pivotArea>
    </chartFormat>
    <chartFormat chart="1" format="32">
      <pivotArea type="data" outline="0" fieldPosition="0">
        <references count="2">
          <reference field="4294967294" count="1" selected="0">
            <x v="0"/>
          </reference>
          <reference field="0" count="1" selected="0">
            <x v="52"/>
          </reference>
        </references>
      </pivotArea>
    </chartFormat>
    <chartFormat chart="1" format="33">
      <pivotArea type="data" outline="0" fieldPosition="0">
        <references count="2">
          <reference field="4294967294" count="1" selected="0">
            <x v="0"/>
          </reference>
          <reference field="0" count="1" selected="0">
            <x v="43"/>
          </reference>
        </references>
      </pivotArea>
    </chartFormat>
    <chartFormat chart="1" format="34">
      <pivotArea type="data" outline="0" fieldPosition="0">
        <references count="2">
          <reference field="4294967294" count="1" selected="0">
            <x v="0"/>
          </reference>
          <reference field="0" count="1" selected="0">
            <x v="45"/>
          </reference>
        </references>
      </pivotArea>
    </chartFormat>
    <chartFormat chart="1" format="35">
      <pivotArea type="data" outline="0" fieldPosition="0">
        <references count="2">
          <reference field="4294967294" count="1" selected="0">
            <x v="0"/>
          </reference>
          <reference field="0" count="1" selected="0">
            <x v="53"/>
          </reference>
        </references>
      </pivotArea>
    </chartFormat>
    <chartFormat chart="2" format="36" series="1">
      <pivotArea type="data" outline="0" fieldPosition="0">
        <references count="1">
          <reference field="4294967294" count="1" selected="0">
            <x v="0"/>
          </reference>
        </references>
      </pivotArea>
    </chartFormat>
    <chartFormat chart="2" format="37">
      <pivotArea type="data" outline="0" fieldPosition="0">
        <references count="2">
          <reference field="4294967294" count="1" selected="0">
            <x v="0"/>
          </reference>
          <reference field="0" count="1" selected="0">
            <x v="2"/>
          </reference>
        </references>
      </pivotArea>
    </chartFormat>
    <chartFormat chart="2" format="38">
      <pivotArea type="data" outline="0" fieldPosition="0">
        <references count="2">
          <reference field="4294967294" count="1" selected="0">
            <x v="0"/>
          </reference>
          <reference field="0" count="1" selected="0">
            <x v="7"/>
          </reference>
        </references>
      </pivotArea>
    </chartFormat>
    <chartFormat chart="2" format="39">
      <pivotArea type="data" outline="0" fieldPosition="0">
        <references count="2">
          <reference field="4294967294" count="1" selected="0">
            <x v="0"/>
          </reference>
          <reference field="0" count="1" selected="0">
            <x v="46"/>
          </reference>
        </references>
      </pivotArea>
    </chartFormat>
    <chartFormat chart="2" format="40">
      <pivotArea type="data" outline="0" fieldPosition="0">
        <references count="2">
          <reference field="4294967294" count="1" selected="0">
            <x v="0"/>
          </reference>
          <reference field="0" count="1" selected="0">
            <x v="9"/>
          </reference>
        </references>
      </pivotArea>
    </chartFormat>
    <chartFormat chart="2" format="41">
      <pivotArea type="data" outline="0" fieldPosition="0">
        <references count="2">
          <reference field="4294967294" count="1" selected="0">
            <x v="0"/>
          </reference>
          <reference field="0" count="1" selected="0">
            <x v="47"/>
          </reference>
        </references>
      </pivotArea>
    </chartFormat>
    <chartFormat chart="2" format="42">
      <pivotArea type="data" outline="0" fieldPosition="0">
        <references count="2">
          <reference field="4294967294" count="1" selected="0">
            <x v="0"/>
          </reference>
          <reference field="0" count="1" selected="0">
            <x v="48"/>
          </reference>
        </references>
      </pivotArea>
    </chartFormat>
    <chartFormat chart="2" format="43">
      <pivotArea type="data" outline="0" fieldPosition="0">
        <references count="2">
          <reference field="4294967294" count="1" selected="0">
            <x v="0"/>
          </reference>
          <reference field="0" count="1" selected="0">
            <x v="28"/>
          </reference>
        </references>
      </pivotArea>
    </chartFormat>
    <chartFormat chart="2" format="44">
      <pivotArea type="data" outline="0" fieldPosition="0">
        <references count="2">
          <reference field="4294967294" count="1" selected="0">
            <x v="0"/>
          </reference>
          <reference field="0" count="1" selected="0">
            <x v="49"/>
          </reference>
        </references>
      </pivotArea>
    </chartFormat>
    <chartFormat chart="2" format="45">
      <pivotArea type="data" outline="0" fieldPosition="0">
        <references count="2">
          <reference field="4294967294" count="1" selected="0">
            <x v="0"/>
          </reference>
          <reference field="0" count="1" selected="0">
            <x v="30"/>
          </reference>
        </references>
      </pivotArea>
    </chartFormat>
    <chartFormat chart="2" format="46">
      <pivotArea type="data" outline="0" fieldPosition="0">
        <references count="2">
          <reference field="4294967294" count="1" selected="0">
            <x v="0"/>
          </reference>
          <reference field="0" count="1" selected="0">
            <x v="50"/>
          </reference>
        </references>
      </pivotArea>
    </chartFormat>
    <chartFormat chart="2" format="47">
      <pivotArea type="data" outline="0" fieldPosition="0">
        <references count="2">
          <reference field="4294967294" count="1" selected="0">
            <x v="0"/>
          </reference>
          <reference field="0" count="1" selected="0">
            <x v="51"/>
          </reference>
        </references>
      </pivotArea>
    </chartFormat>
    <chartFormat chart="2" format="48">
      <pivotArea type="data" outline="0" fieldPosition="0">
        <references count="2">
          <reference field="4294967294" count="1" selected="0">
            <x v="0"/>
          </reference>
          <reference field="0" count="1" selected="0">
            <x v="39"/>
          </reference>
        </references>
      </pivotArea>
    </chartFormat>
    <chartFormat chart="2" format="49">
      <pivotArea type="data" outline="0" fieldPosition="0">
        <references count="2">
          <reference field="4294967294" count="1" selected="0">
            <x v="0"/>
          </reference>
          <reference field="0" count="1" selected="0">
            <x v="40"/>
          </reference>
        </references>
      </pivotArea>
    </chartFormat>
    <chartFormat chart="2" format="50">
      <pivotArea type="data" outline="0" fieldPosition="0">
        <references count="2">
          <reference field="4294967294" count="1" selected="0">
            <x v="0"/>
          </reference>
          <reference field="0" count="1" selected="0">
            <x v="52"/>
          </reference>
        </references>
      </pivotArea>
    </chartFormat>
    <chartFormat chart="2" format="51">
      <pivotArea type="data" outline="0" fieldPosition="0">
        <references count="2">
          <reference field="4294967294" count="1" selected="0">
            <x v="0"/>
          </reference>
          <reference field="0" count="1" selected="0">
            <x v="43"/>
          </reference>
        </references>
      </pivotArea>
    </chartFormat>
    <chartFormat chart="2" format="52">
      <pivotArea type="data" outline="0" fieldPosition="0">
        <references count="2">
          <reference field="4294967294" count="1" selected="0">
            <x v="0"/>
          </reference>
          <reference field="0" count="1" selected="0">
            <x v="45"/>
          </reference>
        </references>
      </pivotArea>
    </chartFormat>
    <chartFormat chart="2" format="53">
      <pivotArea type="data" outline="0" fieldPosition="0">
        <references count="2">
          <reference field="4294967294" count="1" selected="0">
            <x v="0"/>
          </reference>
          <reference field="0" count="1" selected="0">
            <x v="53"/>
          </reference>
        </references>
      </pivotArea>
    </chartFormat>
    <chartFormat chart="2" format="54">
      <pivotArea type="data" outline="0" fieldPosition="0">
        <references count="2">
          <reference field="4294967294" count="1" selected="0">
            <x v="0"/>
          </reference>
          <reference field="0" count="1" selected="0">
            <x v="0"/>
          </reference>
        </references>
      </pivotArea>
    </chartFormat>
    <chartFormat chart="2" format="55">
      <pivotArea type="data" outline="0" fieldPosition="0">
        <references count="2">
          <reference field="4294967294" count="1" selected="0">
            <x v="0"/>
          </reference>
          <reference field="0" count="1" selected="0">
            <x v="1"/>
          </reference>
        </references>
      </pivotArea>
    </chartFormat>
    <chartFormat chart="2" format="56">
      <pivotArea type="data" outline="0" fieldPosition="0">
        <references count="2">
          <reference field="4294967294" count="1" selected="0">
            <x v="0"/>
          </reference>
          <reference field="0" count="1" selected="0">
            <x v="3"/>
          </reference>
        </references>
      </pivotArea>
    </chartFormat>
    <chartFormat chart="2" format="57">
      <pivotArea type="data" outline="0" fieldPosition="0">
        <references count="2">
          <reference field="4294967294" count="1" selected="0">
            <x v="0"/>
          </reference>
          <reference field="0" count="1" selected="0">
            <x v="4"/>
          </reference>
        </references>
      </pivotArea>
    </chartFormat>
    <chartFormat chart="2" format="58">
      <pivotArea type="data" outline="0" fieldPosition="0">
        <references count="2">
          <reference field="4294967294" count="1" selected="0">
            <x v="0"/>
          </reference>
          <reference field="0" count="1" selected="0">
            <x v="5"/>
          </reference>
        </references>
      </pivotArea>
    </chartFormat>
    <chartFormat chart="2" format="59">
      <pivotArea type="data" outline="0" fieldPosition="0">
        <references count="2">
          <reference field="4294967294" count="1" selected="0">
            <x v="0"/>
          </reference>
          <reference field="0" count="1" selected="0">
            <x v="6"/>
          </reference>
        </references>
      </pivotArea>
    </chartFormat>
    <chartFormat chart="2" format="60">
      <pivotArea type="data" outline="0" fieldPosition="0">
        <references count="2">
          <reference field="4294967294" count="1" selected="0">
            <x v="0"/>
          </reference>
          <reference field="0" count="1" selected="0">
            <x v="8"/>
          </reference>
        </references>
      </pivotArea>
    </chartFormat>
    <chartFormat chart="2" format="61">
      <pivotArea type="data" outline="0" fieldPosition="0">
        <references count="2">
          <reference field="4294967294" count="1" selected="0">
            <x v="0"/>
          </reference>
          <reference field="0" count="1" selected="0">
            <x v="10"/>
          </reference>
        </references>
      </pivotArea>
    </chartFormat>
    <chartFormat chart="2" format="62">
      <pivotArea type="data" outline="0" fieldPosition="0">
        <references count="2">
          <reference field="4294967294" count="1" selected="0">
            <x v="0"/>
          </reference>
          <reference field="0" count="1" selected="0">
            <x v="11"/>
          </reference>
        </references>
      </pivotArea>
    </chartFormat>
    <chartFormat chart="2" format="63">
      <pivotArea type="data" outline="0" fieldPosition="0">
        <references count="2">
          <reference field="4294967294" count="1" selected="0">
            <x v="0"/>
          </reference>
          <reference field="0" count="1" selected="0">
            <x v="12"/>
          </reference>
        </references>
      </pivotArea>
    </chartFormat>
    <chartFormat chart="2" format="64">
      <pivotArea type="data" outline="0" fieldPosition="0">
        <references count="2">
          <reference field="4294967294" count="1" selected="0">
            <x v="0"/>
          </reference>
          <reference field="0" count="1" selected="0">
            <x v="13"/>
          </reference>
        </references>
      </pivotArea>
    </chartFormat>
    <chartFormat chart="2" format="65">
      <pivotArea type="data" outline="0" fieldPosition="0">
        <references count="2">
          <reference field="4294967294" count="1" selected="0">
            <x v="0"/>
          </reference>
          <reference field="0" count="1" selected="0">
            <x v="14"/>
          </reference>
        </references>
      </pivotArea>
    </chartFormat>
    <chartFormat chart="2" format="66">
      <pivotArea type="data" outline="0" fieldPosition="0">
        <references count="2">
          <reference field="4294967294" count="1" selected="0">
            <x v="0"/>
          </reference>
          <reference field="0" count="1" selected="0">
            <x v="15"/>
          </reference>
        </references>
      </pivotArea>
    </chartFormat>
    <chartFormat chart="2" format="67">
      <pivotArea type="data" outline="0" fieldPosition="0">
        <references count="2">
          <reference field="4294967294" count="1" selected="0">
            <x v="0"/>
          </reference>
          <reference field="0" count="1" selected="0">
            <x v="16"/>
          </reference>
        </references>
      </pivotArea>
    </chartFormat>
    <chartFormat chart="2" format="68">
      <pivotArea type="data" outline="0" fieldPosition="0">
        <references count="2">
          <reference field="4294967294" count="1" selected="0">
            <x v="0"/>
          </reference>
          <reference field="0" count="1" selected="0">
            <x v="17"/>
          </reference>
        </references>
      </pivotArea>
    </chartFormat>
    <chartFormat chart="2" format="69">
      <pivotArea type="data" outline="0" fieldPosition="0">
        <references count="2">
          <reference field="4294967294" count="1" selected="0">
            <x v="0"/>
          </reference>
          <reference field="0" count="1" selected="0">
            <x v="18"/>
          </reference>
        </references>
      </pivotArea>
    </chartFormat>
    <chartFormat chart="2" format="70">
      <pivotArea type="data" outline="0" fieldPosition="0">
        <references count="2">
          <reference field="4294967294" count="1" selected="0">
            <x v="0"/>
          </reference>
          <reference field="0" count="1" selected="0">
            <x v="19"/>
          </reference>
        </references>
      </pivotArea>
    </chartFormat>
    <chartFormat chart="2" format="71">
      <pivotArea type="data" outline="0" fieldPosition="0">
        <references count="2">
          <reference field="4294967294" count="1" selected="0">
            <x v="0"/>
          </reference>
          <reference field="0" count="1" selected="0">
            <x v="20"/>
          </reference>
        </references>
      </pivotArea>
    </chartFormat>
    <chartFormat chart="2" format="72">
      <pivotArea type="data" outline="0" fieldPosition="0">
        <references count="2">
          <reference field="4294967294" count="1" selected="0">
            <x v="0"/>
          </reference>
          <reference field="0" count="1" selected="0">
            <x v="21"/>
          </reference>
        </references>
      </pivotArea>
    </chartFormat>
    <chartFormat chart="2" format="73">
      <pivotArea type="data" outline="0" fieldPosition="0">
        <references count="2">
          <reference field="4294967294" count="1" selected="0">
            <x v="0"/>
          </reference>
          <reference field="0" count="1" selected="0">
            <x v="22"/>
          </reference>
        </references>
      </pivotArea>
    </chartFormat>
    <chartFormat chart="2" format="74">
      <pivotArea type="data" outline="0" fieldPosition="0">
        <references count="2">
          <reference field="4294967294" count="1" selected="0">
            <x v="0"/>
          </reference>
          <reference field="0" count="1" selected="0">
            <x v="23"/>
          </reference>
        </references>
      </pivotArea>
    </chartFormat>
    <chartFormat chart="2" format="75">
      <pivotArea type="data" outline="0" fieldPosition="0">
        <references count="2">
          <reference field="4294967294" count="1" selected="0">
            <x v="0"/>
          </reference>
          <reference field="0" count="1" selected="0">
            <x v="24"/>
          </reference>
        </references>
      </pivotArea>
    </chartFormat>
    <chartFormat chart="2" format="76">
      <pivotArea type="data" outline="0" fieldPosition="0">
        <references count="2">
          <reference field="4294967294" count="1" selected="0">
            <x v="0"/>
          </reference>
          <reference field="0" count="1" selected="0">
            <x v="25"/>
          </reference>
        </references>
      </pivotArea>
    </chartFormat>
    <chartFormat chart="2" format="77">
      <pivotArea type="data" outline="0" fieldPosition="0">
        <references count="2">
          <reference field="4294967294" count="1" selected="0">
            <x v="0"/>
          </reference>
          <reference field="0" count="1" selected="0">
            <x v="26"/>
          </reference>
        </references>
      </pivotArea>
    </chartFormat>
    <chartFormat chart="2" format="78">
      <pivotArea type="data" outline="0" fieldPosition="0">
        <references count="2">
          <reference field="4294967294" count="1" selected="0">
            <x v="0"/>
          </reference>
          <reference field="0" count="1" selected="0">
            <x v="27"/>
          </reference>
        </references>
      </pivotArea>
    </chartFormat>
    <chartFormat chart="2" format="79">
      <pivotArea type="data" outline="0" fieldPosition="0">
        <references count="2">
          <reference field="4294967294" count="1" selected="0">
            <x v="0"/>
          </reference>
          <reference field="0" count="1" selected="0">
            <x v="29"/>
          </reference>
        </references>
      </pivotArea>
    </chartFormat>
    <chartFormat chart="2" format="80">
      <pivotArea type="data" outline="0" fieldPosition="0">
        <references count="2">
          <reference field="4294967294" count="1" selected="0">
            <x v="0"/>
          </reference>
          <reference field="0" count="1" selected="0">
            <x v="31"/>
          </reference>
        </references>
      </pivotArea>
    </chartFormat>
    <chartFormat chart="2" format="81">
      <pivotArea type="data" outline="0" fieldPosition="0">
        <references count="2">
          <reference field="4294967294" count="1" selected="0">
            <x v="0"/>
          </reference>
          <reference field="0" count="1" selected="0">
            <x v="32"/>
          </reference>
        </references>
      </pivotArea>
    </chartFormat>
    <chartFormat chart="2" format="82">
      <pivotArea type="data" outline="0" fieldPosition="0">
        <references count="2">
          <reference field="4294967294" count="1" selected="0">
            <x v="0"/>
          </reference>
          <reference field="0" count="1" selected="0">
            <x v="33"/>
          </reference>
        </references>
      </pivotArea>
    </chartFormat>
    <chartFormat chart="2" format="83">
      <pivotArea type="data" outline="0" fieldPosition="0">
        <references count="2">
          <reference field="4294967294" count="1" selected="0">
            <x v="0"/>
          </reference>
          <reference field="0" count="1" selected="0">
            <x v="34"/>
          </reference>
        </references>
      </pivotArea>
    </chartFormat>
    <chartFormat chart="2" format="84">
      <pivotArea type="data" outline="0" fieldPosition="0">
        <references count="2">
          <reference field="4294967294" count="1" selected="0">
            <x v="0"/>
          </reference>
          <reference field="0" count="1" selected="0">
            <x v="35"/>
          </reference>
        </references>
      </pivotArea>
    </chartFormat>
    <chartFormat chart="2" format="85">
      <pivotArea type="data" outline="0" fieldPosition="0">
        <references count="2">
          <reference field="4294967294" count="1" selected="0">
            <x v="0"/>
          </reference>
          <reference field="0" count="1" selected="0">
            <x v="36"/>
          </reference>
        </references>
      </pivotArea>
    </chartFormat>
    <chartFormat chart="2" format="86">
      <pivotArea type="data" outline="0" fieldPosition="0">
        <references count="2">
          <reference field="4294967294" count="1" selected="0">
            <x v="0"/>
          </reference>
          <reference field="0" count="1" selected="0">
            <x v="37"/>
          </reference>
        </references>
      </pivotArea>
    </chartFormat>
    <chartFormat chart="2" format="87">
      <pivotArea type="data" outline="0" fieldPosition="0">
        <references count="2">
          <reference field="4294967294" count="1" selected="0">
            <x v="0"/>
          </reference>
          <reference field="0" count="1" selected="0">
            <x v="38"/>
          </reference>
        </references>
      </pivotArea>
    </chartFormat>
    <chartFormat chart="2" format="88">
      <pivotArea type="data" outline="0" fieldPosition="0">
        <references count="2">
          <reference field="4294967294" count="1" selected="0">
            <x v="0"/>
          </reference>
          <reference field="0" count="1" selected="0">
            <x v="41"/>
          </reference>
        </references>
      </pivotArea>
    </chartFormat>
    <chartFormat chart="2" format="89">
      <pivotArea type="data" outline="0" fieldPosition="0">
        <references count="2">
          <reference field="4294967294" count="1" selected="0">
            <x v="0"/>
          </reference>
          <reference field="0" count="1" selected="0">
            <x v="42"/>
          </reference>
        </references>
      </pivotArea>
    </chartFormat>
    <chartFormat chart="2" format="90">
      <pivotArea type="data" outline="0" fieldPosition="0">
        <references count="2">
          <reference field="4294967294" count="1" selected="0">
            <x v="0"/>
          </reference>
          <reference field="0" count="1" selected="0">
            <x v="44"/>
          </reference>
        </references>
      </pivotArea>
    </chartFormat>
    <chartFormat chart="0" format="18">
      <pivotArea type="data" outline="0" fieldPosition="0">
        <references count="2">
          <reference field="4294967294" count="1" selected="0">
            <x v="0"/>
          </reference>
          <reference field="0" count="1" selected="0">
            <x v="0"/>
          </reference>
        </references>
      </pivotArea>
    </chartFormat>
    <chartFormat chart="0" format="19">
      <pivotArea type="data" outline="0" fieldPosition="0">
        <references count="2">
          <reference field="4294967294" count="1" selected="0">
            <x v="0"/>
          </reference>
          <reference field="0" count="1" selected="0">
            <x v="1"/>
          </reference>
        </references>
      </pivotArea>
    </chartFormat>
    <chartFormat chart="0" format="20">
      <pivotArea type="data" outline="0" fieldPosition="0">
        <references count="2">
          <reference field="4294967294" count="1" selected="0">
            <x v="0"/>
          </reference>
          <reference field="0" count="1" selected="0">
            <x v="3"/>
          </reference>
        </references>
      </pivotArea>
    </chartFormat>
    <chartFormat chart="0" format="21">
      <pivotArea type="data" outline="0" fieldPosition="0">
        <references count="2">
          <reference field="4294967294" count="1" selected="0">
            <x v="0"/>
          </reference>
          <reference field="0" count="1" selected="0">
            <x v="4"/>
          </reference>
        </references>
      </pivotArea>
    </chartFormat>
    <chartFormat chart="0" format="22">
      <pivotArea type="data" outline="0" fieldPosition="0">
        <references count="2">
          <reference field="4294967294" count="1" selected="0">
            <x v="0"/>
          </reference>
          <reference field="0" count="1" selected="0">
            <x v="5"/>
          </reference>
        </references>
      </pivotArea>
    </chartFormat>
    <chartFormat chart="0" format="23">
      <pivotArea type="data" outline="0" fieldPosition="0">
        <references count="2">
          <reference field="4294967294" count="1" selected="0">
            <x v="0"/>
          </reference>
          <reference field="0" count="1" selected="0">
            <x v="6"/>
          </reference>
        </references>
      </pivotArea>
    </chartFormat>
    <chartFormat chart="0" format="24">
      <pivotArea type="data" outline="0" fieldPosition="0">
        <references count="2">
          <reference field="4294967294" count="1" selected="0">
            <x v="0"/>
          </reference>
          <reference field="0" count="1" selected="0">
            <x v="8"/>
          </reference>
        </references>
      </pivotArea>
    </chartFormat>
    <chartFormat chart="0" format="25">
      <pivotArea type="data" outline="0" fieldPosition="0">
        <references count="2">
          <reference field="4294967294" count="1" selected="0">
            <x v="0"/>
          </reference>
          <reference field="0" count="1" selected="0">
            <x v="10"/>
          </reference>
        </references>
      </pivotArea>
    </chartFormat>
    <chartFormat chart="0" format="26">
      <pivotArea type="data" outline="0" fieldPosition="0">
        <references count="2">
          <reference field="4294967294" count="1" selected="0">
            <x v="0"/>
          </reference>
          <reference field="0" count="1" selected="0">
            <x v="11"/>
          </reference>
        </references>
      </pivotArea>
    </chartFormat>
    <chartFormat chart="0" format="27">
      <pivotArea type="data" outline="0" fieldPosition="0">
        <references count="2">
          <reference field="4294967294" count="1" selected="0">
            <x v="0"/>
          </reference>
          <reference field="0" count="1" selected="0">
            <x v="12"/>
          </reference>
        </references>
      </pivotArea>
    </chartFormat>
    <chartFormat chart="0" format="28">
      <pivotArea type="data" outline="0" fieldPosition="0">
        <references count="2">
          <reference field="4294967294" count="1" selected="0">
            <x v="0"/>
          </reference>
          <reference field="0" count="1" selected="0">
            <x v="13"/>
          </reference>
        </references>
      </pivotArea>
    </chartFormat>
    <chartFormat chart="0" format="29">
      <pivotArea type="data" outline="0" fieldPosition="0">
        <references count="2">
          <reference field="4294967294" count="1" selected="0">
            <x v="0"/>
          </reference>
          <reference field="0" count="1" selected="0">
            <x v="14"/>
          </reference>
        </references>
      </pivotArea>
    </chartFormat>
    <chartFormat chart="0" format="30">
      <pivotArea type="data" outline="0" fieldPosition="0">
        <references count="2">
          <reference field="4294967294" count="1" selected="0">
            <x v="0"/>
          </reference>
          <reference field="0" count="1" selected="0">
            <x v="15"/>
          </reference>
        </references>
      </pivotArea>
    </chartFormat>
    <chartFormat chart="0" format="31">
      <pivotArea type="data" outline="0" fieldPosition="0">
        <references count="2">
          <reference field="4294967294" count="1" selected="0">
            <x v="0"/>
          </reference>
          <reference field="0" count="1" selected="0">
            <x v="16"/>
          </reference>
        </references>
      </pivotArea>
    </chartFormat>
    <chartFormat chart="0" format="32">
      <pivotArea type="data" outline="0" fieldPosition="0">
        <references count="2">
          <reference field="4294967294" count="1" selected="0">
            <x v="0"/>
          </reference>
          <reference field="0" count="1" selected="0">
            <x v="17"/>
          </reference>
        </references>
      </pivotArea>
    </chartFormat>
    <chartFormat chart="0" format="33">
      <pivotArea type="data" outline="0" fieldPosition="0">
        <references count="2">
          <reference field="4294967294" count="1" selected="0">
            <x v="0"/>
          </reference>
          <reference field="0" count="1" selected="0">
            <x v="18"/>
          </reference>
        </references>
      </pivotArea>
    </chartFormat>
    <chartFormat chart="0" format="34">
      <pivotArea type="data" outline="0" fieldPosition="0">
        <references count="2">
          <reference field="4294967294" count="1" selected="0">
            <x v="0"/>
          </reference>
          <reference field="0" count="1" selected="0">
            <x v="19"/>
          </reference>
        </references>
      </pivotArea>
    </chartFormat>
    <chartFormat chart="0" format="35">
      <pivotArea type="data" outline="0" fieldPosition="0">
        <references count="2">
          <reference field="4294967294" count="1" selected="0">
            <x v="0"/>
          </reference>
          <reference field="0" count="1" selected="0">
            <x v="20"/>
          </reference>
        </references>
      </pivotArea>
    </chartFormat>
    <chartFormat chart="0" format="36">
      <pivotArea type="data" outline="0" fieldPosition="0">
        <references count="2">
          <reference field="4294967294" count="1" selected="0">
            <x v="0"/>
          </reference>
          <reference field="0" count="1" selected="0">
            <x v="21"/>
          </reference>
        </references>
      </pivotArea>
    </chartFormat>
    <chartFormat chart="0" format="37">
      <pivotArea type="data" outline="0" fieldPosition="0">
        <references count="2">
          <reference field="4294967294" count="1" selected="0">
            <x v="0"/>
          </reference>
          <reference field="0" count="1" selected="0">
            <x v="22"/>
          </reference>
        </references>
      </pivotArea>
    </chartFormat>
    <chartFormat chart="0" format="38">
      <pivotArea type="data" outline="0" fieldPosition="0">
        <references count="2">
          <reference field="4294967294" count="1" selected="0">
            <x v="0"/>
          </reference>
          <reference field="0" count="1" selected="0">
            <x v="23"/>
          </reference>
        </references>
      </pivotArea>
    </chartFormat>
    <chartFormat chart="0" format="39">
      <pivotArea type="data" outline="0" fieldPosition="0">
        <references count="2">
          <reference field="4294967294" count="1" selected="0">
            <x v="0"/>
          </reference>
          <reference field="0" count="1" selected="0">
            <x v="24"/>
          </reference>
        </references>
      </pivotArea>
    </chartFormat>
    <chartFormat chart="0" format="40">
      <pivotArea type="data" outline="0" fieldPosition="0">
        <references count="2">
          <reference field="4294967294" count="1" selected="0">
            <x v="0"/>
          </reference>
          <reference field="0" count="1" selected="0">
            <x v="25"/>
          </reference>
        </references>
      </pivotArea>
    </chartFormat>
    <chartFormat chart="0" format="41">
      <pivotArea type="data" outline="0" fieldPosition="0">
        <references count="2">
          <reference field="4294967294" count="1" selected="0">
            <x v="0"/>
          </reference>
          <reference field="0" count="1" selected="0">
            <x v="26"/>
          </reference>
        </references>
      </pivotArea>
    </chartFormat>
    <chartFormat chart="0" format="42">
      <pivotArea type="data" outline="0" fieldPosition="0">
        <references count="2">
          <reference field="4294967294" count="1" selected="0">
            <x v="0"/>
          </reference>
          <reference field="0" count="1" selected="0">
            <x v="27"/>
          </reference>
        </references>
      </pivotArea>
    </chartFormat>
    <chartFormat chart="0" format="43">
      <pivotArea type="data" outline="0" fieldPosition="0">
        <references count="2">
          <reference field="4294967294" count="1" selected="0">
            <x v="0"/>
          </reference>
          <reference field="0" count="1" selected="0">
            <x v="29"/>
          </reference>
        </references>
      </pivotArea>
    </chartFormat>
    <chartFormat chart="0" format="44">
      <pivotArea type="data" outline="0" fieldPosition="0">
        <references count="2">
          <reference field="4294967294" count="1" selected="0">
            <x v="0"/>
          </reference>
          <reference field="0" count="1" selected="0">
            <x v="31"/>
          </reference>
        </references>
      </pivotArea>
    </chartFormat>
    <chartFormat chart="0" format="45">
      <pivotArea type="data" outline="0" fieldPosition="0">
        <references count="2">
          <reference field="4294967294" count="1" selected="0">
            <x v="0"/>
          </reference>
          <reference field="0" count="1" selected="0">
            <x v="32"/>
          </reference>
        </references>
      </pivotArea>
    </chartFormat>
    <chartFormat chart="0" format="46">
      <pivotArea type="data" outline="0" fieldPosition="0">
        <references count="2">
          <reference field="4294967294" count="1" selected="0">
            <x v="0"/>
          </reference>
          <reference field="0" count="1" selected="0">
            <x v="33"/>
          </reference>
        </references>
      </pivotArea>
    </chartFormat>
    <chartFormat chart="0" format="47">
      <pivotArea type="data" outline="0" fieldPosition="0">
        <references count="2">
          <reference field="4294967294" count="1" selected="0">
            <x v="0"/>
          </reference>
          <reference field="0" count="1" selected="0">
            <x v="34"/>
          </reference>
        </references>
      </pivotArea>
    </chartFormat>
    <chartFormat chart="0" format="48">
      <pivotArea type="data" outline="0" fieldPosition="0">
        <references count="2">
          <reference field="4294967294" count="1" selected="0">
            <x v="0"/>
          </reference>
          <reference field="0" count="1" selected="0">
            <x v="35"/>
          </reference>
        </references>
      </pivotArea>
    </chartFormat>
    <chartFormat chart="0" format="49">
      <pivotArea type="data" outline="0" fieldPosition="0">
        <references count="2">
          <reference field="4294967294" count="1" selected="0">
            <x v="0"/>
          </reference>
          <reference field="0" count="1" selected="0">
            <x v="36"/>
          </reference>
        </references>
      </pivotArea>
    </chartFormat>
    <chartFormat chart="0" format="50">
      <pivotArea type="data" outline="0" fieldPosition="0">
        <references count="2">
          <reference field="4294967294" count="1" selected="0">
            <x v="0"/>
          </reference>
          <reference field="0" count="1" selected="0">
            <x v="37"/>
          </reference>
        </references>
      </pivotArea>
    </chartFormat>
    <chartFormat chart="0" format="51">
      <pivotArea type="data" outline="0" fieldPosition="0">
        <references count="2">
          <reference field="4294967294" count="1" selected="0">
            <x v="0"/>
          </reference>
          <reference field="0" count="1" selected="0">
            <x v="38"/>
          </reference>
        </references>
      </pivotArea>
    </chartFormat>
    <chartFormat chart="0" format="52">
      <pivotArea type="data" outline="0" fieldPosition="0">
        <references count="2">
          <reference field="4294967294" count="1" selected="0">
            <x v="0"/>
          </reference>
          <reference field="0" count="1" selected="0">
            <x v="41"/>
          </reference>
        </references>
      </pivotArea>
    </chartFormat>
    <chartFormat chart="0" format="53">
      <pivotArea type="data" outline="0" fieldPosition="0">
        <references count="2">
          <reference field="4294967294" count="1" selected="0">
            <x v="0"/>
          </reference>
          <reference field="0" count="1" selected="0">
            <x v="42"/>
          </reference>
        </references>
      </pivotArea>
    </chartFormat>
    <chartFormat chart="0" format="54">
      <pivotArea type="data" outline="0" fieldPosition="0">
        <references count="2">
          <reference field="4294967294" count="1" selected="0">
            <x v="0"/>
          </reference>
          <reference field="0" count="1" selected="0">
            <x v="44"/>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Table2].[Last Updated (Month)].&amp;[Apr]"/>
        <member name="[Table2].[Last Updated (Month)].&amp;[Feb]"/>
        <member name="[Table2].[Last Updated (Month)].&amp;[Jan]"/>
        <member name="[Table2].[Last Updated (Month)].&amp;[Nov]"/>
        <member name="[Table2].[Last Updated (Month)].&amp;[Sep]"/>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old"/>
    <pivotHierarchy dragToData="1" caption="Average of Sol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FB8140-7B0A-4307-BC73-056C0B16D6F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ountry">
  <location ref="A3:B5" firstHeaderRow="1" firstDataRow="1" firstDataCol="1"/>
  <pivotFields count="11">
    <pivotField showAll="0"/>
    <pivotField showAll="0"/>
    <pivotField dataField="1" numFmtId="170" showAll="0">
      <items count="602">
        <item x="390"/>
        <item x="358"/>
        <item x="229"/>
        <item x="179"/>
        <item x="145"/>
        <item x="231"/>
        <item x="563"/>
        <item x="233"/>
        <item x="556"/>
        <item x="433"/>
        <item x="10"/>
        <item x="259"/>
        <item x="346"/>
        <item x="434"/>
        <item x="354"/>
        <item x="559"/>
        <item x="566"/>
        <item x="20"/>
        <item x="382"/>
        <item x="187"/>
        <item x="373"/>
        <item x="593"/>
        <item x="199"/>
        <item x="52"/>
        <item x="218"/>
        <item x="134"/>
        <item x="78"/>
        <item x="393"/>
        <item x="437"/>
        <item x="432"/>
        <item x="107"/>
        <item x="144"/>
        <item x="119"/>
        <item x="392"/>
        <item x="587"/>
        <item x="43"/>
        <item x="51"/>
        <item x="77"/>
        <item x="180"/>
        <item x="265"/>
        <item x="97"/>
        <item x="397"/>
        <item x="146"/>
        <item x="539"/>
        <item x="53"/>
        <item x="105"/>
        <item x="104"/>
        <item x="303"/>
        <item x="592"/>
        <item x="58"/>
        <item x="430"/>
        <item x="37"/>
        <item x="517"/>
        <item x="280"/>
        <item x="504"/>
        <item x="109"/>
        <item x="69"/>
        <item x="232"/>
        <item x="155"/>
        <item x="319"/>
        <item x="557"/>
        <item x="248"/>
        <item x="529"/>
        <item x="8"/>
        <item x="60"/>
        <item x="455"/>
        <item x="308"/>
        <item x="234"/>
        <item x="200"/>
        <item x="212"/>
        <item x="315"/>
        <item x="11"/>
        <item x="67"/>
        <item x="577"/>
        <item x="285"/>
        <item x="170"/>
        <item x="375"/>
        <item x="547"/>
        <item x="120"/>
        <item x="367"/>
        <item x="370"/>
        <item x="532"/>
        <item x="238"/>
        <item x="169"/>
        <item x="41"/>
        <item x="486"/>
        <item x="2"/>
        <item x="102"/>
        <item x="394"/>
        <item x="137"/>
        <item x="147"/>
        <item x="56"/>
        <item x="526"/>
        <item x="469"/>
        <item x="281"/>
        <item x="470"/>
        <item x="151"/>
        <item x="13"/>
        <item x="403"/>
        <item x="74"/>
        <item x="57"/>
        <item x="101"/>
        <item x="171"/>
        <item x="586"/>
        <item x="210"/>
        <item x="198"/>
        <item x="299"/>
        <item x="267"/>
        <item x="39"/>
        <item x="188"/>
        <item x="411"/>
        <item x="203"/>
        <item x="513"/>
        <item x="409"/>
        <item x="100"/>
        <item x="192"/>
        <item x="15"/>
        <item x="441"/>
        <item x="541"/>
        <item x="335"/>
        <item x="214"/>
        <item x="542"/>
        <item x="4"/>
        <item x="578"/>
        <item x="191"/>
        <item x="25"/>
        <item x="32"/>
        <item x="567"/>
        <item x="252"/>
        <item x="497"/>
        <item x="554"/>
        <item x="314"/>
        <item x="471"/>
        <item x="230"/>
        <item x="103"/>
        <item x="92"/>
        <item x="126"/>
        <item x="59"/>
        <item x="459"/>
        <item x="537"/>
        <item x="562"/>
        <item x="519"/>
        <item x="418"/>
        <item x="220"/>
        <item x="6"/>
        <item x="338"/>
        <item x="464"/>
        <item x="194"/>
        <item x="466"/>
        <item x="461"/>
        <item x="484"/>
        <item x="261"/>
        <item x="564"/>
        <item x="413"/>
        <item x="71"/>
        <item x="80"/>
        <item x="535"/>
        <item x="496"/>
        <item x="287"/>
        <item x="350"/>
        <item x="263"/>
        <item x="379"/>
        <item x="118"/>
        <item x="247"/>
        <item x="389"/>
        <item x="600"/>
        <item x="499"/>
        <item x="584"/>
        <item x="54"/>
        <item x="283"/>
        <item x="244"/>
        <item x="387"/>
        <item x="236"/>
        <item x="317"/>
        <item x="451"/>
        <item x="40"/>
        <item x="18"/>
        <item x="321"/>
        <item x="598"/>
        <item x="518"/>
        <item x="90"/>
        <item x="446"/>
        <item x="302"/>
        <item x="456"/>
        <item x="493"/>
        <item x="395"/>
        <item x="85"/>
        <item x="558"/>
        <item x="88"/>
        <item x="424"/>
        <item x="536"/>
        <item x="208"/>
        <item x="61"/>
        <item x="72"/>
        <item x="38"/>
        <item x="544"/>
        <item x="159"/>
        <item x="478"/>
        <item x="465"/>
        <item x="371"/>
        <item x="141"/>
        <item x="482"/>
        <item x="209"/>
        <item x="590"/>
        <item x="211"/>
        <item x="143"/>
        <item x="585"/>
        <item x="217"/>
        <item x="128"/>
        <item x="158"/>
        <item x="215"/>
        <item x="271"/>
        <item x="276"/>
        <item x="467"/>
        <item x="222"/>
        <item x="284"/>
        <item x="135"/>
        <item x="572"/>
        <item x="138"/>
        <item x="272"/>
        <item x="1"/>
        <item x="322"/>
        <item x="507"/>
        <item x="174"/>
        <item x="213"/>
        <item x="480"/>
        <item x="122"/>
        <item x="163"/>
        <item x="416"/>
        <item x="313"/>
        <item x="509"/>
        <item x="408"/>
        <item x="70"/>
        <item x="475"/>
        <item x="274"/>
        <item x="130"/>
        <item x="583"/>
        <item x="28"/>
        <item x="33"/>
        <item x="323"/>
        <item x="443"/>
        <item x="256"/>
        <item x="462"/>
        <item x="472"/>
        <item x="268"/>
        <item x="123"/>
        <item x="327"/>
        <item x="402"/>
        <item x="347"/>
        <item x="595"/>
        <item x="29"/>
        <item x="34"/>
        <item x="48"/>
        <item x="400"/>
        <item x="349"/>
        <item x="348"/>
        <item x="240"/>
        <item x="149"/>
        <item x="81"/>
        <item x="243"/>
        <item x="182"/>
        <item x="568"/>
        <item x="476"/>
        <item x="110"/>
        <item x="94"/>
        <item x="366"/>
        <item x="79"/>
        <item x="422"/>
        <item x="83"/>
        <item x="62"/>
        <item x="360"/>
        <item x="136"/>
        <item x="150"/>
        <item x="266"/>
        <item x="487"/>
        <item x="309"/>
        <item x="116"/>
        <item x="336"/>
        <item x="190"/>
        <item x="368"/>
        <item x="329"/>
        <item x="173"/>
        <item x="294"/>
        <item x="219"/>
        <item x="460"/>
        <item x="162"/>
        <item x="534"/>
        <item x="582"/>
        <item x="548"/>
        <item x="474"/>
        <item x="391"/>
        <item x="3"/>
        <item x="439"/>
        <item x="113"/>
        <item x="286"/>
        <item x="576"/>
        <item x="457"/>
        <item x="65"/>
        <item x="440"/>
        <item x="372"/>
        <item x="423"/>
        <item x="362"/>
        <item x="490"/>
        <item x="304"/>
        <item x="523"/>
        <item x="530"/>
        <item x="115"/>
        <item x="311"/>
        <item x="204"/>
        <item x="250"/>
        <item x="560"/>
        <item x="357"/>
        <item x="463"/>
        <item x="168"/>
        <item x="227"/>
        <item x="316"/>
        <item x="44"/>
        <item x="552"/>
        <item x="340"/>
        <item x="549"/>
        <item x="253"/>
        <item x="300"/>
        <item x="545"/>
        <item x="96"/>
        <item x="579"/>
        <item x="550"/>
        <item x="184"/>
        <item x="270"/>
        <item x="334"/>
        <item x="553"/>
        <item x="14"/>
        <item x="7"/>
        <item x="291"/>
        <item x="242"/>
        <item x="527"/>
        <item x="491"/>
        <item x="569"/>
        <item x="42"/>
        <item x="112"/>
        <item x="522"/>
        <item x="193"/>
        <item x="154"/>
        <item x="352"/>
        <item x="164"/>
        <item x="377"/>
        <item x="22"/>
        <item x="186"/>
        <item x="26"/>
        <item x="596"/>
        <item x="172"/>
        <item x="132"/>
        <item x="73"/>
        <item x="450"/>
        <item x="165"/>
        <item x="142"/>
        <item x="46"/>
        <item x="239"/>
        <item x="399"/>
        <item x="380"/>
        <item x="50"/>
        <item x="98"/>
        <item x="533"/>
        <item x="324"/>
        <item x="447"/>
        <item x="307"/>
        <item x="93"/>
        <item x="331"/>
        <item x="328"/>
        <item x="398"/>
        <item x="175"/>
        <item x="205"/>
        <item x="275"/>
        <item x="351"/>
        <item x="488"/>
        <item x="438"/>
        <item x="589"/>
        <item x="237"/>
        <item x="55"/>
        <item x="581"/>
        <item x="406"/>
        <item x="124"/>
        <item x="575"/>
        <item x="189"/>
        <item x="269"/>
        <item x="76"/>
        <item x="183"/>
        <item x="344"/>
        <item x="599"/>
        <item x="68"/>
        <item x="226"/>
        <item x="312"/>
        <item x="337"/>
        <item x="17"/>
        <item x="381"/>
        <item x="489"/>
        <item x="495"/>
        <item x="555"/>
        <item x="365"/>
        <item x="5"/>
        <item x="156"/>
        <item x="140"/>
        <item x="543"/>
        <item x="260"/>
        <item x="498"/>
        <item x="301"/>
        <item x="512"/>
        <item x="405"/>
        <item x="452"/>
        <item x="166"/>
        <item x="255"/>
        <item x="225"/>
        <item x="345"/>
        <item x="114"/>
        <item x="415"/>
        <item x="503"/>
        <item x="502"/>
        <item x="0"/>
        <item x="181"/>
        <item x="511"/>
        <item x="481"/>
        <item x="277"/>
        <item x="288"/>
        <item x="86"/>
        <item x="131"/>
        <item x="91"/>
        <item x="442"/>
        <item x="516"/>
        <item x="221"/>
        <item x="341"/>
        <item x="407"/>
        <item x="196"/>
        <item x="152"/>
        <item x="235"/>
        <item x="525"/>
        <item x="501"/>
        <item x="561"/>
        <item x="160"/>
        <item x="444"/>
        <item x="254"/>
        <item x="282"/>
        <item x="339"/>
        <item x="320"/>
        <item x="546"/>
        <item x="228"/>
        <item x="161"/>
        <item x="185"/>
        <item x="49"/>
        <item x="129"/>
        <item x="19"/>
        <item x="99"/>
        <item x="305"/>
        <item x="494"/>
        <item x="571"/>
        <item x="445"/>
        <item x="540"/>
        <item x="95"/>
        <item x="510"/>
        <item x="355"/>
        <item x="573"/>
        <item x="290"/>
        <item x="492"/>
        <item x="47"/>
        <item x="374"/>
        <item x="325"/>
        <item x="531"/>
        <item x="133"/>
        <item x="468"/>
        <item x="249"/>
        <item x="388"/>
        <item x="84"/>
        <item x="262"/>
        <item x="12"/>
        <item x="23"/>
        <item x="383"/>
        <item x="477"/>
        <item x="473"/>
        <item x="386"/>
        <item x="293"/>
        <item x="384"/>
        <item x="223"/>
        <item x="195"/>
        <item x="332"/>
        <item x="117"/>
        <item x="45"/>
        <item x="364"/>
        <item x="449"/>
        <item x="551"/>
        <item x="528"/>
        <item x="591"/>
        <item x="515"/>
        <item x="326"/>
        <item x="588"/>
        <item x="520"/>
        <item x="524"/>
        <item x="435"/>
        <item x="570"/>
        <item x="353"/>
        <item x="258"/>
        <item x="414"/>
        <item x="148"/>
        <item x="565"/>
        <item x="177"/>
        <item x="24"/>
        <item x="359"/>
        <item x="63"/>
        <item x="448"/>
        <item x="245"/>
        <item x="289"/>
        <item x="426"/>
        <item x="417"/>
        <item x="279"/>
        <item x="202"/>
        <item x="207"/>
        <item x="35"/>
        <item x="420"/>
        <item x="297"/>
        <item x="396"/>
        <item x="404"/>
        <item x="310"/>
        <item x="428"/>
        <item x="421"/>
        <item x="369"/>
        <item x="453"/>
        <item x="125"/>
        <item x="505"/>
        <item x="246"/>
        <item x="75"/>
        <item x="66"/>
        <item x="429"/>
        <item x="506"/>
        <item x="21"/>
        <item x="376"/>
        <item x="153"/>
        <item x="458"/>
        <item x="427"/>
        <item x="330"/>
        <item x="318"/>
        <item x="378"/>
        <item x="356"/>
        <item x="87"/>
        <item x="106"/>
        <item x="574"/>
        <item x="431"/>
        <item x="264"/>
        <item x="306"/>
        <item x="278"/>
        <item x="167"/>
        <item x="139"/>
        <item x="16"/>
        <item x="298"/>
        <item x="296"/>
        <item x="363"/>
        <item x="479"/>
        <item x="27"/>
        <item x="201"/>
        <item x="333"/>
        <item x="410"/>
        <item x="361"/>
        <item x="251"/>
        <item x="419"/>
        <item x="412"/>
        <item x="292"/>
        <item x="89"/>
        <item x="121"/>
        <item x="157"/>
        <item x="273"/>
        <item x="401"/>
        <item x="436"/>
        <item x="241"/>
        <item x="224"/>
        <item x="36"/>
        <item x="30"/>
        <item x="594"/>
        <item x="521"/>
        <item x="385"/>
        <item x="108"/>
        <item x="64"/>
        <item x="176"/>
        <item x="538"/>
        <item x="127"/>
        <item x="485"/>
        <item x="111"/>
        <item x="342"/>
        <item x="206"/>
        <item x="82"/>
        <item x="257"/>
        <item x="580"/>
        <item x="295"/>
        <item x="197"/>
        <item x="9"/>
        <item x="500"/>
        <item x="178"/>
        <item x="425"/>
        <item x="31"/>
        <item x="454"/>
        <item x="343"/>
        <item x="483"/>
        <item x="514"/>
        <item x="216"/>
        <item x="597"/>
        <item x="508"/>
        <item t="default"/>
      </items>
    </pivotField>
    <pivotField showAll="0"/>
    <pivotField showAll="0"/>
    <pivotField numFmtId="166" showAll="0"/>
    <pivotField showAll="0"/>
    <pivotField numFmtId="14" showAll="0"/>
    <pivotField showAll="0"/>
    <pivotField showAll="0"/>
    <pivotField axis="axisRow" showAll="0">
      <items count="8">
        <item h="1" x="1"/>
        <item h="1" x="3"/>
        <item h="1" x="2"/>
        <item h="1" x="4"/>
        <item x="6"/>
        <item h="1" x="5"/>
        <item h="1" x="0"/>
        <item t="default"/>
      </items>
    </pivotField>
  </pivotFields>
  <rowFields count="1">
    <field x="10"/>
  </rowFields>
  <rowItems count="2">
    <i>
      <x v="4"/>
    </i>
    <i t="grand">
      <x/>
    </i>
  </rowItems>
  <colItems count="1">
    <i/>
  </colItems>
  <dataFields count="1">
    <dataField name="Sum of Price with Currency" fld="2" baseField="0" baseItem="0" numFmtId="17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5B26D7-438E-4D55-9D90-829525CED6F1}" name="PivotTable4"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 rowHeaderCaption="Type of Parfum" colHeaderCaption="Parfum Quality">
  <location ref="A3:C10" firstHeaderRow="1" firstDataRow="2" firstDataCol="1"/>
  <pivotFields count="5">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2">
    <i>
      <x/>
    </i>
    <i t="grand">
      <x/>
    </i>
  </colItems>
  <dataFields count="1">
    <dataField name="Sum of Revenue" fld="2" baseField="0" baseItem="0"/>
  </dataFields>
  <chartFormats count="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2" format="4" series="1">
      <pivotArea type="data" outline="0" fieldPosition="0">
        <references count="2">
          <reference field="4294967294" count="1" selected="0">
            <x v="0"/>
          </reference>
          <reference field="1" count="1" selected="0">
            <x v="1"/>
          </reference>
        </references>
      </pivotArea>
    </chartFormat>
    <chartFormat chart="2" format="5" series="1">
      <pivotArea type="data" outline="0" fieldPosition="0">
        <references count="2">
          <reference field="4294967294" count="1" selected="0">
            <x v="0"/>
          </reference>
          <reference field="1"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5" level="1">
        <member name="[Table2].[Last Updated (Month)].&amp;[Apr]"/>
        <member name="[Table2].[Last Updated (Month)].&amp;[Feb]"/>
        <member name="[Table2].[Last Updated (Month)].&amp;[Jan]"/>
        <member name="[Table2].[Last Updated (Month)].&amp;[Nov]"/>
        <member name="[Table2].[Last Updated (Month)].&amp;[Sep]"/>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9" name="[Table2].[Last Updated]">
      <autoFilter ref="A1">
        <filterColumn colId="0">
          <customFilters and="1">
            <customFilter operator="greaterThanOrEqual" val="45383"/>
            <customFilter operator="lessThanOrEqual" val="45412"/>
          </customFilters>
        </filterColumn>
      </autoFilter>
      <extLst>
        <ext xmlns:x15="http://schemas.microsoft.com/office/spreadsheetml/2010/11/main" uri="{0605FD5F-26C8-4aeb-8148-2DB25E43C511}">
          <x15:pivotFilter useWholeDay="1"/>
        </ext>
      </extLst>
    </filter>
  </filters>
  <rowHierarchiesUsage count="1">
    <rowHierarchyUsage hierarchyUsage="15"/>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815E3F-DADE-4D11-8B79-08C804D8598C}" name="PivotTable7"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rowHeaderCaption="Brand Name" colHeaderCaption="Last updated year">
  <location ref="A4:F55" firstHeaderRow="1" firstDataRow="5" firstDataCol="1" rowPageCount="1" colPageCount="1"/>
  <pivotFields count="7">
    <pivotField axis="axisCol" allDrilled="1" subtotalTop="0" showAll="0" dataSourceSort="1" defaultSubtotal="0" defaultAttributeDrillState="1">
      <items count="9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s>
    </pivotField>
    <pivotField axis="axisCol" allDrilled="1" subtotalTop="0" showAll="0" dataSourceSort="1" defaultSubtotal="0" defaultAttributeDrillState="1">
      <items count="7">
        <item x="0"/>
        <item s="1" x="1"/>
        <item s="1" x="2"/>
        <item s="1" x="3"/>
        <item s="1" x="4"/>
        <item x="5"/>
        <item s="1" x="6"/>
      </items>
    </pivotField>
    <pivotField axis="axisCol" allDrilled="1" subtotalTop="0" showAll="0" sortType="descending" defaultSubtotal="0">
      <items count="3">
        <item x="0" e="0"/>
        <item x="2" e="0"/>
        <item x="1" e="0"/>
      </items>
    </pivotField>
    <pivotField dataField="1" subtotalTop="0" showAll="0" defaultSubtotal="0"/>
    <pivotField axis="axisRow" allDrilled="1" subtotalTop="0" showAll="0" dataSourceSort="1" defaultSubtotal="0" defaultAttributeDrillState="1">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s>
    </pivotField>
    <pivotField name="Last updated year_Revenue_Country" axis="axisPage" allDrilled="1" subtotalTop="0" showAll="0" dataSourceSort="1" defaultSubtotal="0" defaultAttributeDrillState="1"/>
    <pivotField axis="axisCol" allDrilled="1" subtotalTop="0" showAll="0" dataSourceSort="1" defaultSubtotal="0" defaultAttributeDrillState="1">
      <items count="7">
        <item s="1" x="0"/>
        <item s="1" x="1"/>
        <item s="1" x="2"/>
        <item s="1" x="3"/>
        <item s="1" x="4"/>
        <item x="5"/>
        <item x="6"/>
      </items>
    </pivotField>
  </pivotFields>
  <rowFields count="1">
    <field x="4"/>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Fields count="4">
    <field x="6"/>
    <field x="2"/>
    <field x="1"/>
    <field x="0"/>
  </colFields>
  <colItems count="5">
    <i>
      <x/>
      <x/>
    </i>
    <i>
      <x v="1"/>
      <x/>
    </i>
    <i r="1">
      <x v="1"/>
    </i>
    <i r="1">
      <x v="2"/>
    </i>
    <i t="grand">
      <x/>
    </i>
  </colItems>
  <pageFields count="1">
    <pageField fld="5" hier="26" name="[Table2].[Last Updated (Quarter)].[All]" cap="All"/>
  </pageFields>
  <dataFields count="1">
    <dataField name="Sum of Revenue" fld="3" baseField="0" baseItem="0"/>
  </dataFields>
  <chartFormats count="26">
    <chartFormat chart="3" format="0" series="1">
      <pivotArea type="data" outline="0" fieldPosition="0">
        <references count="3">
          <reference field="4294967294" count="1" selected="0">
            <x v="0"/>
          </reference>
          <reference field="2" count="1" selected="0">
            <x v="0"/>
          </reference>
          <reference field="6" count="1" selected="0">
            <x v="2"/>
          </reference>
        </references>
      </pivotArea>
    </chartFormat>
    <chartFormat chart="3" format="1" series="1">
      <pivotArea type="data" outline="0" fieldPosition="0">
        <references count="3">
          <reference field="4294967294" count="1" selected="0">
            <x v="0"/>
          </reference>
          <reference field="2" count="1" selected="0">
            <x v="0"/>
          </reference>
          <reference field="6" count="1" selected="0">
            <x v="5"/>
          </reference>
        </references>
      </pivotArea>
    </chartFormat>
    <chartFormat chart="3" format="2" series="1">
      <pivotArea type="data" outline="0" fieldPosition="0">
        <references count="3">
          <reference field="4294967294" count="1" selected="0">
            <x v="0"/>
          </reference>
          <reference field="2" count="1" selected="0">
            <x v="0"/>
          </reference>
          <reference field="6" count="1" selected="0">
            <x v="0"/>
          </reference>
        </references>
      </pivotArea>
    </chartFormat>
    <chartFormat chart="3" format="3" series="1">
      <pivotArea type="data" outline="0" fieldPosition="0">
        <references count="3">
          <reference field="4294967294" count="1" selected="0">
            <x v="0"/>
          </reference>
          <reference field="2" count="1" selected="0">
            <x v="0"/>
          </reference>
          <reference field="6" count="1" selected="0">
            <x v="6"/>
          </reference>
        </references>
      </pivotArea>
    </chartFormat>
    <chartFormat chart="3" format="4" series="1">
      <pivotArea type="data" outline="0" fieldPosition="0">
        <references count="3">
          <reference field="4294967294" count="1" selected="0">
            <x v="0"/>
          </reference>
          <reference field="2" count="1" selected="0">
            <x v="0"/>
          </reference>
          <reference field="6" count="1" selected="0">
            <x v="3"/>
          </reference>
        </references>
      </pivotArea>
    </chartFormat>
    <chartFormat chart="3" format="5" series="1">
      <pivotArea type="data" outline="0" fieldPosition="0">
        <references count="3">
          <reference field="4294967294" count="1" selected="0">
            <x v="0"/>
          </reference>
          <reference field="2" count="1" selected="0">
            <x v="0"/>
          </reference>
          <reference field="6" count="1" selected="0">
            <x v="4"/>
          </reference>
        </references>
      </pivotArea>
    </chartFormat>
    <chartFormat chart="3" format="6" series="1">
      <pivotArea type="data" outline="0" fieldPosition="0">
        <references count="3">
          <reference field="4294967294" count="1" selected="0">
            <x v="0"/>
          </reference>
          <reference field="2" count="1" selected="0">
            <x v="0"/>
          </reference>
          <reference field="6" count="1" selected="0">
            <x v="1"/>
          </reference>
        </references>
      </pivotArea>
    </chartFormat>
    <chartFormat chart="4" format="0" series="1">
      <pivotArea type="data" outline="0" fieldPosition="0">
        <references count="3">
          <reference field="4294967294" count="1" selected="0">
            <x v="0"/>
          </reference>
          <reference field="2" count="1" selected="0">
            <x v="0"/>
          </reference>
          <reference field="6" count="1" selected="0">
            <x v="2"/>
          </reference>
        </references>
      </pivotArea>
    </chartFormat>
    <chartFormat chart="4" format="1" series="1">
      <pivotArea type="data" outline="0" fieldPosition="0">
        <references count="3">
          <reference field="4294967294" count="1" selected="0">
            <x v="0"/>
          </reference>
          <reference field="2" count="1" selected="0">
            <x v="0"/>
          </reference>
          <reference field="6" count="1" selected="0">
            <x v="5"/>
          </reference>
        </references>
      </pivotArea>
    </chartFormat>
    <chartFormat chart="4" format="2" series="1">
      <pivotArea type="data" outline="0" fieldPosition="0">
        <references count="3">
          <reference field="4294967294" count="1" selected="0">
            <x v="0"/>
          </reference>
          <reference field="2" count="1" selected="0">
            <x v="0"/>
          </reference>
          <reference field="6" count="1" selected="0">
            <x v="0"/>
          </reference>
        </references>
      </pivotArea>
    </chartFormat>
    <chartFormat chart="4" format="3" series="1">
      <pivotArea type="data" outline="0" fieldPosition="0">
        <references count="3">
          <reference field="4294967294" count="1" selected="0">
            <x v="0"/>
          </reference>
          <reference field="2" count="1" selected="0">
            <x v="0"/>
          </reference>
          <reference field="6" count="1" selected="0">
            <x v="6"/>
          </reference>
        </references>
      </pivotArea>
    </chartFormat>
    <chartFormat chart="4" format="4" series="1">
      <pivotArea type="data" outline="0" fieldPosition="0">
        <references count="3">
          <reference field="4294967294" count="1" selected="0">
            <x v="0"/>
          </reference>
          <reference field="2" count="1" selected="0">
            <x v="0"/>
          </reference>
          <reference field="6" count="1" selected="0">
            <x v="3"/>
          </reference>
        </references>
      </pivotArea>
    </chartFormat>
    <chartFormat chart="4" format="5" series="1">
      <pivotArea type="data" outline="0" fieldPosition="0">
        <references count="3">
          <reference field="4294967294" count="1" selected="0">
            <x v="0"/>
          </reference>
          <reference field="2" count="1" selected="0">
            <x v="0"/>
          </reference>
          <reference field="6" count="1" selected="0">
            <x v="4"/>
          </reference>
        </references>
      </pivotArea>
    </chartFormat>
    <chartFormat chart="4" format="6" series="1">
      <pivotArea type="data" outline="0" fieldPosition="0">
        <references count="3">
          <reference field="4294967294" count="1" selected="0">
            <x v="0"/>
          </reference>
          <reference field="2" count="1" selected="0">
            <x v="0"/>
          </reference>
          <reference field="6" count="1" selected="0">
            <x v="1"/>
          </reference>
        </references>
      </pivotArea>
    </chartFormat>
    <chartFormat chart="4" format="7" series="1">
      <pivotArea type="data" outline="0" fieldPosition="0">
        <references count="3">
          <reference field="4294967294" count="1" selected="0">
            <x v="0"/>
          </reference>
          <reference field="2" count="1" selected="0">
            <x v="1"/>
          </reference>
          <reference field="6" count="1" selected="0">
            <x v="1"/>
          </reference>
        </references>
      </pivotArea>
    </chartFormat>
    <chartFormat chart="4" format="8" series="1">
      <pivotArea type="data" outline="0" fieldPosition="0">
        <references count="3">
          <reference field="4294967294" count="1" selected="0">
            <x v="0"/>
          </reference>
          <reference field="2" count="1" selected="0">
            <x v="2"/>
          </reference>
          <reference field="6" count="1" selected="0">
            <x v="1"/>
          </reference>
        </references>
      </pivotArea>
    </chartFormat>
    <chartFormat chart="3" format="7" series="1">
      <pivotArea type="data" outline="0" fieldPosition="0">
        <references count="3">
          <reference field="4294967294" count="1" selected="0">
            <x v="0"/>
          </reference>
          <reference field="2" count="1" selected="0">
            <x v="1"/>
          </reference>
          <reference field="6" count="1" selected="0">
            <x v="1"/>
          </reference>
        </references>
      </pivotArea>
    </chartFormat>
    <chartFormat chart="3" format="8" series="1">
      <pivotArea type="data" outline="0" fieldPosition="0">
        <references count="3">
          <reference field="4294967294" count="1" selected="0">
            <x v="0"/>
          </reference>
          <reference field="2" count="1" selected="0">
            <x v="2"/>
          </reference>
          <reference field="6" count="1" selected="0">
            <x v="1"/>
          </reference>
        </references>
      </pivotArea>
    </chartFormat>
    <chartFormat chart="15" format="9" series="1">
      <pivotArea type="data" outline="0" fieldPosition="0">
        <references count="3">
          <reference field="4294967294" count="1" selected="0">
            <x v="0"/>
          </reference>
          <reference field="2" count="1" selected="0">
            <x v="1"/>
          </reference>
          <reference field="6" count="1" selected="0">
            <x v="1"/>
          </reference>
        </references>
      </pivotArea>
    </chartFormat>
    <chartFormat chart="15" format="10" series="1">
      <pivotArea type="data" outline="0" fieldPosition="0">
        <references count="3">
          <reference field="4294967294" count="1" selected="0">
            <x v="0"/>
          </reference>
          <reference field="2" count="1" selected="0">
            <x v="2"/>
          </reference>
          <reference field="6" count="1" selected="0">
            <x v="1"/>
          </reference>
        </references>
      </pivotArea>
    </chartFormat>
    <chartFormat chart="15" format="11" series="1">
      <pivotArea type="data" outline="0" fieldPosition="0">
        <references count="3">
          <reference field="4294967294" count="1" selected="0">
            <x v="0"/>
          </reference>
          <reference field="2" count="1" selected="0">
            <x v="0"/>
          </reference>
          <reference field="6" count="1" selected="0">
            <x v="0"/>
          </reference>
        </references>
      </pivotArea>
    </chartFormat>
    <chartFormat chart="15" format="12" series="1">
      <pivotArea type="data" outline="0" fieldPosition="0">
        <references count="3">
          <reference field="4294967294" count="1" selected="0">
            <x v="0"/>
          </reference>
          <reference field="2" count="1" selected="0">
            <x v="0"/>
          </reference>
          <reference field="6" count="1" selected="0">
            <x v="1"/>
          </reference>
        </references>
      </pivotArea>
    </chartFormat>
    <chartFormat chart="16" format="13" series="1">
      <pivotArea type="data" outline="0" fieldPosition="0">
        <references count="3">
          <reference field="4294967294" count="1" selected="0">
            <x v="0"/>
          </reference>
          <reference field="2" count="1" selected="0">
            <x v="1"/>
          </reference>
          <reference field="6" count="1" selected="0">
            <x v="1"/>
          </reference>
        </references>
      </pivotArea>
    </chartFormat>
    <chartFormat chart="16" format="14" series="1">
      <pivotArea type="data" outline="0" fieldPosition="0">
        <references count="3">
          <reference field="4294967294" count="1" selected="0">
            <x v="0"/>
          </reference>
          <reference field="2" count="1" selected="0">
            <x v="2"/>
          </reference>
          <reference field="6" count="1" selected="0">
            <x v="1"/>
          </reference>
        </references>
      </pivotArea>
    </chartFormat>
    <chartFormat chart="16" format="15" series="1">
      <pivotArea type="data" outline="0" fieldPosition="0">
        <references count="3">
          <reference field="4294967294" count="1" selected="0">
            <x v="0"/>
          </reference>
          <reference field="2" count="1" selected="0">
            <x v="0"/>
          </reference>
          <reference field="6" count="1" selected="0">
            <x v="0"/>
          </reference>
        </references>
      </pivotArea>
    </chartFormat>
    <chartFormat chart="16" format="16" series="1">
      <pivotArea type="data" outline="0" fieldPosition="0">
        <references count="3">
          <reference field="4294967294" count="1" selected="0">
            <x v="0"/>
          </reference>
          <reference field="2" count="1" selected="0">
            <x v="0"/>
          </reference>
          <reference field="6"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4">
    <colHierarchyUsage hierarchyUsage="24"/>
    <colHierarchyUsage hierarchyUsage="25"/>
    <colHierarchyUsage hierarchyUsage="27"/>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959421-66EA-41D3-BF3E-7C39C376DAA0}" name="PivotTable8"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rowHeaderCaption="Country">
  <location ref="A3:B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Available Stock" fld="0"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Table2].[Last Updated (Month)].&amp;[Apr]"/>
        <member name="[Table2].[Last Updated (Month)].&amp;[Feb]"/>
        <member name="[Table2].[Last Updated (Month)].&amp;[Jan]"/>
        <member name="[Table2].[Last Updated (Month)].&amp;[Nov]"/>
        <member name="[Table2].[Last Updated (Month)].&amp;[Sep]"/>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EFEC7C-EDD4-497D-BE2D-9BAF281CB9C6}" name="PivotTable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Month">
  <location ref="A3:B9" firstHeaderRow="1" firstDataRow="1" firstDataCol="1"/>
  <pivotFields count="2">
    <pivotField axis="axisRow" allDrilled="1" subtotalTop="0" showAll="0" dataSourceSort="1" defaultSubtotal="0" defaultAttributeDrillState="1">
      <items count="5">
        <item s="1" x="0"/>
        <item s="1" x="1"/>
        <item s="1" x="2"/>
        <item s="1" x="3"/>
        <item s="1" x="4"/>
      </items>
    </pivotField>
    <pivotField dataField="1" subtotalTop="0" showAll="0" defaultSubtotal="0"/>
  </pivotFields>
  <rowFields count="1">
    <field x="0"/>
  </rowFields>
  <rowItems count="6">
    <i>
      <x/>
    </i>
    <i>
      <x v="1"/>
    </i>
    <i>
      <x v="2"/>
    </i>
    <i>
      <x v="3"/>
    </i>
    <i>
      <x v="4"/>
    </i>
    <i t="grand">
      <x/>
    </i>
  </rowItems>
  <colItems count="1">
    <i/>
  </colItems>
  <dataFields count="1">
    <dataField name="Average of Revenue" fld="1" subtotal="average"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Revenue"/>
    <pivotHierarchy dragToData="1" caption="Average of Revenue"/>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52FDE41D-0D1D-4A92-A2DF-0A5DDCBF090B}" autoFormatId="16" applyNumberFormats="0" applyBorderFormats="0" applyFontFormats="0" applyPatternFormats="0" applyAlignmentFormats="0" applyWidthHeightFormats="0">
  <queryTableRefresh nextId="16">
    <queryTableFields count="13">
      <queryTableField id="1" name=" Brand Name" tableColumnId="1"/>
      <queryTableField id="2" name="Type" tableColumnId="2"/>
      <queryTableField id="3" name="Price with Currency" tableColumnId="3"/>
      <queryTableField id="4" name="Available Stock" tableColumnId="4"/>
      <queryTableField id="5" name="Sold" tableColumnId="5"/>
      <queryTableField id="6" name="Parfum Quality" tableColumnId="6"/>
      <queryTableField id="7" name="Last Updated.1" tableColumnId="7"/>
      <queryTableField id="8" name="Last Updated.2" tableColumnId="8"/>
      <queryTableField id="9" name="Last Updated.3" tableColumnId="9"/>
      <queryTableField id="10" name="Last Updated.4" tableColumnId="10"/>
      <queryTableField id="12" name="Item Location" tableColumnId="12"/>
      <queryTableField id="13" name="City" tableColumnId="13"/>
      <queryTableField id="14" name="Country" tableColumnId="14"/>
    </queryTableFields>
    <queryTableDeletedFields count="1">
      <deletedField name="Last Updated.5"/>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Name" xr10:uid="{2496D7FA-68A0-4929-BF70-4AE2D277195F}" sourceName="[Table2].[Brand Name]">
  <pivotTables>
    <pivotTable tabId="14" name="PivotTable1"/>
  </pivotTables>
  <data>
    <olap pivotCacheId="1433030362">
      <levels count="2">
        <level uniqueName="[Table2].[Brand Name].[(All)]" sourceCaption="(All)" count="0"/>
        <level uniqueName="[Table2].[Brand Name].[Brand Name]" sourceCaption="Brand Name" count="227">
          <ranges>
            <range startItem="0">
              <i n="[Table2].[Brand Name].&amp;[Abercrombie &amp; Fitch]" c="Abercrombie &amp; Fitch"/>
              <i n="[Table2].[Brand Name].&amp;[Al Wataniah]" c="Al Wataniah"/>
              <i n="[Table2].[Brand Name].&amp;[Armaf]" c="Armaf"/>
              <i n="[Table2].[Brand Name].&amp;[As Picture Show]" c="As Picture Show"/>
              <i n="[Table2].[Brand Name].&amp;[As Shown]" c="As Shown"/>
              <i n="[Table2].[Brand Name].&amp;[Avon]" c="Avon"/>
              <i n="[Table2].[Brand Name].&amp;[Bath &amp; BodUnknown Works]" c="Bath &amp; BodUnknown Works"/>
              <i n="[Table2].[Brand Name].&amp;[BUnknown Al Hambra]" c="BUnknown Al Hambra"/>
              <i n="[Table2].[Brand Name].&amp;[Calvin Klein]" c="Calvin Klein"/>
              <i n="[Table2].[Brand Name].&amp;[Carolina Herrera]" c="Carolina Herrera"/>
              <i n="[Table2].[Brand Name].&amp;[Chanel]" c="Chanel"/>
              <i n="[Table2].[Brand Name].&amp;[Claude Marsal]" c="Claude Marsal"/>
              <i n="[Table2].[Brand Name].&amp;[Creed]" c="Creed"/>
              <i n="[Table2].[Brand Name].&amp;[Dana]" c="Dana"/>
              <i n="[Table2].[Brand Name].&amp;[Diesel]" c="Diesel"/>
              <i n="[Table2].[Brand Name].&amp;[Dior]" c="Dior"/>
              <i n="[Table2].[Brand Name].&amp;[Dolce &amp; Gabbana]" c="Dolce &amp; Gabbana"/>
              <i n="[Table2].[Brand Name].&amp;[Dolce&amp;Gabbana]" c="Dolce&amp;Gabbana"/>
              <i n="[Table2].[Brand Name].&amp;[Dossier]" c="Dossier"/>
              <i n="[Table2].[Brand Name].&amp;[Eau de Cologne]" c="Eau de Cologne"/>
              <i n="[Table2].[Brand Name].&amp;[Ed HardUnknown]" c="Ed HardUnknown"/>
              <i n="[Table2].[Brand Name].&amp;[Estee Lauder]" c="Estee Lauder"/>
              <i n="[Table2].[Brand Name].&amp;[Fc]" c="Fc"/>
              <i n="[Table2].[Brand Name].&amp;[Fragrance Couture]" c="Fragrance Couture"/>
              <i n="[Table2].[Brand Name].&amp;[Giorgio Armani]" c="Giorgio Armani"/>
              <i n="[Table2].[Brand Name].&amp;[Guerlain]" c="Guerlain"/>
              <i n="[Table2].[Brand Name].&amp;[Have A Scent]" c="Have A Scent"/>
              <i n="[Table2].[Brand Name].&amp;[Hermès]" c="Hermès"/>
              <i n="[Table2].[Brand Name].&amp;[Hugo Boss]" c="Hugo Boss"/>
              <i n="[Table2].[Brand Name].&amp;[Jil Sander]" c="Jil Sander"/>
              <i n="[Table2].[Brand Name].&amp;[Lalique]" c="Lalique"/>
              <i n="[Table2].[Brand Name].&amp;[Lapidus]" c="Lapidus"/>
              <i n="[Table2].[Brand Name].&amp;[Louis Vuitton]" c="Louis Vuitton"/>
              <i n="[Table2].[Brand Name].&amp;[Macarena]" c="Macarena"/>
              <i n="[Table2].[Brand Name].&amp;[Maison Martin Margiela]" c="Maison Martin Margiela"/>
              <i n="[Table2].[Brand Name].&amp;[Mancera]" c="Mancera"/>
              <i n="[Table2].[Brand Name].&amp;[Mandarin Duck]" c="Mandarin Duck"/>
              <i n="[Table2].[Brand Name].&amp;[Paco Rabanne]" c="Paco Rabanne"/>
              <i n="[Table2].[Brand Name].&amp;[Polo Ralph Lauren]" c="Polo Ralph Lauren"/>
              <i n="[Table2].[Brand Name].&amp;[Prada]" c="Prada"/>
              <i n="[Table2].[Brand Name].&amp;[Ralph Lauren]" c="Ralph Lauren"/>
              <i n="[Table2].[Brand Name].&amp;[Secertmu]" c="Secertmu"/>
              <i n="[Table2].[Brand Name].&amp;[The Baron]" c="The Baron"/>
              <i n="[Table2].[Brand Name].&amp;[Unbranded]" c="Unbranded"/>
              <i n="[Table2].[Brand Name].&amp;[Unknownsl]" c="Unknownsl"/>
              <i n="[Table2].[Brand Name].&amp;[Unknownves Saint Laurent]" c="Unknownves Saint Laurent"/>
              <i n="[Table2].[Brand Name].&amp;[~ Dolce &amp; Gabbana ~]" c="~ Dolce &amp; Gabbana ~" nd="1"/>
              <i n="[Table2].[Brand Name].&amp;[2Nd To None]" c="2Nd To None" nd="1"/>
              <i n="[Table2].[Brand Name].&amp;[Acqua Di Gio]" c="Acqua Di Gio" nd="1"/>
              <i n="[Table2].[Brand Name].&amp;[Acqua Di Parma]" c="Acqua Di Parma" nd="1"/>
              <i n="[Table2].[Brand Name].&amp;[Adidas]" c="Adidas" nd="1"/>
              <i n="[Table2].[Brand Name].&amp;[Afnan]" c="Afnan" nd="1"/>
              <i n="[Table2].[Brand Name].&amp;[Al Haramain]" c="Al Haramain" nd="1"/>
              <i n="[Table2].[Brand Name].&amp;[Al Rehab]" c="Al Rehab" nd="1"/>
              <i n="[Table2].[Brand Name].&amp;[Aladdin]" c="Aladdin" nd="1"/>
              <i n="[Table2].[Brand Name].&amp;[Alexandria Eau de Parfum]" c="Alexandria Eau de Parfum" nd="1"/>
              <i n="[Table2].[Brand Name].&amp;[Allsaints]" c="Allsaints" nd="1"/>
              <i n="[Table2].[Brand Name].&amp;[Amouage]" c="Amouage" nd="1"/>
              <i n="[Table2].[Brand Name].&amp;[Arabian Oud]" c="Arabian Oud" nd="1"/>
              <i n="[Table2].[Brand Name].&amp;[Aramis]" c="Aramis" nd="1"/>
              <i n="[Table2].[Brand Name].&amp;[Ard Al Zaafaran]" c="Ard Al Zaafaran" nd="1"/>
              <i n="[Table2].[Brand Name].&amp;[As Photos]" c="As Photos" nd="1"/>
              <i n="[Table2].[Brand Name].&amp;[As Picture Shown]" c="As Picture Shown" nd="1"/>
              <i n="[Table2].[Brand Name].&amp;[As Show]" c="As Show" nd="1"/>
              <i n="[Table2].[Brand Name].&amp;[As Showed]" c="As Showed" nd="1"/>
              <i n="[Table2].[Brand Name].&amp;[Axe]" c="Axe" nd="1"/>
              <i n="[Table2].[Brand Name].&amp;[Azzaro]" c="Azzaro" nd="1"/>
              <i n="[Table2].[Brand Name].&amp;[Baron]" c="Baron" nd="1"/>
              <i n="[Table2].[Brand Name].&amp;[BentleUnknown]" c="BentleUnknown" nd="1"/>
              <i n="[Table2].[Brand Name].&amp;[Bharara]" c="Bharara" nd="1"/>
              <i n="[Table2].[Brand Name].&amp;[Blue Perfumes]" c="Blue Perfumes" nd="1"/>
              <i n="[Table2].[Brand Name].&amp;[Bod Man]" c="Bod Man" nd="1"/>
              <i n="[Table2].[Brand Name].&amp;[Bond No. 9]" c="Bond No. 9" nd="1"/>
              <i n="[Table2].[Brand Name].&amp;[Boucheron]" c="Boucheron" nd="1"/>
              <i n="[Table2].[Brand Name].&amp;[Branded]" c="Branded" nd="1"/>
              <i n="[Table2].[Brand Name].&amp;[Brut]" c="Brut" nd="1"/>
              <i n="[Table2].[Brand Name].&amp;[BurberrUnknown]" c="BurberrUnknown" nd="1"/>
              <i n="[Table2].[Brand Name].&amp;[Bvlgari]" c="Bvlgari" nd="1"/>
              <i n="[Table2].[Brand Name].&amp;[C.K]" c="C.K" nd="1"/>
              <i n="[Table2].[Brand Name].&amp;[Cartier]" c="Cartier" nd="1"/>
              <i n="[Table2].[Brand Name].&amp;[Christian Dior]" c="Christian Dior" nd="1"/>
              <i n="[Table2].[Brand Name].&amp;[Classic Brands]" c="Classic Brands" nd="1"/>
              <i n="[Table2].[Brand Name].&amp;[Clinique]" c="Clinique" nd="1"/>
              <i n="[Table2].[Brand Name].&amp;[Clive Christian]" c="Clive Christian" nd="1"/>
              <i n="[Table2].[Brand Name].&amp;[Coach]" c="Coach" nd="1"/>
              <i n="[Table2].[Brand Name].&amp;[CotUnknown]" c="CotUnknown" nd="1"/>
              <i n="[Table2].[Brand Name].&amp;[CotUnknown Inc.]" c="CotUnknown Inc." nd="1"/>
              <i n="[Table2].[Brand Name].&amp;[Cuba]" c="Cuba" nd="1"/>
              <i n="[Table2].[Brand Name].&amp;[Curve]" c="Curve" nd="1"/>
              <i n="[Table2].[Brand Name].&amp;[David Beckham]" c="David Beckham" nd="1"/>
              <i n="[Table2].[Brand Name].&amp;[Davidoff]" c="Davidoff" nd="1"/>
              <i n="[Table2].[Brand Name].&amp;[Designer Series]" c="Designer Series" nd="1"/>
              <i n="[Table2].[Brand Name].&amp;[Dumont]" c="Dumont" nd="1"/>
              <i n="[Table2].[Brand Name].&amp;[DvUnknownne Eau de Parfum]" c="DvUnknownne Eau de Parfum" nd="1"/>
              <i n="[Table2].[Brand Name].&amp;[Eau de Parfum]" c="Eau de Parfum" nd="1"/>
              <i n="[Table2].[Brand Name].&amp;[Eau de Parfums De MarlUnknown]" c="Eau de Parfums De MarlUnknown" nd="1"/>
              <i n="[Table2].[Brand Name].&amp;[Ebc]" c="Ebc" nd="1"/>
              <i n="[Table2].[Brand Name].&amp;[El Ganso]" c="El Ganso" nd="1"/>
              <i n="[Table2].[Brand Name].&amp;[Elizabeth TaUnknownlor]" c="Elizabeth TaUnknownlor" nd="1"/>
              <i n="[Table2].[Brand Name].&amp;[Emanuelle Ungaro]" c="Emanuelle Ungaro" nd="1"/>
              <i n="[Table2].[Brand Name].&amp;[Emper]" c="Emper" nd="1"/>
              <i n="[Table2].[Brand Name].&amp;[Emporio Armani]" c="Emporio Armani" nd="1"/>
              <i n="[Table2].[Brand Name].&amp;[English LaundrUnknown]" c="English LaundrUnknown" nd="1"/>
              <i n="[Table2].[Brand Name].&amp;[Estée Lauder]" c="Estée Lauder" nd="1"/>
              <i n="[Table2].[Brand Name].&amp;[Falic Fashion Group]" c="Falic Fashion Group" nd="1"/>
              <i n="[Table2].[Brand Name].&amp;[Fm]" c="Fm" nd="1"/>
              <i n="[Table2].[Brand Name].&amp;[Fragance One]" c="Fragance One" nd="1"/>
              <i n="[Table2].[Brand Name].&amp;[Fragrance]" c="Fragrance" nd="1"/>
              <i n="[Table2].[Brand Name].&amp;[Fragrance World]" c="Fragrance World" nd="1"/>
              <i n="[Table2].[Brand Name].&amp;[Franck Olivier]" c="Franck Olivier" nd="1"/>
              <i n="[Table2].[Brand Name].&amp;[Gianni Versace]" c="Gianni Versace" nd="1"/>
              <i n="[Table2].[Brand Name].&amp;[Giorgio Arm.Ani]" c="Giorgio Arm.Ani" nd="1"/>
              <i n="[Table2].[Brand Name].&amp;[Giorgio BeverlUnknown Hills]" c="Giorgio BeverlUnknown Hills" nd="1"/>
              <i n="[Table2].[Brand Name].&amp;[GivenchUnknown]" c="GivenchUnknown" nd="1"/>
              <i n="[Table2].[Brand Name].&amp;[Grandeur]" c="Grandeur" nd="1"/>
              <i n="[Table2].[Brand Name].&amp;[Gucci]" c="Gucci" nd="1"/>
              <i n="[Table2].[Brand Name].&amp;[Guerlain Paris]" c="Guerlain Paris" nd="1"/>
              <i n="[Table2].[Brand Name].&amp;[Guess]" c="Guess" nd="1"/>
              <i n="[Table2].[Brand Name].&amp;[GuUnknown Laroche]" c="GuUnknown Laroche" nd="1"/>
              <i n="[Table2].[Brand Name].&amp;[Halloween]" c="Halloween" nd="1"/>
              <i n="[Table2].[Brand Name].&amp;[Halston]" c="Halston" nd="1"/>
              <i n="[Table2].[Brand Name].&amp;[Hanae Mori]" c="Hanae Mori" nd="1"/>
              <i n="[Table2].[Brand Name].&amp;[Heaven Scents]" c="Heaven Scents" nd="1"/>
              <i n="[Table2].[Brand Name].&amp;[Hermes]" c="Hermes" nd="1"/>
              <i n="[Table2].[Brand Name].&amp;[Hinode]" c="Hinode" nd="1"/>
              <i n="[Table2].[Brand Name].&amp;[Hollister]" c="Hollister" nd="1"/>
              <i n="[Table2].[Brand Name].&amp;[Houbigant]" c="Houbigant" nd="1"/>
              <i n="[Table2].[Brand Name].&amp;[HUnknownbrid &amp; CompanUnknown]" c="HUnknownbrid &amp; CompanUnknown" nd="1"/>
              <i n="[Table2].[Brand Name].&amp;[IsseUnknown MiUnknownake]" c="IsseUnknown MiUnknownake" nd="1"/>
              <i n="[Table2].[Brand Name].&amp;[J. Del Pozo]" c="J. Del Pozo" nd="1"/>
              <i n="[Table2].[Brand Name].&amp;[Jacques Bogart]" c="Jacques Bogart" nd="1"/>
              <i n="[Table2].[Brand Name].&amp;[Jaguar]" c="Jaguar" nd="1"/>
              <i n="[Table2].[Brand Name].&amp;[Jean Paul Gaultier]" c="Jean Paul Gaultier" nd="1"/>
              <i n="[Table2].[Brand Name].&amp;[JimmUnknown Choo]" c="JimmUnknown Choo" nd="1"/>
              <i n="[Table2].[Brand Name].&amp;[Jo Malone]" c="Jo Malone" nd="1"/>
              <i n="[Table2].[Brand Name].&amp;[John Varvatos]" c="John Varvatos" nd="1"/>
              <i n="[Table2].[Brand Name].&amp;[Joop]" c="Joop" nd="1"/>
              <i n="[Table2].[Brand Name].&amp;[Jovan]" c="Jovan" nd="1"/>
              <i n="[Table2].[Brand Name].&amp;[JuicUnknown Couture]" c="JuicUnknown Couture" nd="1"/>
              <i n="[Table2].[Brand Name].&amp;[Karl Lagerfeld]" c="Karl Lagerfeld" nd="1"/>
              <i n="[Table2].[Brand Name].&amp;[Kenneth Cole]" c="Kenneth Cole" nd="1"/>
              <i n="[Table2].[Brand Name].&amp;[Kenneth Cole Reaction]" c="Kenneth Cole Reaction" nd="1"/>
              <i n="[Table2].[Brand Name].&amp;[Kenzo]" c="Kenzo" nd="1"/>
              <i n="[Table2].[Brand Name].&amp;[Khadlaj]" c="Khadlaj" nd="1"/>
              <i n="[Table2].[Brand Name].&amp;[King]" c="King" nd="1"/>
              <i n="[Table2].[Brand Name].&amp;[King Of Kings]" c="King Of Kings" nd="1"/>
              <i n="[Table2].[Brand Name].&amp;[L’Occitane]" c="L’Occitane" nd="1"/>
              <i n="[Table2].[Brand Name].&amp;[Lacoste]" c="Lacoste" nd="1"/>
              <i n="[Table2].[Brand Name].&amp;[Lanvin]" c="Lanvin" nd="1"/>
              <i n="[Table2].[Brand Name].&amp;[Lattafa]" c="Lattafa" nd="1"/>
              <i n="[Table2].[Brand Name].&amp;[Lauren Ralph Lauren]" c="Lauren Ralph Lauren" nd="1"/>
              <i n="[Table2].[Brand Name].&amp;[Limited Edition]" c="Limited Edition" nd="1"/>
              <i n="[Table2].[Brand Name].&amp;[Liz Claiborne]" c="Liz Claiborne" nd="1"/>
              <i n="[Table2].[Brand Name].&amp;[Llure Sx]" c="Llure Sx" nd="1"/>
              <i n="[Table2].[Brand Name].&amp;[Lomani]" c="Lomani" nd="1"/>
              <i n="[Table2].[Brand Name].&amp;[Lucianno]" c="Lucianno" nd="1"/>
              <i n="[Table2].[Brand Name].&amp;[LuxurUnknown]" c="LuxurUnknown" nd="1"/>
              <i n="[Table2].[Brand Name].&amp;[Maison Alhambra]" c="Maison Alhambra" nd="1"/>
              <i n="[Table2].[Brand Name].&amp;[Maison Francis Kurkdjian]" c="Maison Francis Kurkdjian" nd="1"/>
              <i n="[Table2].[Brand Name].&amp;[Maison Margiela]" c="Maison Margiela" nd="1"/>
              <i n="[Table2].[Brand Name].&amp;[MarUnknown KaUnknown]" c="MarUnknown KaUnknown" nd="1"/>
              <i n="[Table2].[Brand Name].&amp;[Mercedes Benz]" c="Mercedes Benz" nd="1"/>
              <i n="[Table2].[Brand Name].&amp;[Mercedes-Benz]" c="Mercedes-Benz" nd="1"/>
              <i n="[Table2].[Brand Name].&amp;[Metaherbal Labs]" c="Metaherbal Labs" nd="1"/>
              <i n="[Table2].[Brand Name].&amp;[Mfk]" c="Mfk" nd="1"/>
              <i n="[Table2].[Brand Name].&amp;[Michael Jordan]" c="Michael Jordan" nd="1"/>
              <i n="[Table2].[Brand Name].&amp;[Michael Malul]" c="Michael Malul" nd="1"/>
              <i n="[Table2].[Brand Name].&amp;[Michael Malul Gents Scents]" c="Michael Malul Gents Scents" nd="1"/>
              <i n="[Table2].[Brand Name].&amp;[Michael Malul London]" c="Michael Malul London" nd="1"/>
              <i n="[Table2].[Brand Name].&amp;[Michel Germain]" c="Michel Germain" nd="1"/>
              <i n="[Table2].[Brand Name].&amp;[Milestone Perfumes]" c="Milestone Perfumes" nd="1"/>
              <i n="[Table2].[Brand Name].&amp;[Mirage Brands]" c="Mirage Brands" nd="1"/>
              <i n="[Table2].[Brand Name].&amp;[Missoni]" c="Missoni" nd="1"/>
              <i n="[Table2].[Brand Name].&amp;[Mont Blanc]" c="Mont Blanc" nd="1"/>
              <i n="[Table2].[Brand Name].&amp;[Mont Blanc Legend]" c="Mont Blanc Legend" nd="1"/>
              <i n="[Table2].[Brand Name].&amp;[Montale]" c="Montale" nd="1"/>
              <i n="[Table2].[Brand Name].&amp;[Montblanc]" c="Montblanc" nd="1"/>
              <i n="[Table2].[Brand Name].&amp;[Moschino]" c="Moschino" nd="1"/>
              <i n="[Table2].[Brand Name].&amp;[Multiple Brands]" c="Multiple Brands" nd="1"/>
              <i n="[Table2].[Brand Name].&amp;[MUnknownrurgia]" c="MUnknownrurgia" nd="1"/>
              <i n="[Table2].[Brand Name].&amp;[Narciso Rodriguez]" c="Narciso Rodriguez" nd="1"/>
              <i n="[Table2].[Brand Name].&amp;[Nautica]" c="Nautica" nd="1"/>
              <i n="[Table2].[Brand Name].&amp;[Nikos]" c="Nikos" nd="1"/>
              <i n="[Table2].[Brand Name].&amp;[Nina Ricci]" c="Nina Ricci" nd="1"/>
              <i n="[Table2].[Brand Name].&amp;[Old Spice]" c="Old Spice" nd="1"/>
              <i n="[Table2].[Brand Name].&amp;[Paris Hilton]" c="Paris Hilton" nd="1"/>
              <i n="[Table2].[Brand Name].&amp;[Paul Sebastian]" c="Paul Sebastian" nd="1"/>
              <i n="[Table2].[Brand Name].&amp;[Penhaligon'S]" c="Penhaligon'S" nd="1"/>
              <i n="[Table2].[Brand Name].&amp;[PerrUnknown Ellis]" c="PerrUnknown Ellis" nd="1"/>
              <i n="[Table2].[Brand Name].&amp;[Pheromones]" c="Pheromones" nd="1"/>
              <i n="[Table2].[Brand Name].&amp;[Phillips-Van Heusen]" c="Phillips-Van Heusen" nd="1"/>
              <i n="[Table2].[Brand Name].&amp;[Pierre Cardin]" c="Pierre Cardin" nd="1"/>
              <i n="[Table2].[Brand Name].&amp;[Polo]" c="Polo" nd="1"/>
              <i n="[Table2].[Brand Name].&amp;[Rasasi]" c="Rasasi" nd="1"/>
              <i n="[Table2].[Brand Name].&amp;[RawchemistrUnknown]" c="RawchemistrUnknown" nd="1"/>
              <i n="[Table2].[Brand Name].&amp;[ReUnknownane Tradition]" c="ReUnknownane Tradition" nd="1"/>
              <i n="[Table2].[Brand Name].&amp;[Roberto Cavalli]" c="Roberto Cavalli" nd="1"/>
              <i n="[Table2].[Brand Name].&amp;[Rochas]" c="Rochas" nd="1"/>
              <i n="[Table2].[Brand Name].&amp;[Roja]" c="Roja" nd="1"/>
              <i n="[Table2].[Brand Name].&amp;[Roja Dove]" c="Roja Dove" nd="1"/>
              <i n="[Table2].[Brand Name].&amp;[Roja Eau de Parfums]" c="Roja Eau de Parfums" nd="1"/>
              <i n="[Table2].[Brand Name].&amp;[Rue21]" c="Rue21" nd="1"/>
              <i n="[Table2].[Brand Name].&amp;[Salvatore Ferragamo]" c="Salvatore Ferragamo" nd="1"/>
              <i n="[Table2].[Brand Name].&amp;[Sean John]" c="Sean John" nd="1"/>
              <i n="[Table2].[Brand Name].&amp;[Sterling]" c="Sterling" nd="1"/>
              <i n="[Table2].[Brand Name].&amp;[Superz Budapest]" c="Superz Budapest" nd="1"/>
              <i n="[Table2].[Brand Name].&amp;[Ted Lapidus]" c="Ted Lapidus" nd="1"/>
              <i n="[Table2].[Brand Name].&amp;[Territoire]" c="Territoire" nd="1"/>
              <i n="[Table2].[Brand Name].&amp;[ThierrUnknown Mugler]" c="ThierrUnknown Mugler" nd="1"/>
              <i n="[Table2].[Brand Name].&amp;[TiffanUnknown]" c="TiffanUnknown" nd="1"/>
              <i n="[Table2].[Brand Name].&amp;[Tom Ford]" c="Tom Ford" nd="1"/>
              <i n="[Table2].[Brand Name].&amp;[TommUnknown Bahama]" c="TommUnknown Bahama" nd="1"/>
              <i n="[Table2].[Brand Name].&amp;[TommUnknown Hilfiger]" c="TommUnknown Hilfiger" nd="1"/>
              <i n="[Table2].[Brand Name].&amp;[Topshelf]" c="Topshelf" nd="1"/>
              <i n="[Table2].[Brand Name].&amp;[Ulric De Varens]" c="Ulric De Varens" nd="1"/>
              <i n="[Table2].[Brand Name].&amp;[United Scents]" c="United Scents" nd="1"/>
              <i n="[Table2].[Brand Name].&amp;[Unknown]" c="Unknown" nd="1"/>
              <i n="[Table2].[Brand Name].&amp;[Unknownves De Sistelle]" c="Unknownves De Sistelle" nd="1"/>
              <i n="[Table2].[Brand Name].&amp;[Uomo]" c="Uomo" nd="1"/>
              <i n="[Table2].[Brand Name].&amp;[Valentino]" c="Valentino" nd="1"/>
              <i n="[Table2].[Brand Name].&amp;[Versace]" c="Versace" nd="1"/>
              <i n="[Table2].[Brand Name].&amp;[Victor &amp; Rolf]" c="Victor &amp; Rolf" nd="1"/>
              <i n="[Table2].[Brand Name].&amp;[Victor Manuelle]" c="Victor Manuelle" nd="1"/>
              <i n="[Table2].[Brand Name].&amp;[Viktor &amp; Rolf]" c="Viktor &amp; Rolf" nd="1"/>
              <i n="[Table2].[Brand Name].&amp;[Vince Camuto]" c="Vince Camuto" nd="1"/>
              <i n="[Table2].[Brand Name].&amp;[Xerjoff]" c="Xerjoff" nd="1"/>
              <i n="[Table2].[Brand Name].&amp;[Zara]" c="Zara" nd="1"/>
            </range>
          </ranges>
        </level>
      </levels>
      <selections count="1">
        <selection n="[Table2].[Brand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ld" xr10:uid="{00D4A6EC-FE88-40F2-B506-98C20F8CABE7}" sourceName="[Table2].[Sold]">
  <pivotTables>
    <pivotTable tabId="14" name="PivotTable1"/>
  </pivotTables>
  <data>
    <olap pivotCacheId="1433030362">
      <levels count="2">
        <level uniqueName="[Table2].[Sold].[(All)]" sourceCaption="(All)" count="0"/>
        <level uniqueName="[Table2].[Sold].[Sold]" sourceCaption="Sold" count="429">
          <ranges>
            <range startItem="0">
              <i n="[Table2].[Sold].&amp;[1]" c="1"/>
              <i n="[Table2].[Sold].&amp;[7]" c="7"/>
              <i n="[Table2].[Sold].&amp;[8]" c="8"/>
              <i n="[Table2].[Sold].&amp;[9]" c="9"/>
              <i n="[Table2].[Sold].&amp;[10]" c="10"/>
              <i n="[Table2].[Sold].&amp;[11]" c="11"/>
              <i n="[Table2].[Sold].&amp;[12]" c="12"/>
              <i n="[Table2].[Sold].&amp;[13]" c="13"/>
              <i n="[Table2].[Sold].&amp;[14]" c="14"/>
              <i n="[Table2].[Sold].&amp;[16]" c="16"/>
              <i n="[Table2].[Sold].&amp;[17]" c="17"/>
              <i n="[Table2].[Sold].&amp;[19]" c="19"/>
              <i n="[Table2].[Sold].&amp;[21]" c="21"/>
              <i n="[Table2].[Sold].&amp;[24]" c="24"/>
              <i n="[Table2].[Sold].&amp;[28]" c="28"/>
              <i n="[Table2].[Sold].&amp;[30]" c="30"/>
              <i n="[Table2].[Sold].&amp;[35]" c="35"/>
              <i n="[Table2].[Sold].&amp;[36]" c="36"/>
              <i n="[Table2].[Sold].&amp;[37]" c="37"/>
              <i n="[Table2].[Sold].&amp;[38]" c="38"/>
              <i n="[Table2].[Sold].&amp;[40]" c="40"/>
              <i n="[Table2].[Sold].&amp;[44]" c="44"/>
              <i n="[Table2].[Sold].&amp;[69]" c="69"/>
              <i n="[Table2].[Sold].&amp;[72]" c="72"/>
              <i n="[Table2].[Sold].&amp;[75]" c="75"/>
              <i n="[Table2].[Sold].&amp;[78]" c="78"/>
              <i n="[Table2].[Sold].&amp;[85]" c="85"/>
              <i n="[Table2].[Sold].&amp;[94]" c="94"/>
              <i n="[Table2].[Sold].&amp;[115]" c="115"/>
              <i n="[Table2].[Sold].&amp;[117]" c="117"/>
              <i n="[Table2].[Sold].&amp;[119]" c="119"/>
              <i n="[Table2].[Sold].&amp;[122]" c="122"/>
              <i n="[Table2].[Sold].&amp;[131]" c="131"/>
              <i n="[Table2].[Sold].&amp;[189]" c="189"/>
              <i n="[Table2].[Sold].&amp;[206]" c="206"/>
              <i n="[Table2].[Sold].&amp;[286]" c="286"/>
              <i n="[Table2].[Sold].&amp;[331]" c="331"/>
              <i n="[Table2].[Sold].&amp;[381]" c="381"/>
              <i n="[Table2].[Sold].&amp;[397]" c="397"/>
              <i n="[Table2].[Sold].&amp;[404]" c="404"/>
              <i n="[Table2].[Sold].&amp;[518]" c="518"/>
              <i n="[Table2].[Sold].&amp;[647]" c="647"/>
              <i n="[Table2].[Sold].&amp;[702]" c="702"/>
              <i n="[Table2].[Sold].&amp;[0]" c="0" nd="1"/>
              <i n="[Table2].[Sold].&amp;[2]" c="2" nd="1"/>
              <i n="[Table2].[Sold].&amp;[3]" c="3" nd="1"/>
              <i n="[Table2].[Sold].&amp;[4]" c="4" nd="1"/>
              <i n="[Table2].[Sold].&amp;[5]" c="5" nd="1"/>
              <i n="[Table2].[Sold].&amp;[6]" c="6" nd="1"/>
              <i n="[Table2].[Sold].&amp;[15]" c="15" nd="1"/>
              <i n="[Table2].[Sold].&amp;[18]" c="18" nd="1"/>
              <i n="[Table2].[Sold].&amp;[20]" c="20" nd="1"/>
              <i n="[Table2].[Sold].&amp;[22]" c="22" nd="1"/>
              <i n="[Table2].[Sold].&amp;[23]" c="23" nd="1"/>
              <i n="[Table2].[Sold].&amp;[25]" c="25" nd="1"/>
              <i n="[Table2].[Sold].&amp;[26]" c="26" nd="1"/>
              <i n="[Table2].[Sold].&amp;[27]" c="27" nd="1"/>
              <i n="[Table2].[Sold].&amp;[29]" c="29" nd="1"/>
              <i n="[Table2].[Sold].&amp;[31]" c="31" nd="1"/>
              <i n="[Table2].[Sold].&amp;[32]" c="32" nd="1"/>
              <i n="[Table2].[Sold].&amp;[33]" c="33" nd="1"/>
              <i n="[Table2].[Sold].&amp;[34]" c="34" nd="1"/>
              <i n="[Table2].[Sold].&amp;[39]" c="39" nd="1"/>
              <i n="[Table2].[Sold].&amp;[41]" c="41" nd="1"/>
              <i n="[Table2].[Sold].&amp;[42]" c="42" nd="1"/>
              <i n="[Table2].[Sold].&amp;[43]" c="43" nd="1"/>
              <i n="[Table2].[Sold].&amp;[45]" c="45" nd="1"/>
              <i n="[Table2].[Sold].&amp;[46]" c="46" nd="1"/>
              <i n="[Table2].[Sold].&amp;[47]" c="47" nd="1"/>
              <i n="[Table2].[Sold].&amp;[48]" c="48" nd="1"/>
              <i n="[Table2].[Sold].&amp;[49]" c="49" nd="1"/>
              <i n="[Table2].[Sold].&amp;[50]" c="50" nd="1"/>
              <i n="[Table2].[Sold].&amp;[51]" c="51" nd="1"/>
              <i n="[Table2].[Sold].&amp;[52]" c="52" nd="1"/>
              <i n="[Table2].[Sold].&amp;[53]" c="53" nd="1"/>
              <i n="[Table2].[Sold].&amp;[55]" c="55" nd="1"/>
              <i n="[Table2].[Sold].&amp;[56]" c="56" nd="1"/>
              <i n="[Table2].[Sold].&amp;[57]" c="57" nd="1"/>
              <i n="[Table2].[Sold].&amp;[58]" c="58" nd="1"/>
              <i n="[Table2].[Sold].&amp;[59]" c="59" nd="1"/>
              <i n="[Table2].[Sold].&amp;[60]" c="60" nd="1"/>
              <i n="[Table2].[Sold].&amp;[61]" c="61" nd="1"/>
              <i n="[Table2].[Sold].&amp;[62]" c="62" nd="1"/>
              <i n="[Table2].[Sold].&amp;[63]" c="63" nd="1"/>
              <i n="[Table2].[Sold].&amp;[64]" c="64" nd="1"/>
              <i n="[Table2].[Sold].&amp;[65]" c="65" nd="1"/>
              <i n="[Table2].[Sold].&amp;[66]" c="66" nd="1"/>
              <i n="[Table2].[Sold].&amp;[67]" c="67" nd="1"/>
              <i n="[Table2].[Sold].&amp;[68]" c="68" nd="1"/>
              <i n="[Table2].[Sold].&amp;[71]" c="71" nd="1"/>
              <i n="[Table2].[Sold].&amp;[73]" c="73" nd="1"/>
              <i n="[Table2].[Sold].&amp;[74]" c="74" nd="1"/>
              <i n="[Table2].[Sold].&amp;[76]" c="76" nd="1"/>
              <i n="[Table2].[Sold].&amp;[77]" c="77" nd="1"/>
              <i n="[Table2].[Sold].&amp;[79]" c="79" nd="1"/>
              <i n="[Table2].[Sold].&amp;[81]" c="81" nd="1"/>
              <i n="[Table2].[Sold].&amp;[82]" c="82" nd="1"/>
              <i n="[Table2].[Sold].&amp;[83]" c="83" nd="1"/>
              <i n="[Table2].[Sold].&amp;[84]" c="84" nd="1"/>
              <i n="[Table2].[Sold].&amp;[86]" c="86" nd="1"/>
              <i n="[Table2].[Sold].&amp;[87]" c="87" nd="1"/>
              <i n="[Table2].[Sold].&amp;[88]" c="88" nd="1"/>
              <i n="[Table2].[Sold].&amp;[89]" c="89" nd="1"/>
              <i n="[Table2].[Sold].&amp;[91]" c="91" nd="1"/>
              <i n="[Table2].[Sold].&amp;[92]" c="92" nd="1"/>
              <i n="[Table2].[Sold].&amp;[98]" c="98" nd="1"/>
              <i n="[Table2].[Sold].&amp;[99]" c="99" nd="1"/>
              <i n="[Table2].[Sold].&amp;[100]" c="100" nd="1"/>
              <i n="[Table2].[Sold].&amp;[101]" c="101" nd="1"/>
              <i n="[Table2].[Sold].&amp;[102]" c="102" nd="1"/>
              <i n="[Table2].[Sold].&amp;[103]" c="103" nd="1"/>
              <i n="[Table2].[Sold].&amp;[105]" c="105" nd="1"/>
              <i n="[Table2].[Sold].&amp;[109]" c="109" nd="1"/>
              <i n="[Table2].[Sold].&amp;[110]" c="110" nd="1"/>
              <i n="[Table2].[Sold].&amp;[111]" c="111" nd="1"/>
              <i n="[Table2].[Sold].&amp;[112]" c="112" nd="1"/>
              <i n="[Table2].[Sold].&amp;[114]" c="114" nd="1"/>
              <i n="[Table2].[Sold].&amp;[116]" c="116" nd="1"/>
              <i n="[Table2].[Sold].&amp;[118]" c="118" nd="1"/>
              <i n="[Table2].[Sold].&amp;[120]" c="120" nd="1"/>
              <i n="[Table2].[Sold].&amp;[121]" c="121" nd="1"/>
              <i n="[Table2].[Sold].&amp;[124]" c="124" nd="1"/>
              <i n="[Table2].[Sold].&amp;[125]" c="125" nd="1"/>
              <i n="[Table2].[Sold].&amp;[127]" c="127" nd="1"/>
              <i n="[Table2].[Sold].&amp;[129]" c="129" nd="1"/>
              <i n="[Table2].[Sold].&amp;[132]" c="132" nd="1"/>
              <i n="[Table2].[Sold].&amp;[136]" c="136" nd="1"/>
              <i n="[Table2].[Sold].&amp;[137]" c="137" nd="1"/>
              <i n="[Table2].[Sold].&amp;[139]" c="139" nd="1"/>
              <i n="[Table2].[Sold].&amp;[140]" c="140" nd="1"/>
              <i n="[Table2].[Sold].&amp;[141]" c="141" nd="1"/>
              <i n="[Table2].[Sold].&amp;[142]" c="142" nd="1"/>
              <i n="[Table2].[Sold].&amp;[143]" c="143" nd="1"/>
              <i n="[Table2].[Sold].&amp;[145]" c="145" nd="1"/>
              <i n="[Table2].[Sold].&amp;[147]" c="147" nd="1"/>
              <i n="[Table2].[Sold].&amp;[149]" c="149" nd="1"/>
              <i n="[Table2].[Sold].&amp;[150]" c="150" nd="1"/>
              <i n="[Table2].[Sold].&amp;[151]" c="151" nd="1"/>
              <i n="[Table2].[Sold].&amp;[153]" c="153" nd="1"/>
              <i n="[Table2].[Sold].&amp;[156]" c="156" nd="1"/>
              <i n="[Table2].[Sold].&amp;[157]" c="157" nd="1"/>
              <i n="[Table2].[Sold].&amp;[159]" c="159" nd="1"/>
              <i n="[Table2].[Sold].&amp;[160]" c="160" nd="1"/>
              <i n="[Table2].[Sold].&amp;[163]" c="163" nd="1"/>
              <i n="[Table2].[Sold].&amp;[165]" c="165" nd="1"/>
              <i n="[Table2].[Sold].&amp;[169]" c="169" nd="1"/>
              <i n="[Table2].[Sold].&amp;[170]" c="170" nd="1"/>
              <i n="[Table2].[Sold].&amp;[172]" c="172" nd="1"/>
              <i n="[Table2].[Sold].&amp;[174]" c="174" nd="1"/>
              <i n="[Table2].[Sold].&amp;[177]" c="177" nd="1"/>
              <i n="[Table2].[Sold].&amp;[178]" c="178" nd="1"/>
              <i n="[Table2].[Sold].&amp;[179]" c="179" nd="1"/>
              <i n="[Table2].[Sold].&amp;[180]" c="180" nd="1"/>
              <i n="[Table2].[Sold].&amp;[182]" c="182" nd="1"/>
              <i n="[Table2].[Sold].&amp;[185]" c="185" nd="1"/>
              <i n="[Table2].[Sold].&amp;[187]" c="187" nd="1"/>
              <i n="[Table2].[Sold].&amp;[196]" c="196" nd="1"/>
              <i n="[Table2].[Sold].&amp;[197]" c="197" nd="1"/>
              <i n="[Table2].[Sold].&amp;[202]" c="202" nd="1"/>
              <i n="[Table2].[Sold].&amp;[204]" c="204" nd="1"/>
              <i n="[Table2].[Sold].&amp;[207]" c="207" nd="1"/>
              <i n="[Table2].[Sold].&amp;[209]" c="209" nd="1"/>
              <i n="[Table2].[Sold].&amp;[210]" c="210" nd="1"/>
              <i n="[Table2].[Sold].&amp;[211]" c="211" nd="1"/>
              <i n="[Table2].[Sold].&amp;[214]" c="214" nd="1"/>
              <i n="[Table2].[Sold].&amp;[217]" c="217" nd="1"/>
              <i n="[Table2].[Sold].&amp;[221]" c="221" nd="1"/>
              <i n="[Table2].[Sold].&amp;[225]" c="225" nd="1"/>
              <i n="[Table2].[Sold].&amp;[226]" c="226" nd="1"/>
              <i n="[Table2].[Sold].&amp;[227]" c="227" nd="1"/>
              <i n="[Table2].[Sold].&amp;[229]" c="229" nd="1"/>
              <i n="[Table2].[Sold].&amp;[232]" c="232" nd="1"/>
              <i n="[Table2].[Sold].&amp;[233]" c="233" nd="1"/>
              <i n="[Table2].[Sold].&amp;[235]" c="235" nd="1"/>
              <i n="[Table2].[Sold].&amp;[236]" c="236" nd="1"/>
              <i n="[Table2].[Sold].&amp;[239]" c="239" nd="1"/>
              <i n="[Table2].[Sold].&amp;[242]" c="242" nd="1"/>
              <i n="[Table2].[Sold].&amp;[243]" c="243" nd="1"/>
              <i n="[Table2].[Sold].&amp;[244]" c="244" nd="1"/>
              <i n="[Table2].[Sold].&amp;[248]" c="248" nd="1"/>
              <i n="[Table2].[Sold].&amp;[254]" c="254" nd="1"/>
              <i n="[Table2].[Sold].&amp;[257]" c="257" nd="1"/>
              <i n="[Table2].[Sold].&amp;[258]" c="258" nd="1"/>
              <i n="[Table2].[Sold].&amp;[262]" c="262" nd="1"/>
              <i n="[Table2].[Sold].&amp;[264]" c="264" nd="1"/>
              <i n="[Table2].[Sold].&amp;[266]" c="266" nd="1"/>
              <i n="[Table2].[Sold].&amp;[269]" c="269" nd="1"/>
              <i n="[Table2].[Sold].&amp;[270]" c="270" nd="1"/>
              <i n="[Table2].[Sold].&amp;[272]" c="272" nd="1"/>
              <i n="[Table2].[Sold].&amp;[275]" c="275" nd="1"/>
              <i n="[Table2].[Sold].&amp;[276]" c="276" nd="1"/>
              <i n="[Table2].[Sold].&amp;[280]" c="280" nd="1"/>
              <i n="[Table2].[Sold].&amp;[287]" c="287" nd="1"/>
              <i n="[Table2].[Sold].&amp;[290]" c="290" nd="1"/>
              <i n="[Table2].[Sold].&amp;[291]" c="291" nd="1"/>
              <i n="[Table2].[Sold].&amp;[292]" c="292" nd="1"/>
              <i n="[Table2].[Sold].&amp;[293]" c="293" nd="1"/>
              <i n="[Table2].[Sold].&amp;[294]" c="294" nd="1"/>
              <i n="[Table2].[Sold].&amp;[295]" c="295" nd="1"/>
              <i n="[Table2].[Sold].&amp;[300]" c="300" nd="1"/>
              <i n="[Table2].[Sold].&amp;[305]" c="305" nd="1"/>
              <i n="[Table2].[Sold].&amp;[313]" c="313" nd="1"/>
              <i n="[Table2].[Sold].&amp;[316]" c="316" nd="1"/>
              <i n="[Table2].[Sold].&amp;[322]" c="322" nd="1"/>
              <i n="[Table2].[Sold].&amp;[324]" c="324" nd="1"/>
              <i n="[Table2].[Sold].&amp;[327]" c="327" nd="1"/>
              <i n="[Table2].[Sold].&amp;[330]" c="330" nd="1"/>
              <i n="[Table2].[Sold].&amp;[335]" c="335" nd="1"/>
              <i n="[Table2].[Sold].&amp;[343]" c="343" nd="1"/>
              <i n="[Table2].[Sold].&amp;[348]" c="348" nd="1"/>
              <i n="[Table2].[Sold].&amp;[349]" c="349" nd="1"/>
              <i n="[Table2].[Sold].&amp;[350]" c="350" nd="1"/>
              <i n="[Table2].[Sold].&amp;[353]" c="353" nd="1"/>
              <i n="[Table2].[Sold].&amp;[358]" c="358" nd="1"/>
              <i n="[Table2].[Sold].&amp;[363]" c="363" nd="1"/>
              <i n="[Table2].[Sold].&amp;[368]" c="368" nd="1"/>
              <i n="[Table2].[Sold].&amp;[370]" c="370" nd="1"/>
              <i n="[Table2].[Sold].&amp;[372]" c="372" nd="1"/>
              <i n="[Table2].[Sold].&amp;[376]" c="376" nd="1"/>
              <i n="[Table2].[Sold].&amp;[384]" c="384" nd="1"/>
              <i n="[Table2].[Sold].&amp;[386]" c="386" nd="1"/>
              <i n="[Table2].[Sold].&amp;[391]" c="391" nd="1"/>
              <i n="[Table2].[Sold].&amp;[400]" c="400" nd="1"/>
              <i n="[Table2].[Sold].&amp;[401]" c="401" nd="1"/>
              <i n="[Table2].[Sold].&amp;[410]" c="410" nd="1"/>
              <i n="[Table2].[Sold].&amp;[415]" c="415" nd="1"/>
              <i n="[Table2].[Sold].&amp;[417]" c="417" nd="1"/>
              <i n="[Table2].[Sold].&amp;[418]" c="418" nd="1"/>
              <i n="[Table2].[Sold].&amp;[420]" c="420" nd="1"/>
              <i n="[Table2].[Sold].&amp;[424]" c="424" nd="1"/>
              <i n="[Table2].[Sold].&amp;[427]" c="427" nd="1"/>
              <i n="[Table2].[Sold].&amp;[430]" c="430" nd="1"/>
              <i n="[Table2].[Sold].&amp;[432]" c="432" nd="1"/>
              <i n="[Table2].[Sold].&amp;[433]" c="433" nd="1"/>
              <i n="[Table2].[Sold].&amp;[440]" c="440" nd="1"/>
              <i n="[Table2].[Sold].&amp;[442]" c="442" nd="1"/>
              <i n="[Table2].[Sold].&amp;[445]" c="445" nd="1"/>
              <i n="[Table2].[Sold].&amp;[448]" c="448" nd="1"/>
              <i n="[Table2].[Sold].&amp;[453]" c="453" nd="1"/>
              <i n="[Table2].[Sold].&amp;[454]" c="454" nd="1"/>
              <i n="[Table2].[Sold].&amp;[456]" c="456" nd="1"/>
              <i n="[Table2].[Sold].&amp;[457]" c="457" nd="1"/>
              <i n="[Table2].[Sold].&amp;[458]" c="458" nd="1"/>
              <i n="[Table2].[Sold].&amp;[460]" c="460" nd="1"/>
              <i n="[Table2].[Sold].&amp;[463]" c="463" nd="1"/>
              <i n="[Table2].[Sold].&amp;[464]" c="464" nd="1"/>
              <i n="[Table2].[Sold].&amp;[471]" c="471" nd="1"/>
              <i n="[Table2].[Sold].&amp;[485]" c="485" nd="1"/>
              <i n="[Table2].[Sold].&amp;[488]" c="488" nd="1"/>
              <i n="[Table2].[Sold].&amp;[494]" c="494" nd="1"/>
              <i n="[Table2].[Sold].&amp;[496]" c="496" nd="1"/>
              <i n="[Table2].[Sold].&amp;[501]" c="501" nd="1"/>
              <i n="[Table2].[Sold].&amp;[504]" c="504" nd="1"/>
              <i n="[Table2].[Sold].&amp;[507]" c="507" nd="1"/>
              <i n="[Table2].[Sold].&amp;[512]" c="512" nd="1"/>
              <i n="[Table2].[Sold].&amp;[539]" c="539" nd="1"/>
              <i n="[Table2].[Sold].&amp;[541]" c="541" nd="1"/>
              <i n="[Table2].[Sold].&amp;[542]" c="542" nd="1"/>
              <i n="[Table2].[Sold].&amp;[545]" c="545" nd="1"/>
              <i n="[Table2].[Sold].&amp;[550]" c="550" nd="1"/>
              <i n="[Table2].[Sold].&amp;[552]" c="552" nd="1"/>
              <i n="[Table2].[Sold].&amp;[566]" c="566" nd="1"/>
              <i n="[Table2].[Sold].&amp;[573]" c="573" nd="1"/>
              <i n="[Table2].[Sold].&amp;[577]" c="577" nd="1"/>
              <i n="[Table2].[Sold].&amp;[578]" c="578" nd="1"/>
              <i n="[Table2].[Sold].&amp;[581]" c="581" nd="1"/>
              <i n="[Table2].[Sold].&amp;[587]" c="587" nd="1"/>
              <i n="[Table2].[Sold].&amp;[588]" c="588" nd="1"/>
              <i n="[Table2].[Sold].&amp;[593]" c="593" nd="1"/>
              <i n="[Table2].[Sold].&amp;[594]" c="594" nd="1"/>
              <i n="[Table2].[Sold].&amp;[597]" c="597" nd="1"/>
              <i n="[Table2].[Sold].&amp;[601]" c="601" nd="1"/>
              <i n="[Table2].[Sold].&amp;[604]" c="604" nd="1"/>
              <i n="[Table2].[Sold].&amp;[612]" c="612" nd="1"/>
              <i n="[Table2].[Sold].&amp;[615]" c="615" nd="1"/>
              <i n="[Table2].[Sold].&amp;[619]" c="619" nd="1"/>
              <i n="[Table2].[Sold].&amp;[624]" c="624" nd="1"/>
              <i n="[Table2].[Sold].&amp;[627]" c="627" nd="1"/>
              <i n="[Table2].[Sold].&amp;[634]" c="634" nd="1"/>
              <i n="[Table2].[Sold].&amp;[636]" c="636" nd="1"/>
              <i n="[Table2].[Sold].&amp;[644]" c="644" nd="1"/>
              <i n="[Table2].[Sold].&amp;[654]" c="654" nd="1"/>
              <i n="[Table2].[Sold].&amp;[655]" c="655" nd="1"/>
              <i n="[Table2].[Sold].&amp;[674]" c="674" nd="1"/>
              <i n="[Table2].[Sold].&amp;[677]" c="677" nd="1"/>
              <i n="[Table2].[Sold].&amp;[684]" c="684" nd="1"/>
              <i n="[Table2].[Sold].&amp;[692]" c="692" nd="1"/>
              <i n="[Table2].[Sold].&amp;[700]" c="700" nd="1"/>
              <i n="[Table2].[Sold].&amp;[712]" c="712" nd="1"/>
              <i n="[Table2].[Sold].&amp;[717]" c="717" nd="1"/>
              <i n="[Table2].[Sold].&amp;[720]" c="720" nd="1"/>
              <i n="[Table2].[Sold].&amp;[731]" c="731" nd="1"/>
              <i n="[Table2].[Sold].&amp;[739]" c="739" nd="1"/>
              <i n="[Table2].[Sold].&amp;[740]" c="740" nd="1"/>
              <i n="[Table2].[Sold].&amp;[743]" c="743" nd="1"/>
              <i n="[Table2].[Sold].&amp;[755]" c="755" nd="1"/>
              <i n="[Table2].[Sold].&amp;[771]" c="771" nd="1"/>
              <i n="[Table2].[Sold].&amp;[780]" c="780" nd="1"/>
              <i n="[Table2].[Sold].&amp;[785]" c="785" nd="1"/>
              <i n="[Table2].[Sold].&amp;[803]" c="803" nd="1"/>
              <i n="[Table2].[Sold].&amp;[825]" c="825" nd="1"/>
              <i n="[Table2].[Sold].&amp;[849]" c="849" nd="1"/>
              <i n="[Table2].[Sold].&amp;[866]" c="866" nd="1"/>
              <i n="[Table2].[Sold].&amp;[869]" c="869" nd="1"/>
              <i n="[Table2].[Sold].&amp;[889]" c="889" nd="1"/>
              <i n="[Table2].[Sold].&amp;[916]" c="916" nd="1"/>
              <i n="[Table2].[Sold].&amp;[919]" c="919" nd="1"/>
              <i n="[Table2].[Sold].&amp;[920]" c="920" nd="1"/>
              <i n="[Table2].[Sold].&amp;[950]" c="950" nd="1"/>
              <i n="[Table2].[Sold].&amp;[955]" c="955" nd="1"/>
              <i n="[Table2].[Sold].&amp;[957]" c="957" nd="1"/>
              <i n="[Table2].[Sold].&amp;[969]" c="969" nd="1"/>
              <i n="[Table2].[Sold].&amp;[972]" c="972" nd="1"/>
              <i n="[Table2].[Sold].&amp;[989]" c="989" nd="1"/>
              <i n="[Table2].[Sold].&amp;[993]" c="993" nd="1"/>
              <i n="[Table2].[Sold].&amp;[998]" c="998" nd="1"/>
              <i n="[Table2].[Sold].&amp;[1024]" c="1024" nd="1"/>
              <i n="[Table2].[Sold].&amp;[1034]" c="1034" nd="1"/>
              <i n="[Table2].[Sold].&amp;[1044]" c="1044" nd="1"/>
              <i n="[Table2].[Sold].&amp;[1047]" c="1047" nd="1"/>
              <i n="[Table2].[Sold].&amp;[1113]" c="1113" nd="1"/>
              <i n="[Table2].[Sold].&amp;[1128]" c="1128" nd="1"/>
              <i n="[Table2].[Sold].&amp;[1140]" c="1140" nd="1"/>
              <i n="[Table2].[Sold].&amp;[1146]" c="1146" nd="1"/>
              <i n="[Table2].[Sold].&amp;[1165]" c="1165" nd="1"/>
              <i n="[Table2].[Sold].&amp;[1207]" c="1207" nd="1"/>
              <i n="[Table2].[Sold].&amp;[1234]" c="1234" nd="1"/>
              <i n="[Table2].[Sold].&amp;[1242]" c="1242" nd="1"/>
              <i n="[Table2].[Sold].&amp;[1243]" c="1243" nd="1"/>
              <i n="[Table2].[Sold].&amp;[1296]" c="1296" nd="1"/>
              <i n="[Table2].[Sold].&amp;[1306]" c="1306" nd="1"/>
              <i n="[Table2].[Sold].&amp;[1332]" c="1332" nd="1"/>
              <i n="[Table2].[Sold].&amp;[1333]" c="1333" nd="1"/>
              <i n="[Table2].[Sold].&amp;[1337]" c="1337" nd="1"/>
              <i n="[Table2].[Sold].&amp;[1362]" c="1362" nd="1"/>
              <i n="[Table2].[Sold].&amp;[1370]" c="1370" nd="1"/>
              <i n="[Table2].[Sold].&amp;[1391]" c="1391" nd="1"/>
              <i n="[Table2].[Sold].&amp;[1424]" c="1424" nd="1"/>
              <i n="[Table2].[Sold].&amp;[1433]" c="1433" nd="1"/>
              <i n="[Table2].[Sold].&amp;[1484]" c="1484" nd="1"/>
              <i n="[Table2].[Sold].&amp;[1503]" c="1503" nd="1"/>
              <i n="[Table2].[Sold].&amp;[1511]" c="1511" nd="1"/>
              <i n="[Table2].[Sold].&amp;[1536]" c="1536" nd="1"/>
              <i n="[Table2].[Sold].&amp;[1613]" c="1613" nd="1"/>
              <i n="[Table2].[Sold].&amp;[1630]" c="1630" nd="1"/>
              <i n="[Table2].[Sold].&amp;[1683]" c="1683" nd="1"/>
              <i n="[Table2].[Sold].&amp;[1691]" c="1691" nd="1"/>
              <i n="[Table2].[Sold].&amp;[1787]" c="1787" nd="1"/>
              <i n="[Table2].[Sold].&amp;[1819]" c="1819" nd="1"/>
              <i n="[Table2].[Sold].&amp;[1831]" c="1831" nd="1"/>
              <i n="[Table2].[Sold].&amp;[1866]" c="1866" nd="1"/>
              <i n="[Table2].[Sold].&amp;[1925]" c="1925" nd="1"/>
              <i n="[Table2].[Sold].&amp;[1955]" c="1955" nd="1"/>
              <i n="[Table2].[Sold].&amp;[1963]" c="1963" nd="1"/>
              <i n="[Table2].[Sold].&amp;[1992]" c="1992" nd="1"/>
              <i n="[Table2].[Sold].&amp;[1995]" c="1995" nd="1"/>
              <i n="[Table2].[Sold].&amp;[2093]" c="2093" nd="1"/>
              <i n="[Table2].[Sold].&amp;[2098]" c="2098" nd="1"/>
              <i n="[Table2].[Sold].&amp;[2153]" c="2153" nd="1"/>
              <i n="[Table2].[Sold].&amp;[2206]" c="2206" nd="1"/>
              <i n="[Table2].[Sold].&amp;[2247]" c="2247" nd="1"/>
              <i n="[Table2].[Sold].&amp;[2256]" c="2256" nd="1"/>
              <i n="[Table2].[Sold].&amp;[2293]" c="2293" nd="1"/>
              <i n="[Table2].[Sold].&amp;[2345]" c="2345" nd="1"/>
              <i n="[Table2].[Sold].&amp;[2452]" c="2452" nd="1"/>
              <i n="[Table2].[Sold].&amp;[2465]" c="2465" nd="1"/>
              <i n="[Table2].[Sold].&amp;[2486]" c="2486" nd="1"/>
              <i n="[Table2].[Sold].&amp;[2550]" c="2550" nd="1"/>
              <i n="[Table2].[Sold].&amp;[2611]" c="2611" nd="1"/>
              <i n="[Table2].[Sold].&amp;[2624]" c="2624" nd="1"/>
              <i n="[Table2].[Sold].&amp;[2703]" c="2703" nd="1"/>
              <i n="[Table2].[Sold].&amp;[2774]" c="2774" nd="1"/>
              <i n="[Table2].[Sold].&amp;[2777]" c="2777" nd="1"/>
              <i n="[Table2].[Sold].&amp;[2817]" c="2817" nd="1"/>
              <i n="[Table2].[Sold].&amp;[2934]" c="2934" nd="1"/>
              <i n="[Table2].[Sold].&amp;[3009]" c="3009" nd="1"/>
              <i n="[Table2].[Sold].&amp;[3093]" c="3093" nd="1"/>
              <i n="[Table2].[Sold].&amp;[3110]" c="3110" nd="1"/>
              <i n="[Table2].[Sold].&amp;[3171]" c="3171" nd="1"/>
              <i n="[Table2].[Sold].&amp;[3691]" c="3691" nd="1"/>
              <i n="[Table2].[Sold].&amp;[3787]" c="3787" nd="1"/>
              <i n="[Table2].[Sold].&amp;[3823]" c="3823" nd="1"/>
              <i n="[Table2].[Sold].&amp;[3942]" c="3942" nd="1"/>
              <i n="[Table2].[Sold].&amp;[4234]" c="4234" nd="1"/>
              <i n="[Table2].[Sold].&amp;[4427]" c="4427" nd="1"/>
              <i n="[Table2].[Sold].&amp;[4443]" c="4443" nd="1"/>
              <i n="[Table2].[Sold].&amp;[4460]" c="4460" nd="1"/>
              <i n="[Table2].[Sold].&amp;[4520]" c="4520" nd="1"/>
              <i n="[Table2].[Sold].&amp;[4569]" c="4569" nd="1"/>
              <i n="[Table2].[Sold].&amp;[4733]" c="4733" nd="1"/>
              <i n="[Table2].[Sold].&amp;[4764]" c="4764" nd="1"/>
              <i n="[Table2].[Sold].&amp;[4802]" c="4802" nd="1"/>
              <i n="[Table2].[Sold].&amp;[4934]" c="4934" nd="1"/>
              <i n="[Table2].[Sold].&amp;[4972]" c="4972" nd="1"/>
              <i n="[Table2].[Sold].&amp;[5023]" c="5023" nd="1"/>
              <i n="[Table2].[Sold].&amp;[5032]" c="5032" nd="1"/>
              <i n="[Table2].[Sold].&amp;[5076]" c="5076" nd="1"/>
              <i n="[Table2].[Sold].&amp;[5098]" c="5098" nd="1"/>
              <i n="[Table2].[Sold].&amp;[5145]" c="5145" nd="1"/>
              <i n="[Table2].[Sold].&amp;[5227]" c="5227" nd="1"/>
              <i n="[Table2].[Sold].&amp;[5377]" c="5377" nd="1"/>
              <i n="[Table2].[Sold].&amp;[5500]" c="5500" nd="1"/>
              <i n="[Table2].[Sold].&amp;[5582]" c="5582" nd="1"/>
              <i n="[Table2].[Sold].&amp;[6188]" c="6188" nd="1"/>
              <i n="[Table2].[Sold].&amp;[6633]" c="6633" nd="1"/>
              <i n="[Table2].[Sold].&amp;[6634]" c="6634" nd="1"/>
              <i n="[Table2].[Sold].&amp;[7253]" c="7253" nd="1"/>
              <i n="[Table2].[Sold].&amp;[7506]" c="7506" nd="1"/>
              <i n="[Table2].[Sold].&amp;[7592]" c="7592" nd="1"/>
              <i n="[Table2].[Sold].&amp;[7816]" c="7816" nd="1"/>
              <i n="[Table2].[Sold].&amp;[8385]" c="8385" nd="1"/>
              <i n="[Table2].[Sold].&amp;[8453]" c="8453" nd="1"/>
              <i n="[Table2].[Sold].&amp;[8877]" c="8877" nd="1"/>
              <i n="[Table2].[Sold].&amp;[9208]" c="9208" nd="1"/>
              <i n="[Table2].[Sold].&amp;[9265]" c="9265" nd="1"/>
              <i n="[Table2].[Sold].&amp;[9410]" c="9410" nd="1"/>
              <i n="[Table2].[Sold].&amp;[12184]" c="12184" nd="1"/>
              <i n="[Table2].[Sold].&amp;[12583]" c="12583" nd="1"/>
              <i n="[Table2].[Sold].&amp;[12739]" c="12739" nd="1"/>
              <i n="[Table2].[Sold].&amp;[12865]" c="12865" nd="1"/>
              <i n="[Table2].[Sold].&amp;[13549]" c="13549" nd="1"/>
              <i n="[Table2].[Sold].&amp;[18882]" c="18882" nd="1"/>
              <i n="[Table2].[Sold].&amp;[19899]" c="19899" nd="1"/>
              <i n="[Table2].[Sold].&amp;[21310]" c="21310" nd="1"/>
              <i n="[Table2].[Sold].&amp;[24048]" c="24048" nd="1"/>
              <i n="[Table2].[Sold].&amp;[30655]" c="30655" nd="1"/>
              <i n="[Table2].[Sold].&amp;[31718]" c="31718" nd="1"/>
              <i n="[Table2].[Sold].&amp;[40130]" c="40130" nd="1"/>
              <i n="[Table2].[Sold].&amp;[54052]" c="54052" nd="1"/>
            </range>
          </ranges>
        </level>
      </levels>
      <selections count="1">
        <selection n="[Table2].[Sol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st_Updated__Month" xr10:uid="{B3DD1719-043B-4F29-ACDE-5AC57C7D8DD1}" sourceName="[Table2].[Last Updated (Month)]">
  <pivotTables>
    <pivotTable tabId="20" name="PivotTable1"/>
    <pivotTable tabId="14" name="PivotTable1"/>
    <pivotTable tabId="19" name="PivotTable8"/>
    <pivotTable tabId="18" name="PivotTable7"/>
    <pivotTable tabId="16" name="PivotTable4"/>
  </pivotTables>
  <data>
    <olap pivotCacheId="1599352994">
      <levels count="2">
        <level uniqueName="[Table2].[Last Updated (Month)].[(All)]" sourceCaption="(All)" count="0"/>
        <level uniqueName="[Table2].[Last Updated (Month)].[Last Updated (Month)]" sourceCaption="Last Updated (Month)" count="7">
          <ranges>
            <range startItem="0">
              <i n="[Table2].[Last Updated (Month)].&amp;[Jan]" c="Jan"/>
              <i n="[Table2].[Last Updated (Month)].&amp;[Feb]" c="Feb"/>
              <i n="[Table2].[Last Updated (Month)].&amp;[Mar]" c="Mar"/>
              <i n="[Table2].[Last Updated (Month)].&amp;[Apr]" c="Apr"/>
              <i n="[Table2].[Last Updated (Month)].&amp;[Sep]" c="Sep"/>
              <i n="[Table2].[Last Updated (Month)].&amp;[Oct]" c="Oct"/>
              <i n="[Table2].[Last Updated (Month)].&amp;[Nov]" c="Nov"/>
            </range>
          </ranges>
        </level>
      </levels>
      <selections count="5">
        <selection n="[Table2].[Last Updated (Month)].&amp;[Apr]"/>
        <selection n="[Table2].[Last Updated (Month)].&amp;[Feb]"/>
        <selection n="[Table2].[Last Updated (Month)].&amp;[Jan]"/>
        <selection n="[Table2].[Last Updated (Month)].&amp;[Nov]"/>
        <selection n="[Table2].[Last Updated (Month)].&amp;[Sep]"/>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1" xr10:uid="{CC6205B3-6339-434D-BDFA-7C289335F8B4}" sourceName="[Table2].[Revenue]">
  <pivotTables>
    <pivotTable tabId="20" name="PivotTable1"/>
  </pivotTables>
  <data>
    <olap pivotCacheId="1599352994">
      <levels count="2">
        <level uniqueName="[Table2].[Revenue].[(All)]" sourceCaption="(All)" count="0"/>
        <level uniqueName="[Table2].[Revenue].[Revenue]" sourceCaption="Revenue" count="978">
          <ranges>
            <range startItem="0">
              <i n="[Table2].[Revenue].&amp;[3.499E1]" c="34.99"/>
              <i n="[Table2].[Revenue].&amp;[7.192E1]" c="71.92"/>
              <i n="[Table2].[Revenue].&amp;[1.1192E2]" c="111.92"/>
              <i n="[Table2].[Revenue].&amp;[1.2591E2]" c="125.91"/>
              <i n="[Table2].[Revenue].&amp;[1.526E2]" c="152.6"/>
              <i n="[Table2].[Revenue].&amp;[1.8648000000000002E2]" c="186.48"/>
              <i n="[Table2].[Revenue].&amp;[2.E2]" c="200"/>
              <i n="[Table2].[Revenue].&amp;[2.295E2]" c="229.5"/>
              <i n="[Table2].[Revenue].&amp;[2.3992E2]" c="239.92"/>
              <i n="[Table2].[Revenue].&amp;[3.0248E2]" c="302.48"/>
              <i n="[Table2].[Revenue].&amp;[3.2E2]" c="320"/>
              <i n="[Table2].[Revenue].&amp;[4.1976E2]" c="419.76"/>
              <i n="[Table2].[Revenue].&amp;[4.3989000000000004E2]" c="439.89"/>
              <i n="[Table2].[Revenue].&amp;[4.7571999999999997E2]" c="475.72"/>
              <i n="[Table2].[Revenue].&amp;[4.785E2]" c="478.5"/>
              <i n="[Table2].[Revenue].&amp;[5.733000000000001E2]" c="573.3"/>
              <i n="[Table2].[Revenue].&amp;[5.9988E2]" c="599.88"/>
              <i n="[Table2].[Revenue].&amp;[6.12E2]" c="612"/>
              <i n="[Table2].[Revenue].&amp;[7.0191E2]" c="701.91"/>
              <i n="[Table2].[Revenue].&amp;[7.6989E2]" c="769.89"/>
              <i n="[Table2].[Revenue].&amp;[8.5E2]" c="850"/>
              <i n="[Table2].[Revenue].&amp;[8.625E2]" c="862.5"/>
              <i n="[Table2].[Revenue].&amp;[9.098699999999999E2]" c="909.87"/>
              <i n="[Table2].[Revenue].&amp;[9.390600000000001E2]" c="939.06"/>
              <i n="[Table2].[Revenue].&amp;[9.418900000000001E2]" c="941.89"/>
              <i n="[Table2].[Revenue].&amp;[1.12183E3]" c="1121.83"/>
              <i n="[Table2].[Revenue].&amp;[1.16955E3]" c="1169.55"/>
              <i n="[Table2].[Revenue].&amp;[1.26E3]" c="1260"/>
              <i n="[Table2].[Revenue].&amp;[1.34625E3]" c="1346.25"/>
              <i n="[Table2].[Revenue].&amp;[1.44381E3]" c="1443.81"/>
              <i n="[Table2].[Revenue].&amp;[1.45572E3]" c="1455.72"/>
              <i n="[Table2].[Revenue].&amp;[1.5996000000000001E3]" c="1599.6"/>
              <i n="[Table2].[Revenue].&amp;[1.62E3]" c="1620"/>
              <i n="[Table2].[Revenue].&amp;[1.7493E3]" c="1749.3"/>
              <i n="[Table2].[Revenue].&amp;[1.8503999999999998E3]" c="1850.4"/>
              <i n="[Table2].[Revenue].&amp;[1.9037199999999998E3]" c="1903.72"/>
              <i n="[Table2].[Revenue].&amp;[1.90513E3]" c="1905.13"/>
              <i n="[Table2].[Revenue].&amp;[2.09895E3]" c="2098.95"/>
              <i n="[Table2].[Revenue].&amp;[2.09925E3]" c="2099.25"/>
              <i n="[Table2].[Revenue].&amp;[2.2797599999999997E3]" c="2279.76"/>
              <i n="[Table2].[Revenue].&amp;[2.3664E3]" c="2366.4"/>
              <i n="[Table2].[Revenue].&amp;[2.4387799999999997E3]" c="2438.78"/>
              <i n="[Table2].[Revenue].&amp;[2.9320200000000004E3]" c="2932.02"/>
              <i n="[Table2].[Revenue].&amp;[3.07956E3]" c="3079.56"/>
              <i n="[Table2].[Revenue].&amp;[3.08588E3]" c="3085.88"/>
              <i n="[Table2].[Revenue].&amp;[4.14855E3]" c="4148.55"/>
              <i n="[Table2].[Revenue].&amp;[6.19983E3]" c="6199.83"/>
              <i n="[Table2].[Revenue].&amp;[6.292E3]" c="6292"/>
              <i n="[Table2].[Revenue].&amp;[6.5869E3]" c="6586.9"/>
              <i n="[Table2].[Revenue].&amp;[6.863959999999999E3]" c="6863.96"/>
              <i n="[Table2].[Revenue].&amp;[7.722E3]" c="7722"/>
              <i n="[Table2].[Revenue].&amp;[9.69853E3]" c="9698.53"/>
              <i n="[Table2].[Revenue].&amp;[1.0401439999999998E4]" c="10401.44"/>
              <i n="[Table2].[Revenue].&amp;[1.249359E4]" c="12493.59"/>
              <i n="[Table2].[Revenue].&amp;[1.484865E4]" c="14848.65"/>
              <i n="[Table2].[Revenue].&amp;[1.9046190000000002E4]" c="19046.19"/>
              <i n="[Table2].[Revenue].&amp;[0]" c="0" nd="1"/>
              <i n="[Table2].[Revenue].&amp;[1.2E1]" c="12" nd="1"/>
              <i n="[Table2].[Revenue].&amp;[1.539E1]" c="15.39" nd="1"/>
              <i n="[Table2].[Revenue].&amp;[1.799E1]" c="17.99" nd="1"/>
              <i n="[Table2].[Revenue].&amp;[2.2E1]" c="22" nd="1"/>
              <i n="[Table2].[Revenue].&amp;[2.299E1]" c="22.99" nd="1"/>
              <i n="[Table2].[Revenue].&amp;[2.799E1]" c="27.99" nd="1"/>
              <i n="[Table2].[Revenue].&amp;[3.129E1]" c="31.29" nd="1"/>
              <i n="[Table2].[Revenue].&amp;[3.668E1]" c="36.68" nd="1"/>
              <i n="[Table2].[Revenue].&amp;[4.E1]" c="40" nd="1"/>
              <i n="[Table2].[Revenue].&amp;[4.398E1]" c="43.98" nd="1"/>
              <i n="[Table2].[Revenue].&amp;[4.5E1]" c="45" nd="1"/>
              <i n="[Table2].[Revenue].&amp;[4.535E1]" c="45.35" nd="1"/>
              <i n="[Table2].[Revenue].&amp;[4.8E1]" c="48" nd="1"/>
              <i n="[Table2].[Revenue].&amp;[4.998E1]" c="49.98" nd="1"/>
              <i n="[Table2].[Revenue].&amp;[5.097E1]" c="50.97" nd="1"/>
              <i n="[Table2].[Revenue].&amp;[5.19E1]" c="51.9" nd="1"/>
              <i n="[Table2].[Revenue].&amp;[5.397E1]" c="53.97" nd="1"/>
              <i n="[Table2].[Revenue].&amp;[5.4E1]" c="54" nd="1"/>
              <i n="[Table2].[Revenue].&amp;[5.5E1]" c="55" nd="1"/>
              <i n="[Table2].[Revenue].&amp;[5.934E1]" c="59.34" nd="1"/>
              <i n="[Table2].[Revenue].&amp;[5.99E1]" c="59.9" nd="1"/>
              <i n="[Table2].[Revenue].&amp;[6.1E1]" c="61" nd="1"/>
              <i n="[Table2].[Revenue].&amp;[6.495E1]" c="64.95" nd="1"/>
              <i n="[Table2].[Revenue].&amp;[6.798E1]" c="67.98" nd="1"/>
              <i n="[Table2].[Revenue].&amp;[6.868E1]" c="68.68" nd="1"/>
              <i n="[Table2].[Revenue].&amp;[6.936E1]" c="69.36" nd="1"/>
              <i n="[Table2].[Revenue].&amp;[7.18E1]" c="71.8" nd="1"/>
              <i n="[Table2].[Revenue].&amp;[7.459E1]" c="74.59" nd="1"/>
              <i n="[Table2].[Revenue].&amp;[7.5E1]" c="75" nd="1"/>
              <i n="[Table2].[Revenue].&amp;[7.598E1]" c="75.98" nd="1"/>
              <i n="[Table2].[Revenue].&amp;[7.797E1]" c="77.97" nd="1"/>
              <i n="[Table2].[Revenue].&amp;[7.824E1]" c="78.24" nd="1"/>
              <i n="[Table2].[Revenue].&amp;[7.95E1]" c="79.5" nd="1"/>
              <i n="[Table2].[Revenue].&amp;[7.967999999999999E1]" c="79.68" nd="1"/>
              <i n="[Table2].[Revenue].&amp;[7.996E1]" c="79.96" nd="1"/>
              <i n="[Table2].[Revenue].&amp;[7.999E1]" c="79.99" nd="1"/>
              <i n="[Table2].[Revenue].&amp;[8.697E1]" c="86.97" nd="1"/>
              <i n="[Table2].[Revenue].&amp;[9.044E1]" c="90.44" nd="1"/>
              <i n="[Table2].[Revenue].&amp;[9.1E1]" c="91" nd="1"/>
              <i n="[Table2].[Revenue].&amp;[9.205E1]" c="92.05" nd="1"/>
              <i n="[Table2].[Revenue].&amp;[9.772E1]" c="97.72" nd="1"/>
              <i n="[Table2].[Revenue].&amp;[9.8E1]" c="98" nd="1"/>
              <i n="[Table2].[Revenue].&amp;[9.865E1]" c="98.65" nd="1"/>
              <i n="[Table2].[Revenue].&amp;[9.897E1]" c="98.97" nd="1"/>
              <i n="[Table2].[Revenue].&amp;[9.9E1]" c="99" nd="1"/>
              <i n="[Table2].[Revenue].&amp;[1.E2]" c="100" nd="1"/>
              <i n="[Table2].[Revenue].&amp;[1.0356E2]" c="103.56" nd="1"/>
              <i n="[Table2].[Revenue].&amp;[1.0497E2]" c="104.97" nd="1"/>
              <i n="[Table2].[Revenue].&amp;[1.0710000000000001E2]" c="107.1" nd="1"/>
              <i n="[Table2].[Revenue].&amp;[1.0797E2]" c="107.97" nd="1"/>
              <i n="[Table2].[Revenue].&amp;[1.1193E2]" c="111.93" nd="1"/>
              <i n="[Table2].[Revenue].&amp;[1.1745E2]" c="117.45" nd="1"/>
              <i n="[Table2].[Revenue].&amp;[1.1969999999999999E2]" c="119.7" nd="1"/>
              <i n="[Table2].[Revenue].&amp;[1.1994E2]" c="119.94" nd="1"/>
              <i n="[Table2].[Revenue].&amp;[1.1997E2]" c="119.97" nd="1"/>
              <i n="[Table2].[Revenue].&amp;[1.238E2]" c="123.8" nd="1"/>
              <i n="[Table2].[Revenue].&amp;[1.2712E2]" c="127.12" nd="1"/>
              <i n="[Table2].[Revenue].&amp;[1.299E2]" c="129.9" nd="1"/>
              <i n="[Table2].[Revenue].&amp;[1.3047E2]" c="130.47" nd="1"/>
              <i n="[Table2].[Revenue].&amp;[1.3189000000000001E2]" c="131.89" nd="1"/>
              <i n="[Table2].[Revenue].&amp;[1.32E2]" c="132" nd="1"/>
              <i n="[Table2].[Revenue].&amp;[1.3375E2]" c="133.75" nd="1"/>
              <i n="[Table2].[Revenue].&amp;[1.3396E2]" c="133.96" nd="1"/>
              <i n="[Table2].[Revenue].&amp;[1.3475E2]" c="134.75" nd="1"/>
              <i n="[Table2].[Revenue].&amp;[1.35E2]" c="135" nd="1"/>
              <i n="[Table2].[Revenue].&amp;[1.38E2]" c="138" nd="1"/>
              <i n="[Table2].[Revenue].&amp;[1.3811E2]" c="138.11" nd="1"/>
              <i n="[Table2].[Revenue].&amp;[1.3996E2]" c="139.96" nd="1"/>
              <i n="[Table2].[Revenue].&amp;[1.3998E2]" c="139.98" nd="1"/>
              <i n="[Table2].[Revenue].&amp;[1.4E2]" c="140" nd="1"/>
              <i n="[Table2].[Revenue].&amp;[1.4025E2]" c="140.25" nd="1"/>
              <i n="[Table2].[Revenue].&amp;[1.4094E2]" c="140.94" nd="1"/>
              <i n="[Table2].[Revenue].&amp;[1.4097E2]" c="140.97" nd="1"/>
              <i n="[Table2].[Revenue].&amp;[1.43E2]" c="143" nd="1"/>
              <i n="[Table2].[Revenue].&amp;[1.4475E2]" c="144.75" nd="1"/>
              <i n="[Table2].[Revenue].&amp;[1.497E2]" c="149.7" nd="1"/>
              <i n="[Table2].[Revenue].&amp;[1.4994E2]" c="149.94" nd="1"/>
              <i n="[Table2].[Revenue].&amp;[1.4997E2]" c="149.97" nd="1"/>
              <i n="[Table2].[Revenue].&amp;[1.5192E2]" c="151.92" nd="1"/>
              <i n="[Table2].[Revenue].&amp;[1.5588E2]" c="155.88" nd="1"/>
              <i n="[Table2].[Revenue].&amp;[1.5953E2]" c="159.53" nd="1"/>
              <i n="[Table2].[Revenue].&amp;[1.5975E2]" c="159.75" nd="1"/>
              <i n="[Table2].[Revenue].&amp;[1.5992E2]" c="159.92" nd="1"/>
              <i n="[Table2].[Revenue].&amp;[1.5996E2]" c="159.96" nd="1"/>
              <i n="[Table2].[Revenue].&amp;[1.6182E2]" c="161.82" nd="1"/>
              <i n="[Table2].[Revenue].&amp;[1.6197E2]" c="161.97" nd="1"/>
              <i n="[Table2].[Revenue].&amp;[1.6337E2]" c="163.37" nd="1"/>
              <i n="[Table2].[Revenue].&amp;[1.6445E2]" c="164.45" nd="1"/>
              <i n="[Table2].[Revenue].&amp;[1.6598E2]" c="165.98" nd="1"/>
              <i n="[Table2].[Revenue].&amp;[1.6910999999999998E2]" c="169.11" nd="1"/>
              <i n="[Table2].[Revenue].&amp;[1.6914000000000001E2]" c="169.14" nd="1"/>
              <i n="[Table2].[Revenue].&amp;[1.6956E2]" c="169.56" nd="1"/>
              <i n="[Table2].[Revenue].&amp;[1.7697E2]" c="176.97" nd="1"/>
              <i n="[Table2].[Revenue].&amp;[1.7796E2]" c="177.96" nd="1"/>
              <i n="[Table2].[Revenue].&amp;[1.7985E2]" c="179.85" nd="1"/>
              <i n="[Table2].[Revenue].&amp;[1.7994E2]" c="179.94" nd="1"/>
              <i n="[Table2].[Revenue].&amp;[1.7997E2]" c="179.97" nd="1"/>
              <i n="[Table2].[Revenue].&amp;[1.8E2]" c="180" nd="1"/>
              <i n="[Table2].[Revenue].&amp;[1.8017999999999998E2]" c="180.18" nd="1"/>
              <i n="[Table2].[Revenue].&amp;[1.82E2]" c="182" nd="1"/>
              <i n="[Table2].[Revenue].&amp;[1.8899E2]" c="188.99" nd="1"/>
              <i n="[Table2].[Revenue].&amp;[1.8981E2]" c="189.81" nd="1"/>
              <i n="[Table2].[Revenue].&amp;[1.9686E2]" c="196.86" nd="1"/>
              <i n="[Table2].[Revenue].&amp;[1.996E2]" c="199.6" nd="1"/>
              <i n="[Table2].[Revenue].&amp;[1.9975E2]" c="199.75" nd="1"/>
              <i n="[Table2].[Revenue].&amp;[1.9984E2]" c="199.84" nd="1"/>
              <i n="[Table2].[Revenue].&amp;[1.9989999999999998E2]" c="199.9" nd="1"/>
              <i n="[Table2].[Revenue].&amp;[1.9995000000000002E2]" c="199.95" nd="1"/>
              <i n="[Table2].[Revenue].&amp;[2.025E2]" c="202.5" nd="1"/>
              <i n="[Table2].[Revenue].&amp;[2.0292999999999998E2]" c="202.93" nd="1"/>
              <i n="[Table2].[Revenue].&amp;[2.07E2]" c="207" nd="1"/>
              <i n="[Table2].[Revenue].&amp;[2.0992999999999998E2]" c="209.93" nd="1"/>
              <i n="[Table2].[Revenue].&amp;[2.1233E2]" c="212.33" nd="1"/>
              <i n="[Table2].[Revenue].&amp;[2.1368E2]" c="213.68" nd="1"/>
              <i n="[Table2].[Revenue].&amp;[2.151E2]" c="215.1" nd="1"/>
              <i n="[Table2].[Revenue].&amp;[2.1576E2]" c="215.76" nd="1"/>
              <i n="[Table2].[Revenue].&amp;[2.1596999999999997E2]" c="215.97" nd="1"/>
              <i n="[Table2].[Revenue].&amp;[2.1732E2]" c="217.32" nd="1"/>
              <i n="[Table2].[Revenue].&amp;[2.1944E2]" c="219.44" nd="1"/>
              <i n="[Table2].[Revenue].&amp;[2.1978E2]" c="219.78" nd="1"/>
              <i n="[Table2].[Revenue].&amp;[2.21E2]" c="221" nd="1"/>
              <i n="[Table2].[Revenue].&amp;[2.2386E2]" c="223.86" nd="1"/>
              <i n="[Table2].[Revenue].&amp;[2.2785000000000002E2]" c="227.85" nd="1"/>
              <i n="[Table2].[Revenue].&amp;[2.28E2]" c="228" nd="1"/>
              <i n="[Table2].[Revenue].&amp;[2.284E2]" c="228.4" nd="1"/>
              <i n="[Table2].[Revenue].&amp;[2.36E2]" c="236" nd="1"/>
              <i n="[Table2].[Revenue].&amp;[2.3989999999999998E2]" c="239.9" nd="1"/>
              <i n="[Table2].[Revenue].&amp;[2.4815E2]" c="248.15" nd="1"/>
              <i n="[Table2].[Revenue].&amp;[2.5E2]" c="250" nd="1"/>
              <i n="[Table2].[Revenue].&amp;[2.5191E2]" c="251.91" nd="1"/>
              <i n="[Table2].[Revenue].&amp;[2.556E2]" c="255.6" nd="1"/>
              <i n="[Table2].[Revenue].&amp;[2.5784999999999996E2]" c="257.85" nd="1"/>
              <i n="[Table2].[Revenue].&amp;[2.5893E2]" c="258.93" nd="1"/>
              <i n="[Table2].[Revenue].&amp;[2.6312E2]" c="263.12" nd="1"/>
              <i n="[Table2].[Revenue].&amp;[2.6368E2]" c="263.68" nd="1"/>
              <i n="[Table2].[Revenue].&amp;[2.64E2]" c="264" nd="1"/>
              <i n="[Table2].[Revenue].&amp;[2.6585999999999995E2]" c="265.86" nd="1"/>
              <i n="[Table2].[Revenue].&amp;[2.696E2]" c="269.6" nd="1"/>
              <i n="[Table2].[Revenue].&amp;[2.6990999999999996E2]" c="269.91" nd="1"/>
              <i n="[Table2].[Revenue].&amp;[2.7013E2]" c="270.13" nd="1"/>
              <i n="[Table2].[Revenue].&amp;[2.7152E2]" c="271.52" nd="1"/>
              <i n="[Table2].[Revenue].&amp;[2.7293E2]" c="272.93" nd="1"/>
              <i n="[Table2].[Revenue].&amp;[2.7588E2]" c="275.88" nd="1"/>
              <i n="[Table2].[Revenue].&amp;[2.8E2]" c="280" nd="1"/>
              <i n="[Table2].[Revenue].&amp;[2.8190000000000003E2]" c="281.9" nd="1"/>
              <i n="[Table2].[Revenue].&amp;[2.8369E2]" c="283.69" nd="1"/>
              <i n="[Table2].[Revenue].&amp;[2.899E2]" c="289.9" nd="1"/>
              <i n="[Table2].[Revenue].&amp;[2.9365000000000003E2]" c="293.65" nd="1"/>
              <i n="[Table2].[Revenue].&amp;[2.9846999999999997E2]" c="298.47" nd="1"/>
              <i n="[Table2].[Revenue].&amp;[2.9954999999999995E2]" c="299.55" nd="1"/>
              <i n="[Table2].[Revenue].&amp;[2.998E2]" c="299.8" nd="1"/>
              <i n="[Table2].[Revenue].&amp;[2.999E2]" c="299.9" nd="1"/>
              <i n="[Table2].[Revenue].&amp;[2.9996E2]" c="299.96" nd="1"/>
              <i n="[Table2].[Revenue].&amp;[3.06E2]" c="306" nd="1"/>
              <i n="[Table2].[Revenue].&amp;[3.1491E2]" c="314.91" nd="1"/>
              <i n="[Table2].[Revenue].&amp;[3.1933000000000004E2]" c="319.33" nd="1"/>
              <i n="[Table2].[Revenue].&amp;[3.195E2]" c="319.5" nd="1"/>
              <i n="[Table2].[Revenue].&amp;[3.1968E2]" c="319.68" nd="1"/>
              <i n="[Table2].[Revenue].&amp;[3.198E2]" c="319.8" nd="1"/>
              <i n="[Table2].[Revenue].&amp;[3.1998E2]" c="319.98" nd="1"/>
              <i n="[Table2].[Revenue].&amp;[3.2185999999999995E2]" c="321.86" nd="1"/>
              <i n="[Table2].[Revenue].&amp;[3.2535999999999995E2]" c="325.36" nd="1"/>
              <i n="[Table2].[Revenue].&amp;[3.2885999999999995E2]" c="328.86" nd="1"/>
              <i n="[Table2].[Revenue].&amp;[3.2990000000000003E2]" c="329.9" nd="1"/>
              <i n="[Table2].[Revenue].&amp;[3.2994E2]" c="329.94" nd="1"/>
              <i n="[Table2].[Revenue].&amp;[3.3012E2]" c="330.12" nd="1"/>
              <i n="[Table2].[Revenue].&amp;[3.3446000000000003E2]" c="334.46" nd="1"/>
              <i n="[Table2].[Revenue].&amp;[3.36E2]" c="336" nd="1"/>
              <i n="[Table2].[Revenue].&amp;[3.3809999999999996E2]" c="338.1" nd="1"/>
              <i n="[Table2].[Revenue].&amp;[3.4159999999999996E2]" c="341.6" nd="1"/>
              <i n="[Table2].[Revenue].&amp;[3.436E2]" c="343.6" nd="1"/>
              <i n="[Table2].[Revenue].&amp;[3.4764E2]" c="347.64" nd="1"/>
              <i n="[Table2].[Revenue].&amp;[3.5196E2]" c="351.96" nd="1"/>
              <i n="[Table2].[Revenue].&amp;[3.5514E2]" c="355.14" nd="1"/>
              <i n="[Table2].[Revenue].&amp;[3.5596E2]" c="355.96" nd="1"/>
              <i n="[Table2].[Revenue].&amp;[3.5988E2]" c="359.88" nd="1"/>
              <i n="[Table2].[Revenue].&amp;[3.5991E2]" c="359.91" nd="1"/>
              <i n="[Table2].[Revenue].&amp;[3.6084000000000003E2]" c="360.84" nd="1"/>
              <i n="[Table2].[Revenue].&amp;[3.7093E2]" c="370.93" nd="1"/>
              <i n="[Table2].[Revenue].&amp;[3.7240000000000003E2]" c="372.4" nd="1"/>
              <i n="[Table2].[Revenue].&amp;[3.7378E2]" c="373.78" nd="1"/>
              <i n="[Table2].[Revenue].&amp;[3.7785999999999995E2]" c="377.86" nd="1"/>
              <i n="[Table2].[Revenue].&amp;[3.7869E2]" c="378.69" nd="1"/>
              <i n="[Table2].[Revenue].&amp;[3.834E2]" c="383.4" nd="1"/>
              <i n="[Table2].[Revenue].&amp;[3.8376E2]" c="383.76" nd="1"/>
              <i n="[Table2].[Revenue].&amp;[3.8394E2]" c="383.94" nd="1"/>
              <i n="[Table2].[Revenue].&amp;[3.8465000000000003E2]" c="384.65" nd="1"/>
              <i n="[Table2].[Revenue].&amp;[3.9088E2]" c="390.88" nd="1"/>
              <i n="[Table2].[Revenue].&amp;[3.9096E2]" c="390.96" nd="1"/>
              <i n="[Table2].[Revenue].&amp;[3.946E2]" c="394.6" nd="1"/>
              <i n="[Table2].[Revenue].&amp;[3.9552E2]" c="395.52" nd="1"/>
              <i n="[Table2].[Revenue].&amp;[3.9825E2]" c="398.25" nd="1"/>
              <i n="[Table2].[Revenue].&amp;[3.9944E2]" c="399.44" nd="1"/>
              <i n="[Table2].[Revenue].&amp;[3.9990000000000003E2]" c="399.9" nd="1"/>
              <i n="[Table2].[Revenue].&amp;[4.0315E2]" c="403.15" nd="1"/>
              <i n="[Table2].[Revenue].&amp;[4.1364E2]" c="413.64" nd="1"/>
              <i n="[Table2].[Revenue].&amp;[4.1495E2]" c="414.95" nd="1"/>
              <i n="[Table2].[Revenue].&amp;[4.1762E2]" c="417.62" nd="1"/>
              <i n="[Table2].[Revenue].&amp;[4.1769E2]" c="417.69" nd="1"/>
              <i n="[Table2].[Revenue].&amp;[4.1972E2]" c="419.72" nd="1"/>
              <i n="[Table2].[Revenue].&amp;[4.1993999999999994E2]" c="419.94" nd="1"/>
              <i n="[Table2].[Revenue].&amp;[4.1995E2]" c="419.95" nd="1"/>
              <i n="[Table2].[Revenue].&amp;[4.2815999999999996E2]" c="428.16" nd="1"/>
              <i n="[Table2].[Revenue].&amp;[4.388E2]" c="438.8" nd="1"/>
              <i n="[Table2].[Revenue].&amp;[4.3992E2]" c="439.92" nd="1"/>
              <i n="[Table2].[Revenue].&amp;[4.4E2]" c="440" nd="1"/>
              <i n="[Table2].[Revenue].&amp;[4.4388E2]" c="443.88" nd="1"/>
              <i n="[Table2].[Revenue].&amp;[4.4982E2]" c="449.82" nd="1"/>
              <i n="[Table2].[Revenue].&amp;[4.4995E2]" c="449.95" nd="1"/>
              <i n="[Table2].[Revenue].&amp;[4.56E2]" c="456" nd="1"/>
              <i n="[Table2].[Revenue].&amp;[4.6E2]" c="460" nd="1"/>
              <i n="[Table2].[Revenue].&amp;[4.6236E2]" c="462.36" nd="1"/>
              <i n="[Table2].[Revenue].&amp;[4.6584999999999996E2]" c="465.85" nd="1"/>
              <i n="[Table2].[Revenue].&amp;[4.6761E2]" c="467.61" nd="1"/>
              <i n="[Table2].[Revenue].&amp;[4.7984999999999996E2]" c="479.85" nd="1"/>
              <i n="[Table2].[Revenue].&amp;[4.86E2]" c="486" nd="1"/>
              <i n="[Table2].[Revenue].&amp;[4.95E2]" c="495" nd="1"/>
              <i n="[Table2].[Revenue].&amp;[4.952E2]" c="495.2" nd="1"/>
              <i n="[Table2].[Revenue].&amp;[5.0983E2]" c="509.83" nd="1"/>
              <i n="[Table2].[Revenue].&amp;[5.1E2]" c="510" nd="1"/>
              <i n="[Table2].[Revenue].&amp;[5.1527E2]" c="515.27" nd="1"/>
              <i n="[Table2].[Revenue].&amp;[5.16E2]" c="516" nd="1"/>
              <i n="[Table2].[Revenue].&amp;[5.17E2]" c="517" nd="1"/>
              <i n="[Table2].[Revenue].&amp;[5.176500000000001E2]" c="517.65" nd="1"/>
              <i n="[Table2].[Revenue].&amp;[5.1974E2]" c="519.74" nd="1"/>
              <i n="[Table2].[Revenue].&amp;[5.291999999999999E2]" c="529.2" nd="1"/>
              <i n="[Table2].[Revenue].&amp;[5.4E2]" c="540" nd="1"/>
              <i n="[Table2].[Revenue].&amp;[5.499499999999999E2]" c="549.95" nd="1"/>
              <i n="[Table2].[Revenue].&amp;[5.5E2]" c="550" nd="1"/>
              <i n="[Table2].[Revenue].&amp;[5.51E2]" c="551" nd="1"/>
              <i n="[Table2].[Revenue].&amp;[5.52E2]" c="552" nd="1"/>
              <i n="[Table2].[Revenue].&amp;[5.5996E2]" c="559.96" nd="1"/>
              <i n="[Table2].[Revenue].&amp;[5.6679E2]" c="566.79" nd="1"/>
              <i n="[Table2].[Revenue].&amp;[5.719499999999999E2]" c="571.95" nd="1"/>
              <i n="[Table2].[Revenue].&amp;[5.745999999999999E2]" c="574.6" nd="1"/>
              <i n="[Table2].[Revenue].&amp;[5.817E2]" c="581.7" nd="1"/>
              <i n="[Table2].[Revenue].&amp;[5.8487E2]" c="584.87" nd="1"/>
              <i n="[Table2].[Revenue].&amp;[5.8725E2]" c="587.25" nd="1"/>
              <i n="[Table2].[Revenue].&amp;[5.8816E2]" c="588.16" nd="1"/>
              <i n="[Table2].[Revenue].&amp;[5.9184E2]" c="591.84" nd="1"/>
              <i n="[Table2].[Revenue].&amp;[5.9483E2]" c="594.83" nd="1"/>
              <i n="[Table2].[Revenue].&amp;[5.9493E2]" c="594.93" nd="1"/>
              <i n="[Table2].[Revenue].&amp;[6.0792E2]" c="607.92" nd="1"/>
              <i n="[Table2].[Revenue].&amp;[6.0995E2]" c="609.95" nd="1"/>
              <i n="[Table2].[Revenue].&amp;[6.1149E2]" c="611.49" nd="1"/>
              <i n="[Table2].[Revenue].&amp;[6.199499999999999E2]" c="619.95" nd="1"/>
              <i n="[Table2].[Revenue].&amp;[6.2387E2]" c="623.87" nd="1"/>
              <i n="[Table2].[Revenue].&amp;[6.2985E2]" c="629.85" nd="1"/>
              <i n="[Table2].[Revenue].&amp;[6.2986E2]" c="629.86" nd="1"/>
              <i n="[Table2].[Revenue].&amp;[6.381E2]" c="638.1" nd="1"/>
              <i n="[Table2].[Revenue].&amp;[6.3984E2]" c="639.84" nd="1"/>
              <i n="[Table2].[Revenue].&amp;[6.401999999999999E2]" c="640.2" nd="1"/>
              <i n="[Table2].[Revenue].&amp;[6.4386E2]" c="643.86" nd="1"/>
              <i n="[Table2].[Revenue].&amp;[6.4837E2]" c="648.37" nd="1"/>
              <i n="[Table2].[Revenue].&amp;[6.54E2]" c="654" nd="1"/>
              <i n="[Table2].[Revenue].&amp;[6.5584E2]" c="655.84" nd="1"/>
              <i n="[Table2].[Revenue].&amp;[6.56E2]" c="656" nd="1"/>
              <i n="[Table2].[Revenue].&amp;[6.6E2]" c="660" nd="1"/>
              <i n="[Table2].[Revenue].&amp;[6.613199999999999E2]" c="661.32" nd="1"/>
              <i n="[Table2].[Revenue].&amp;[6.6276E2]" c="662.76" nd="1"/>
              <i n="[Table2].[Revenue].&amp;[6.631200000000001E2]" c="663.12" nd="1"/>
              <i n="[Table2].[Revenue].&amp;[6.648100000000001E2]" c="664.81" nd="1"/>
              <i n="[Table2].[Revenue].&amp;[6.6672E2]" c="666.72" nd="1"/>
              <i n="[Table2].[Revenue].&amp;[6.6677E2]" c="666.77" nd="1"/>
              <i n="[Table2].[Revenue].&amp;[6.7176E2]" c="671.76" nd="1"/>
              <i n="[Table2].[Revenue].&amp;[6.768E2]" c="676.8" nd="1"/>
              <i n="[Table2].[Revenue].&amp;[6.7992E2]" c="679.92" nd="1"/>
              <i n="[Table2].[Revenue].&amp;[6.812099999999999E2]" c="681.21" nd="1"/>
              <i n="[Table2].[Revenue].&amp;[6.8324E2]" c="683.24" nd="1"/>
              <i n="[Table2].[Revenue].&amp;[6.861E2]" c="686.1" nd="1"/>
              <i n="[Table2].[Revenue].&amp;[6.9683E2]" c="696.83" nd="1"/>
              <i n="[Table2].[Revenue].&amp;[7.0485E2]" c="704.85" nd="1"/>
              <i n="[Table2].[Revenue].&amp;[7.074000000000001E2]" c="707.4" nd="1"/>
              <i n="[Table2].[Revenue].&amp;[7.0992E2]" c="709.92" nd="1"/>
              <i n="[Table2].[Revenue].&amp;[7.126899999999999E2]" c="712.69" nd="1"/>
              <i n="[Table2].[Revenue].&amp;[7.192E2]" c="719.2" nd="1"/>
              <i n="[Table2].[Revenue].&amp;[7.1955E2]" c="719.55" nd="1"/>
              <i n="[Table2].[Revenue].&amp;[7.1982E2]" c="719.82" nd="1"/>
              <i n="[Table2].[Revenue].&amp;[7.1992E2]" c="719.92" nd="1"/>
              <i n="[Table2].[Revenue].&amp;[7.2E2]" c="720" nd="1"/>
              <i n="[Table2].[Revenue].&amp;[7.216199999999999E2]" c="721.62" nd="1"/>
              <i n="[Table2].[Revenue].&amp;[7.2248E2]" c="722.48" nd="1"/>
              <i n="[Table2].[Revenue].&amp;[7.471500000000001E2]" c="747.15" nd="1"/>
              <i n="[Table2].[Revenue].&amp;[7.4975E2]" c="749.75" nd="1"/>
              <i n="[Table2].[Revenue].&amp;[7.4985E2]" c="749.85" nd="1"/>
              <i n="[Table2].[Revenue].&amp;[7.5175E2]" c="751.75" nd="1"/>
              <i n="[Table2].[Revenue].&amp;[7.588000000000001E2]" c="758.8" nd="1"/>
              <i n="[Table2].[Revenue].&amp;[7.59E2]" c="759" nd="1"/>
              <i n="[Table2].[Revenue].&amp;[7.598100000000001E2]" c="759.81" nd="1"/>
              <i n="[Table2].[Revenue].&amp;[7.6485E2]" c="764.85" nd="1"/>
              <i n="[Table2].[Revenue].&amp;[7.6784E2]" c="767.84" nd="1"/>
              <i n="[Table2].[Revenue].&amp;[7.798000000000001E2]" c="779.8" nd="1"/>
              <i n="[Table2].[Revenue].&amp;[7.975E2]" c="797.5" nd="1"/>
              <i n="[Table2].[Revenue].&amp;[7.9992E2]" c="799.92" nd="1"/>
              <i n="[Table2].[Revenue].&amp;[8.1583E2]" c="815.83" nd="1"/>
              <i n="[Table2].[Revenue].&amp;[8.28E2]" c="828" nd="1"/>
              <i n="[Table2].[Revenue].&amp;[8.3394E2]" c="833.94" nd="1"/>
              <i n="[Table2].[Revenue].&amp;[8.3986E2]" c="839.86" nd="1"/>
              <i n="[Table2].[Revenue].&amp;[8.4E2]" c="840" nd="1"/>
              <i n="[Table2].[Revenue].&amp;[8.548100000000001E2]" c="854.81" nd="1"/>
              <i n="[Table2].[Revenue].&amp;[8.6384E2]" c="863.84" nd="1"/>
              <i n="[Table2].[Revenue].&amp;[8.7927E2]" c="879.27" nd="1"/>
              <i n="[Table2].[Revenue].&amp;[8.7989E2]" c="879.89" nd="1"/>
              <i n="[Table2].[Revenue].&amp;[8.99E2]" c="899" nd="1"/>
              <i n="[Table2].[Revenue].&amp;[8.9995E2]" c="899.95" nd="1"/>
              <i n="[Table2].[Revenue].&amp;[9.091400000000001E2]" c="909.14" nd="1"/>
              <i n="[Table2].[Revenue].&amp;[9.1791E2]" c="917.91" nd="1"/>
              <i n="[Table2].[Revenue].&amp;[9.197700000000001E2]" c="919.77" nd="1"/>
              <i n="[Table2].[Revenue].&amp;[9.2004E2]" c="920.04" nd="1"/>
              <i n="[Table2].[Revenue].&amp;[9.36E2]" c="936" nd="1"/>
              <i n="[Table2].[Revenue].&amp;[9.479799999999999E2]" c="947.98" nd="1"/>
              <i n="[Table2].[Revenue].&amp;[9.4924E2]" c="949.24" nd="1"/>
              <i n="[Table2].[Revenue].&amp;[9.498100000000001E2]" c="949.81" nd="1"/>
              <i n="[Table2].[Revenue].&amp;[9.5E2]" c="950" nd="1"/>
              <i n="[Table2].[Revenue].&amp;[9.7173E2]" c="971.73" nd="1"/>
              <i n="[Table2].[Revenue].&amp;[9.748499999999999E2]" c="974.85" nd="1"/>
              <i n="[Table2].[Revenue].&amp;[9.7584E2]" c="975.84" nd="1"/>
              <i n="[Table2].[Revenue].&amp;[9.876199999999999E2]" c="987.62" nd="1"/>
              <i n="[Table2].[Revenue].&amp;[9.8774E2]" c="987.74" nd="1"/>
              <i n="[Table2].[Revenue].&amp;[9.904000000000001E2]" c="990.4" nd="1"/>
              <i n="[Table2].[Revenue].&amp;[9.9138E2]" c="991.38" nd="1"/>
              <i n="[Table2].[Revenue].&amp;[9.9975E2]" c="999.75" nd="1"/>
              <i n="[Table2].[Revenue].&amp;[1.02897E3]" c="1028.97" nd="1"/>
              <i n="[Table2].[Revenue].&amp;[1.03935E3]" c="1039.35" nd="1"/>
              <i n="[Table2].[Revenue].&amp;[1.03974E3]" c="1039.74" nd="1"/>
              <i n="[Table2].[Revenue].&amp;[1.03987E3]" c="1039.87" nd="1"/>
              <i n="[Table2].[Revenue].&amp;[1.04979E3]" c="1049.79" nd="1"/>
              <i n="[Table2].[Revenue].&amp;[1.056E3]" c="1056" nd="1"/>
              <i n="[Table2].[Revenue].&amp;[1.0713E3]" c="1071.3" nd="1"/>
              <i n="[Table2].[Revenue].&amp;[1.07928E3]" c="1079.28" nd="1"/>
              <i n="[Table2].[Revenue].&amp;[1.08E3]" c="1080" nd="1"/>
              <i n="[Table2].[Revenue].&amp;[1.08228E3]" c="1082.28" nd="1"/>
              <i n="[Table2].[Revenue].&amp;[1.08469E3]" c="1084.69" nd="1"/>
              <i n="[Table2].[Revenue].&amp;[1.08472E3]" c="1084.72" nd="1"/>
              <i n="[Table2].[Revenue].&amp;[1.08515E3]" c="1085.15" nd="1"/>
              <i n="[Table2].[Revenue].&amp;[1.10487E3]" c="1104.87" nd="1"/>
              <i n="[Table2].[Revenue].&amp;[1.1055E3]" c="1105.5" nd="1"/>
              <i n="[Table2].[Revenue].&amp;[1.11219E3]" c="1112.19" nd="1"/>
              <i n="[Table2].[Revenue].&amp;[1.1128E3]" c="1112.8" nd="1"/>
              <i n="[Table2].[Revenue].&amp;[1.1142E3]" c="1114.2" nd="1"/>
              <i n="[Table2].[Revenue].&amp;[1.1167E3]" c="1116.7" nd="1"/>
              <i n="[Table2].[Revenue].&amp;[1.11774E3]" c="1117.74" nd="1"/>
              <i n="[Table2].[Revenue].&amp;[1.1196499999999998E3]" c="1119.65" nd="1"/>
              <i n="[Table2].[Revenue].&amp;[1.125E3]" c="1125" nd="1"/>
              <i n="[Table2].[Revenue].&amp;[1.1594199999999998E3]" c="1159.42" nd="1"/>
              <i n="[Table2].[Revenue].&amp;[1.16091E3]" c="1160.91" nd="1"/>
              <i n="[Table2].[Revenue].&amp;[1.1775E3]" c="1177.5" nd="1"/>
              <i n="[Table2].[Revenue].&amp;[1.18105E3]" c="1181.05" nd="1"/>
              <i n="[Table2].[Revenue].&amp;[1.18368E3]" c="1183.68" nd="1"/>
              <i n="[Table2].[Revenue].&amp;[1.18421E3]" c="1184.21" nd="1"/>
              <i n="[Table2].[Revenue].&amp;[1.18668E3]" c="1186.68" nd="1"/>
              <i n="[Table2].[Revenue].&amp;[1.188E3]" c="1188" nd="1"/>
              <i n="[Table2].[Revenue].&amp;[1.19548E3]" c="1195.48" nd="1"/>
              <i n="[Table2].[Revenue].&amp;[1.197E3]" c="1197" nd="1"/>
              <i n="[Table2].[Revenue].&amp;[1.19835E3]" c="1198.35" nd="1"/>
              <i n="[Table2].[Revenue].&amp;[1.19976E3]" c="1199.76" nd="1"/>
              <i n="[Table2].[Revenue].&amp;[1.1998E3]" c="1199.8" nd="1"/>
              <i n="[Table2].[Revenue].&amp;[1.19985E3]" c="1199.85" nd="1"/>
              <i n="[Table2].[Revenue].&amp;[1.20447E3]" c="1204.47" nd="1"/>
              <i n="[Table2].[Revenue].&amp;[1.20861E3]" c="1208.61" nd="1"/>
              <i n="[Table2].[Revenue].&amp;[1.20978E3]" c="1209.78" nd="1"/>
              <i n="[Table2].[Revenue].&amp;[1.2104E3]" c="1210.4" nd="1"/>
              <i n="[Table2].[Revenue].&amp;[1.21209E3]" c="1212.09" nd="1"/>
              <i n="[Table2].[Revenue].&amp;[1.21473E3]" c="1214.73" nd="1"/>
              <i n="[Table2].[Revenue].&amp;[1.21652E3]" c="1216.52" nd="1"/>
              <i n="[Table2].[Revenue].&amp;[1.24722E3]" c="1247.22" nd="1"/>
              <i n="[Table2].[Revenue].&amp;[1.24975E3]" c="1249.75" nd="1"/>
              <i n="[Table2].[Revenue].&amp;[1.25958E3]" c="1259.58" nd="1"/>
              <i n="[Table2].[Revenue].&amp;[1.26678E3]" c="1266.78" nd="1"/>
              <i n="[Table2].[Revenue].&amp;[1.2697299999999998E3]" c="1269.73" nd="1"/>
              <i n="[Table2].[Revenue].&amp;[1.27149E3]" c="1271.49" nd="1"/>
              <i n="[Table2].[Revenue].&amp;[1.2796E3]" c="1279.6" nd="1"/>
              <i n="[Table2].[Revenue].&amp;[1.28556E3]" c="1285.56" nd="1"/>
              <i n="[Table2].[Revenue].&amp;[1.29519E3]" c="1295.19" nd="1"/>
              <i n="[Table2].[Revenue].&amp;[1.29555E3]" c="1295.55" nd="1"/>
              <i n="[Table2].[Revenue].&amp;[1.29778E3]" c="1297.78" nd="1"/>
              <i n="[Table2].[Revenue].&amp;[1.31575E3]" c="1315.75" nd="1"/>
              <i n="[Table2].[Revenue].&amp;[1.33694E3]" c="1336.94" nd="1"/>
              <i n="[Table2].[Revenue].&amp;[1.35983E3]" c="1359.83" nd="1"/>
              <i n="[Table2].[Revenue].&amp;[1.35984E3]" c="1359.84" nd="1"/>
              <i n="[Table2].[Revenue].&amp;[1.36863E3]" c="1368.63" nd="1"/>
              <i n="[Table2].[Revenue].&amp;[1.3723999999999998E3]" c="1372.4" nd="1"/>
              <i n="[Table2].[Revenue].&amp;[1.3755E3]" c="1375.5" nd="1"/>
              <i n="[Table2].[Revenue].&amp;[1.376E3]" c="1376" nd="1"/>
              <i n="[Table2].[Revenue].&amp;[1.3798E3]" c="1379.8" nd="1"/>
              <i n="[Table2].[Revenue].&amp;[1.386E3]" c="1386" nd="1"/>
              <i n="[Table2].[Revenue].&amp;[1.39965E3]" c="1399.65" nd="1"/>
              <i n="[Table2].[Revenue].&amp;[1.40756E3]" c="1407.56" nd="1"/>
              <i n="[Table2].[Revenue].&amp;[1.40859E3]" c="1408.59" nd="1"/>
              <i n="[Table2].[Revenue].&amp;[1.4163899999999998E3]" c="1416.39" nd="1"/>
              <i n="[Table2].[Revenue].&amp;[1.419E3]" c="1419" nd="1"/>
              <i n="[Table2].[Revenue].&amp;[1.4223E3]" c="1422.3" nd="1"/>
              <i n="[Table2].[Revenue].&amp;[1.42395E3]" c="1423.95" nd="1"/>
              <i n="[Table2].[Revenue].&amp;[1.4271599999999998E3]" c="1427.16" nd="1"/>
              <i n="[Table2].[Revenue].&amp;[1.4363999999999998E3]" c="1436.4" nd="1"/>
              <i n="[Table2].[Revenue].&amp;[1.43968E3]" c="1439.68" nd="1"/>
              <i n="[Table2].[Revenue].&amp;[1.43982E3]" c="1439.82" nd="1"/>
              <i n="[Table2].[Revenue].&amp;[1.4426100000000001E3]" c="1442.61" nd="1"/>
              <i n="[Table2].[Revenue].&amp;[1.44263E3]" c="1442.63" nd="1"/>
              <i n="[Table2].[Revenue].&amp;[1.45509E3]" c="1455.09" nd="1"/>
              <i n="[Table2].[Revenue].&amp;[1.4691E3]" c="1469.1" nd="1"/>
              <i n="[Table2].[Revenue].&amp;[1.4697E3]" c="1469.7" nd="1"/>
              <i n="[Table2].[Revenue].&amp;[1.47798E3]" c="1477.98" nd="1"/>
              <i n="[Table2].[Revenue].&amp;[1.49487E3]" c="1494.87" nd="1"/>
              <i n="[Table2].[Revenue].&amp;[1.51663E3]" c="1516.63" nd="1"/>
              <i n="[Table2].[Revenue].&amp;[1.52949E3]" c="1529.49" nd="1"/>
              <i n="[Table2].[Revenue].&amp;[1.5475700000000001E3]" c="1547.57" nd="1"/>
              <i n="[Table2].[Revenue].&amp;[1.55215E3]" c="1552.15" nd="1"/>
              <i n="[Table2].[Revenue].&amp;[1.5596000000000001E3]" c="1559.6" nd="1"/>
              <i n="[Table2].[Revenue].&amp;[1.55987E3]" c="1559.87" nd="1"/>
              <i n="[Table2].[Revenue].&amp;[1.5956200000000001E3]" c="1595.62" nd="1"/>
              <i n="[Table2].[Revenue].&amp;[1.596E3]" c="1596" nd="1"/>
              <i n="[Table2].[Revenue].&amp;[1.5985900000000001E3]" c="1598.59" nd="1"/>
              <i n="[Table2].[Revenue].&amp;[1.60721E3]" c="1607.21" nd="1"/>
              <i n="[Table2].[Revenue].&amp;[1.62487E3]" c="1624.87" nd="1"/>
              <i n="[Table2].[Revenue].&amp;[1.63136E3]" c="1631.36" nd="1"/>
              <i n="[Table2].[Revenue].&amp;[1.64673E3]" c="1646.73" nd="1"/>
              <i n="[Table2].[Revenue].&amp;[1.653E3]" c="1653" nd="1"/>
              <i n="[Table2].[Revenue].&amp;[1.6555400000000002E3]" c="1655.54" nd="1"/>
              <i n="[Table2].[Revenue].&amp;[1.665E3]" c="1665" nd="1"/>
              <i n="[Table2].[Revenue].&amp;[1.6715600000000001E3]" c="1671.56" nd="1"/>
              <i n="[Table2].[Revenue].&amp;[1.677E3]" c="1677" nd="1"/>
              <i n="[Table2].[Revenue].&amp;[1.67952E3]" c="1679.52" nd="1"/>
              <i n="[Table2].[Revenue].&amp;[1.68302E3]" c="1683.02" nd="1"/>
              <i n="[Table2].[Revenue].&amp;[1.68735E3]" c="1687.35" nd="1"/>
              <i n="[Table2].[Revenue].&amp;[1.69983E3]" c="1699.83" nd="1"/>
              <i n="[Table2].[Revenue].&amp;[1.70163E3]" c="1701.63" nd="1"/>
              <i n="[Table2].[Revenue].&amp;[1.7096200000000001E3]" c="1709.62" nd="1"/>
              <i n="[Table2].[Revenue].&amp;[1.71855E3]" c="1718.55" nd="1"/>
              <i n="[Table2].[Revenue].&amp;[1.72225E3]" c="1722.25" nd="1"/>
              <i n="[Table2].[Revenue].&amp;[1.72477E3]" c="1724.77" nd="1"/>
              <i n="[Table2].[Revenue].&amp;[1.73879E3]" c="1738.79" nd="1"/>
              <i n="[Table2].[Revenue].&amp;[1.7441E3]" c="1744.1" nd="1"/>
              <i n="[Table2].[Revenue].&amp;[1.7658700000000001E3]" c="1765.87" nd="1"/>
              <i n="[Table2].[Revenue].&amp;[1.76681E3]" c="1766.81" nd="1"/>
              <i n="[Table2].[Revenue].&amp;[1.7914399999999998E3]" c="1791.44" nd="1"/>
              <i n="[Table2].[Revenue].&amp;[1.7993999999999998E3]" c="1799.4" nd="1"/>
              <i n="[Table2].[Revenue].&amp;[1.7995500000000001E3]" c="1799.55" nd="1"/>
              <i n="[Table2].[Revenue].&amp;[1.80166E3]" c="1801.66" nd="1"/>
              <i n="[Table2].[Revenue].&amp;[1.8198600000000001E3]" c="1819.86" nd="1"/>
              <i n="[Table2].[Revenue].&amp;[1.8293899999999998E3]" c="1829.39" nd="1"/>
              <i n="[Table2].[Revenue].&amp;[1.83549E3]" c="1835.49" nd="1"/>
              <i n="[Table2].[Revenue].&amp;[1.84529E3]" c="1845.29" nd="1"/>
              <i n="[Table2].[Revenue].&amp;[1.8469E3]" c="1846.9" nd="1"/>
              <i n="[Table2].[Revenue].&amp;[1.8627299999999998E3]" c="1862.73" nd="1"/>
              <i n="[Table2].[Revenue].&amp;[1.8681E3]" c="1868.1" nd="1"/>
              <i n="[Table2].[Revenue].&amp;[1.88435E3]" c="1884.35" nd="1"/>
              <i n="[Table2].[Revenue].&amp;[1.88985E3]" c="1889.85" nd="1"/>
              <i n="[Table2].[Revenue].&amp;[1.8911399999999998E3]" c="1891.14" nd="1"/>
              <i n="[Table2].[Revenue].&amp;[1.94641E3]" c="1946.41" nd="1"/>
              <i n="[Table2].[Revenue].&amp;[1.95405E3]" c="1954.05" nd="1"/>
              <i n="[Table2].[Revenue].&amp;[1.958E3]" c="1958" nd="1"/>
              <i n="[Table2].[Revenue].&amp;[1.96721E3]" c="1967.21" nd="1"/>
              <i n="[Table2].[Revenue].&amp;[1.97457E3]" c="1974.57" nd="1"/>
              <i n="[Table2].[Revenue].&amp;[2.00629E3]" c="2006.29" nd="1"/>
              <i n="[Table2].[Revenue].&amp;[2.0193E3]" c="2019.3" nd="1"/>
              <i n="[Table2].[Revenue].&amp;[2.0242499999999997E3]" c="2024.25" nd="1"/>
              <i n="[Table2].[Revenue].&amp;[2.06977E3]" c="2069.77" nd="1"/>
              <i n="[Table2].[Revenue].&amp;[2.07948E3]" c="2079.48" nd="1"/>
              <i n="[Table2].[Revenue].&amp;[2.0991E3]" c="2099.1" nd="1"/>
              <i n="[Table2].[Revenue].&amp;[2.106E3]" c="2106" nd="1"/>
              <i n="[Table2].[Revenue].&amp;[2.13273E3]" c="2132.73" nd="1"/>
              <i n="[Table2].[Revenue].&amp;[2.13465E3]" c="2134.65" nd="1"/>
              <i n="[Table2].[Revenue].&amp;[2.1428E3]" c="2142.8" nd="1"/>
              <i n="[Table2].[Revenue].&amp;[2.1462999999999997E3]" c="2146.3" nd="1"/>
              <i n="[Table2].[Revenue].&amp;[2.14957E3]" c="2149.57" nd="1"/>
              <i n="[Table2].[Revenue].&amp;[2.17464E3]" c="2174.64" nd="1"/>
              <i n="[Table2].[Revenue].&amp;[2.21619E3]" c="2216.19" nd="1"/>
              <i n="[Table2].[Revenue].&amp;[2.22E3]" c="2220" nd="1"/>
              <i n="[Table2].[Revenue].&amp;[2.244E3]" c="2244" nd="1"/>
              <i n="[Table2].[Revenue].&amp;[2.24955E3]" c="2249.55" nd="1"/>
              <i n="[Table2].[Revenue].&amp;[2.2995E3]" c="2299.5" nd="1"/>
              <i n="[Table2].[Revenue].&amp;[2.33961E3]" c="2339.61" nd="1"/>
              <i n="[Table2].[Revenue].&amp;[2.34495E3]" c="2344.95" nd="1"/>
              <i n="[Table2].[Revenue].&amp;[2.36125E3]" c="2361.25" nd="1"/>
              <i n="[Table2].[Revenue].&amp;[2.38224E3]" c="2382.24" nd="1"/>
              <i n="[Table2].[Revenue].&amp;[2.43572E3]" c="2435.72" nd="1"/>
              <i n="[Table2].[Revenue].&amp;[2.43977E3]" c="2439.77" nd="1"/>
              <i n="[Table2].[Revenue].&amp;[2.44089E3]" c="2440.89" nd="1"/>
              <i n="[Table2].[Revenue].&amp;[2.4496499999999996E3]" c="2449.65" nd="1"/>
              <i n="[Table2].[Revenue].&amp;[2.45752E3]" c="2457.52" nd="1"/>
              <i n="[Table2].[Revenue].&amp;[2.47455E3]" c="2474.55" nd="1"/>
              <i n="[Table2].[Revenue].&amp;[2.499E3]" c="2499" nd="1"/>
              <i n="[Table2].[Revenue].&amp;[2.51979E3]" c="2519.79" nd="1"/>
              <i n="[Table2].[Revenue].&amp;[2.5406699999999996E3]" c="2540.67" nd="1"/>
              <i n="[Table2].[Revenue].&amp;[2.57828E3]" c="2578.28" nd="1"/>
              <i n="[Table2].[Revenue].&amp;[2.6091299999999996E3]" c="2609.13" nd="1"/>
              <i n="[Table2].[Revenue].&amp;[2.63796E3]" c="2637.96" nd="1"/>
              <i n="[Table2].[Revenue].&amp;[2.63868E3]" c="2638.68" nd="1"/>
              <i n="[Table2].[Revenue].&amp;[2.6396099999999996E3]" c="2639.61" nd="1"/>
              <i n="[Table2].[Revenue].&amp;[2.6397599999999997E3]" c="2639.76" nd="1"/>
              <i n="[Table2].[Revenue].&amp;[2.64936E3]" c="2649.36" nd="1"/>
              <i n="[Table2].[Revenue].&amp;[2.668E3]" c="2668" nd="1"/>
              <i n="[Table2].[Revenue].&amp;[2.6765499999999997E3]" c="2676.55" nd="1"/>
              <i n="[Table2].[Revenue].&amp;[2.6873E3]" c="2687.3" nd="1"/>
              <i n="[Table2].[Revenue].&amp;[2.697E3]" c="2697" nd="1"/>
              <i n="[Table2].[Revenue].&amp;[2.7E3]" c="2700" nd="1"/>
              <i n="[Table2].[Revenue].&amp;[2.73105E3]" c="2731.05" nd="1"/>
              <i n="[Table2].[Revenue].&amp;[2.75908E3]" c="2759.08" nd="1"/>
              <i n="[Table2].[Revenue].&amp;[2.85974E3]" c="2859.74" nd="1"/>
              <i n="[Table2].[Revenue].&amp;[2.8622400000000002E3]" c="2862.24" nd="1"/>
              <i n="[Table2].[Revenue].&amp;[2.8854E3]" c="2885.4" nd="1"/>
              <i n="[Table2].[Revenue].&amp;[2.8988399999999997E3]" c="2898.84" nd="1"/>
              <i n="[Table2].[Revenue].&amp;[2.90224E3]" c="2902.24" nd="1"/>
              <i n="[Table2].[Revenue].&amp;[2.9997E3]" c="2999.7" nd="1"/>
              <i n="[Table2].[Revenue].&amp;[3.02511E3]" c="3025.11" nd="1"/>
              <i n="[Table2].[Revenue].&amp;[3.0392400000000002E3]" c="3039.24" nd="1"/>
              <i n="[Table2].[Revenue].&amp;[3.13404E3]" c="3134.04" nd="1"/>
              <i n="[Table2].[Revenue].&amp;[3.1794E3]" c="3179.4" nd="1"/>
              <i n="[Table2].[Revenue].&amp;[3.21789E3]" c="3217.89" nd="1"/>
              <i n="[Table2].[Revenue].&amp;[3.24975E3]" c="3249.75" nd="1"/>
              <i n="[Table2].[Revenue].&amp;[3.29497E3]" c="3294.97" nd="1"/>
              <i n="[Table2].[Revenue].&amp;[3.31971E3]" c="3319.71" nd="1"/>
              <i n="[Table2].[Revenue].&amp;[3.35986E3]" c="3359.86" nd="1"/>
              <i n="[Table2].[Revenue].&amp;[3.3627E3]" c="3362.7" nd="1"/>
              <i n="[Table2].[Revenue].&amp;[3.37125E3]" c="3371.25" nd="1"/>
              <i n="[Table2].[Revenue].&amp;[3.3966E3]" c="3396.6" nd="1"/>
              <i n="[Table2].[Revenue].&amp;[3.39932E3]" c="3399.32" nd="1"/>
              <i n="[Table2].[Revenue].&amp;[3.404E3]" c="3404" nd="1"/>
              <i n="[Table2].[Revenue].&amp;[3.4295099999999997E3]" c="3429.51" nd="1"/>
              <i n="[Table2].[Revenue].&amp;[3.4395699999999997E3]" c="3439.57" nd="1"/>
              <i n="[Table2].[Revenue].&amp;[3.46944E3]" c="3469.44" nd="1"/>
              <i n="[Table2].[Revenue].&amp;[3.48075E3]" c="3480.75" nd="1"/>
              <i n="[Table2].[Revenue].&amp;[3.5E3]" c="3500" nd="1"/>
              <i n="[Table2].[Revenue].&amp;[3.519E3]" c="3519" nd="1"/>
              <i n="[Table2].[Revenue].&amp;[3.5296E3]" c="3529.6" nd="1"/>
              <i n="[Table2].[Revenue].&amp;[3.5332E3]" c="3533.2" nd="1"/>
              <i n="[Table2].[Revenue].&amp;[3.546E3]" c="3546" nd="1"/>
              <i n="[Table2].[Revenue].&amp;[3.5691600000000003E3]" c="3569.16" nd="1"/>
              <i n="[Table2].[Revenue].&amp;[3.57E3]" c="3570" nd="1"/>
              <i n="[Table2].[Revenue].&amp;[3.5947599999999997E3]" c="3594.76" nd="1"/>
              <i n="[Table2].[Revenue].&amp;[3.59634E3]" c="3596.34" nd="1"/>
              <i n="[Table2].[Revenue].&amp;[3.62502E3]" c="3625.02" nd="1"/>
              <i n="[Table2].[Revenue].&amp;[3.652E3]" c="3652" nd="1"/>
              <i n="[Table2].[Revenue].&amp;[3.6531E3]" c="3653.1" nd="1"/>
              <i n="[Table2].[Revenue].&amp;[3.6914799999999995E3]" c="3691.48" nd="1"/>
              <i n="[Table2].[Revenue].&amp;[3.7595299999999997E3]" c="3759.53" nd="1"/>
              <i n="[Table2].[Revenue].&amp;[3.7793700000000003E3]" c="3779.37" nd="1"/>
              <i n="[Table2].[Revenue].&amp;[3.7796E3]" c="3779.6" nd="1"/>
              <i n="[Table2].[Revenue].&amp;[3.79527E3]" c="3795.27" nd="1"/>
              <i n="[Table2].[Revenue].&amp;[3.8010000000000004E3]" c="3801" nd="1"/>
              <i n="[Table2].[Revenue].&amp;[3.8423900000000003E3]" c="3842.39" nd="1"/>
              <i n="[Table2].[Revenue].&amp;[3.86552E3]" c="3865.52" nd="1"/>
              <i n="[Table2].[Revenue].&amp;[3.8992200000000002E3]" c="3899.22" nd="1"/>
              <i n="[Table2].[Revenue].&amp;[3.98962E3]" c="3989.62" nd="1"/>
              <i n="[Table2].[Revenue].&amp;[4.02755E3]" c="4027.55" nd="1"/>
              <i n="[Table2].[Revenue].&amp;[4.04432E3]" c="4044.32" nd="1"/>
              <i n="[Table2].[Revenue].&amp;[4.0571E3]" c="4057.1" nd="1"/>
              <i n="[Table2].[Revenue].&amp;[4.06368E3]" c="4063.68" nd="1"/>
              <i n="[Table2].[Revenue].&amp;[4.07041E3]" c="4070.41" nd="1"/>
              <i n="[Table2].[Revenue].&amp;[4.07966E3]" c="4079.66" nd="1"/>
              <i n="[Table2].[Revenue].&amp;[4.09915E3]" c="4099.15" nd="1"/>
              <i n="[Table2].[Revenue].&amp;[4.13678E3]" c="4136.78" nd="1"/>
              <i n="[Table2].[Revenue].&amp;[4.22859E3]" c="4228.59" nd="1"/>
              <i n="[Table2].[Revenue].&amp;[4.238849999999999E3]" c="4238.85" nd="1"/>
              <i n="[Table2].[Revenue].&amp;[4.25852E3]" c="4258.52" nd="1"/>
              <i n="[Table2].[Revenue].&amp;[4.29225E3]" c="4292.25" nd="1"/>
              <i n="[Table2].[Revenue].&amp;[4.33449E3]" c="4334.49" nd="1"/>
              <i n="[Table2].[Revenue].&amp;[4.3414E3]" c="4341.4" nd="1"/>
              <i n="[Table2].[Revenue].&amp;[4.36209E3]" c="4362.09" nd="1"/>
              <i n="[Table2].[Revenue].&amp;[4.3803E3]" c="4380.3" nd="1"/>
              <i n="[Table2].[Revenue].&amp;[4.414700000000001E3]" c="4414.7" nd="1"/>
              <i n="[Table2].[Revenue].&amp;[4.434E3]" c="4434" nd="1"/>
              <i n="[Table2].[Revenue].&amp;[4.4403E3]" c="4440.3" nd="1"/>
              <i n="[Table2].[Revenue].&amp;[4.45575E3]" c="4455.75" nd="1"/>
              <i n="[Table2].[Revenue].&amp;[4.4994E3]" c="4499.4" nd="1"/>
              <i n="[Table2].[Revenue].&amp;[4.59561E3]" c="4595.61" nd="1"/>
              <i n="[Table2].[Revenue].&amp;[4.64499E3]" c="4644.99" nd="1"/>
              <i n="[Table2].[Revenue].&amp;[4.718820000000001E3]" c="4718.82" nd="1"/>
              <i n="[Table2].[Revenue].&amp;[4.75864E3]" c="4758.64" nd="1"/>
              <i n="[Table2].[Revenue].&amp;[4.799700000000001E3]" c="4799.7" nd="1"/>
              <i n="[Table2].[Revenue].&amp;[4.8867E3]" c="4886.7" nd="1"/>
              <i n="[Table2].[Revenue].&amp;[4.94799E3]" c="4947.99" nd="1"/>
              <i n="[Table2].[Revenue].&amp;[4.9995E3]" c="4999.5" nd="1"/>
              <i n="[Table2].[Revenue].&amp;[5.028419999999999E3]" c="5028.42" nd="1"/>
              <i n="[Table2].[Revenue].&amp;[5.0683099999999995E3]" c="5068.31" nd="1"/>
              <i n="[Table2].[Revenue].&amp;[5.2182E3]" c="5218.2" nd="1"/>
              <i n="[Table2].[Revenue].&amp;[5.27684E3]" c="5276.84" nd="1"/>
              <i n="[Table2].[Revenue].&amp;[5.2795199999999995E3]" c="5279.52" nd="1"/>
              <i n="[Table2].[Revenue].&amp;[5.294E3]" c="5294" nd="1"/>
              <i n="[Table2].[Revenue].&amp;[5.29958E3]" c="5299.58" nd="1"/>
              <i n="[Table2].[Revenue].&amp;[5.36642E3]" c="5366.42" nd="1"/>
              <i n="[Table2].[Revenue].&amp;[5.36821E3]" c="5368.21" nd="1"/>
              <i n="[Table2].[Revenue].&amp;[5.4312E3]" c="5431.2" nd="1"/>
              <i n="[Table2].[Revenue].&amp;[5.43191E3]" c="5431.91" nd="1"/>
              <i n="[Table2].[Revenue].&amp;[5.54268E3]" c="5542.68" nd="1"/>
              <i n="[Table2].[Revenue].&amp;[5.5554400000000005E3]" c="5555.44" nd="1"/>
              <i n="[Table2].[Revenue].&amp;[5.59691E3]" c="5596.91" nd="1"/>
              <i n="[Table2].[Revenue].&amp;[5.6462699999999995E3]" c="5646.27" nd="1"/>
              <i n="[Table2].[Revenue].&amp;[5.66919E3]" c="5669.19" nd="1"/>
              <i n="[Table2].[Revenue].&amp;[5.6871900000000005E3]" c="5687.19" nd="1"/>
              <i n="[Table2].[Revenue].&amp;[5.77089E3]" c="5770.89" nd="1"/>
              <i n="[Table2].[Revenue].&amp;[5.80371E3]" c="5803.71" nd="1"/>
              <i n="[Table2].[Revenue].&amp;[5.828759999999999E3]" c="5828.76" nd="1"/>
              <i n="[Table2].[Revenue].&amp;[5.850599999999999E3]" c="5850.6" nd="1"/>
              <i n="[Table2].[Revenue].&amp;[5.922950000000001E3]" c="5922.95" nd="1"/>
              <i n="[Table2].[Revenue].&amp;[6.008799999999999E3]" c="6008.8" nd="1"/>
              <i n="[Table2].[Revenue].&amp;[6.07968E3]" c="6079.68" nd="1"/>
              <i n="[Table2].[Revenue].&amp;[6.11796E3]" c="6117.96" nd="1"/>
              <i n="[Table2].[Revenue].&amp;[6.11847E3]" c="6118.47" nd="1"/>
              <i n="[Table2].[Revenue].&amp;[6.149179999999999E3]" c="6149.18" nd="1"/>
              <i n="[Table2].[Revenue].&amp;[6.1972300000000005E3]" c="6197.23" nd="1"/>
              <i n="[Table2].[Revenue].&amp;[6.2042699999999995E3]" c="6204.27" nd="1"/>
              <i n="[Table2].[Revenue].&amp;[6.2196E3]" c="6219.6" nd="1"/>
              <i n="[Table2].[Revenue].&amp;[6.26164E3]" c="6261.64" nd="1"/>
              <i n="[Table2].[Revenue].&amp;[6.363E3]" c="6363" nd="1"/>
              <i n="[Table2].[Revenue].&amp;[6.439540000000001E3]" c="6439.54" nd="1"/>
              <i n="[Table2].[Revenue].&amp;[6.499349999999999E3]" c="6499.35" nd="1"/>
              <i n="[Table2].[Revenue].&amp;[6.66768E3]" c="6667.68" nd="1"/>
              <i n="[Table2].[Revenue].&amp;[6.75E3]" c="6750" nd="1"/>
              <i n="[Table2].[Revenue].&amp;[6.7525E3]" c="6752.5" nd="1"/>
              <i n="[Table2].[Revenue].&amp;[6.830009999999999E3]" c="6830.01" nd="1"/>
              <i n="[Table2].[Revenue].&amp;[6.936E3]" c="6936" nd="1"/>
              <i n="[Table2].[Revenue].&amp;[6.98767E3]" c="6987.67" nd="1"/>
              <i n="[Table2].[Revenue].&amp;[7.101599999999999E3]" c="7101.6" nd="1"/>
              <i n="[Table2].[Revenue].&amp;[7.104E3]" c="7104" nd="1"/>
              <i n="[Table2].[Revenue].&amp;[7.1111E3]" c="7111.1" nd="1"/>
              <i n="[Table2].[Revenue].&amp;[7.13514E3]" c="7135.14" nd="1"/>
              <i n="[Table2].[Revenue].&amp;[7.150150000000001E3]" c="7150.15" nd="1"/>
              <i n="[Table2].[Revenue].&amp;[7.153410000000001E3]" c="7153.41" nd="1"/>
              <i n="[Table2].[Revenue].&amp;[7.198E3]" c="7198" nd="1"/>
              <i n="[Table2].[Revenue].&amp;[7.20714E3]" c="7207.14" nd="1"/>
              <i n="[Table2].[Revenue].&amp;[7.266E3]" c="7266" nd="1"/>
              <i n="[Table2].[Revenue].&amp;[7.27146E3]" c="7271.46" nd="1"/>
              <i n="[Table2].[Revenue].&amp;[7.49E3]" c="7490" nd="1"/>
              <i n="[Table2].[Revenue].&amp;[7.5326900000000005E3]" c="7532.69" nd="1"/>
              <i n="[Table2].[Revenue].&amp;[7.54032E3]" c="7540.32" nd="1"/>
              <i n="[Table2].[Revenue].&amp;[7.5586E3]" c="7558.6" nd="1"/>
              <i n="[Table2].[Revenue].&amp;[7.66882E3]" c="7668.82" nd="1"/>
              <i n="[Table2].[Revenue].&amp;[7.692299999999999E3]" c="7692.3" nd="1"/>
              <i n="[Table2].[Revenue].&amp;[7.76125E3]" c="7761.25" nd="1"/>
              <i n="[Table2].[Revenue].&amp;[7.796360000000001E3]" c="7796.36" nd="1"/>
              <i n="[Table2].[Revenue].&amp;[7.87275E3]" c="7872.75" nd="1"/>
              <i n="[Table2].[Revenue].&amp;[7.894039999999999E3]" c="7894.04" nd="1"/>
              <i n="[Table2].[Revenue].&amp;[7.91835E3]" c="7918.35" nd="1"/>
              <i n="[Table2].[Revenue].&amp;[7.953790000000001E3]" c="7953.79" nd="1"/>
              <i n="[Table2].[Revenue].&amp;[7.9764E3]" c="7976.4" nd="1"/>
              <i n="[Table2].[Revenue].&amp;[8.1E3]" c="8100" nd="1"/>
              <i n="[Table2].[Revenue].&amp;[8.24835E3]" c="8248.35" nd="1"/>
              <i n="[Table2].[Revenue].&amp;[8.27793E3]" c="8277.93" nd="1"/>
              <i n="[Table2].[Revenue].&amp;[8.394E3]" c="8394" nd="1"/>
              <i n="[Table2].[Revenue].&amp;[8.498300000000001E3]" c="8498.3" nd="1"/>
              <i n="[Table2].[Revenue].&amp;[8.57714E3]" c="8577.14" nd="1"/>
              <i n="[Table2].[Revenue].&amp;[8.67136E3]" c="8671.36" nd="1"/>
              <i n="[Table2].[Revenue].&amp;[8.69072E3]" c="8690.72" nd="1"/>
              <i n="[Table2].[Revenue].&amp;[8.904E3]" c="8904" nd="1"/>
              <i n="[Table2].[Revenue].&amp;[9.06059E3]" c="9060.59" nd="1"/>
              <i n="[Table2].[Revenue].&amp;[9.11456E3]" c="9114.56" nd="1"/>
              <i n="[Table2].[Revenue].&amp;[9.254140000000001E3]" c="9254.14" nd="1"/>
              <i n="[Table2].[Revenue].&amp;[9.348130000000001E3]" c="9348.13" nd="1"/>
              <i n="[Table2].[Revenue].&amp;[9.3571E3]" c="9357.1" nd="1"/>
              <i n="[Table2].[Revenue].&amp;[9.390599999999998E3]" c="9390.6" nd="1"/>
              <i n="[Table2].[Revenue].&amp;[9.437640000000001E3]" c="9437.64" nd="1"/>
              <i n="[Table2].[Revenue].&amp;[9.447039999999999E3]" c="9447.04" nd="1"/>
              <i n="[Table2].[Revenue].&amp;[9.49806E3]" c="9498.06" nd="1"/>
              <i n="[Table2].[Revenue].&amp;[9.50643E3]" c="9506.43" nd="1"/>
              <i n="[Table2].[Revenue].&amp;[9.72441E3]" c="9724.41" nd="1"/>
              <i n="[Table2].[Revenue].&amp;[9.802300000000001E3]" c="9802.3" nd="1"/>
              <i n="[Table2].[Revenue].&amp;[9.8336E3]" c="9833.6" nd="1"/>
              <i n="[Table2].[Revenue].&amp;[9.85884E3]" c="9858.84" nd="1"/>
              <i n="[Table2].[Revenue].&amp;[1.0062800000000001E4]" c="10062.8" nd="1"/>
              <i n="[Table2].[Revenue].&amp;[1.01675E4]" c="10167.5" nd="1"/>
              <i n="[Table2].[Revenue].&amp;[1.0220640000000001E4]" c="10220.64" nd="1"/>
              <i n="[Table2].[Revenue].&amp;[1.041352E4]" c="10413.52" nd="1"/>
              <i n="[Table2].[Revenue].&amp;[1.042401E4]" c="10424.01" nd="1"/>
              <i n="[Table2].[Revenue].&amp;[1.04386E4]" c="10438.6" nd="1"/>
              <i n="[Table2].[Revenue].&amp;[1.047144E4]" c="10471.44" nd="1"/>
              <i n="[Table2].[Revenue].&amp;[1.047345E4]" c="10473.45" nd="1"/>
              <i n="[Table2].[Revenue].&amp;[1.05315E4]" c="10531.5" nd="1"/>
              <i n="[Table2].[Revenue].&amp;[1.0627019999999998E4]" c="10627.02" nd="1"/>
              <i n="[Table2].[Revenue].&amp;[1.063015E4]" c="10630.15" nd="1"/>
              <i n="[Table2].[Revenue].&amp;[1.063352E4]" c="10633.52" nd="1"/>
              <i n="[Table2].[Revenue].&amp;[1.071E4]" c="10710" nd="1"/>
              <i n="[Table2].[Revenue].&amp;[1.08778E4]" c="10877.8" nd="1"/>
              <i n="[Table2].[Revenue].&amp;[1.092021E4]" c="10920.21" nd="1"/>
              <i n="[Table2].[Revenue].&amp;[1.0988429999999998E4]" c="10988.43" nd="1"/>
              <i n="[Table2].[Revenue].&amp;[1.099725E4]" c="10997.25" nd="1"/>
              <i n="[Table2].[Revenue].&amp;[1.103724E4]" c="11037.24" nd="1"/>
              <i n="[Table2].[Revenue].&amp;[1.121658E4]" c="11216.58" nd="1"/>
              <i n="[Table2].[Revenue].&amp;[1.128317E4]" c="11283.17" nd="1"/>
              <i n="[Table2].[Revenue].&amp;[1.134E4]" c="11340" nd="1"/>
              <i n="[Table2].[Revenue].&amp;[1.1435279999999998E4]" c="11435.28" nd="1"/>
              <i n="[Table2].[Revenue].&amp;[1.147356E4]" c="11473.56" nd="1"/>
              <i n="[Table2].[Revenue].&amp;[1.151616E4]" c="11516.16" nd="1"/>
              <i n="[Table2].[Revenue].&amp;[1.160692E4]" c="11606.92" nd="1"/>
              <i n="[Table2].[Revenue].&amp;[1.160871E4]" c="11608.71" nd="1"/>
              <i n="[Table2].[Revenue].&amp;[1.163838E4]" c="11638.38" nd="1"/>
              <i n="[Table2].[Revenue].&amp;[1.17425E4]" c="11742.5" nd="1"/>
              <i n="[Table2].[Revenue].&amp;[1.18248E4]" c="11824.8" nd="1"/>
              <i n="[Table2].[Revenue].&amp;[1.20057E4]" c="12005.7" nd="1"/>
              <i n="[Table2].[Revenue].&amp;[1.209E4]" c="12090" nd="1"/>
              <i n="[Table2].[Revenue].&amp;[1.214757E4]" c="12147.57" nd="1"/>
              <i n="[Table2].[Revenue].&amp;[1.219695E4]" c="12196.95" nd="1"/>
              <i n="[Table2].[Revenue].&amp;[1.22266E4]" c="12226.6" nd="1"/>
              <i n="[Table2].[Revenue].&amp;[1.22959E4]" c="12295.9" nd="1"/>
              <i n="[Table2].[Revenue].&amp;[1.2363710000000001E4]" c="12363.71" nd="1"/>
              <i n="[Table2].[Revenue].&amp;[1.269816E4]" c="12698.16" nd="1"/>
              <i n="[Table2].[Revenue].&amp;[1.289352E4]" c="12893.52" nd="1"/>
              <i n="[Table2].[Revenue].&amp;[1.296204E4]" c="12962.04" nd="1"/>
              <i n="[Table2].[Revenue].&amp;[1.3138199999999998E4]" c="13138.2" nd="1"/>
              <i n="[Table2].[Revenue].&amp;[1.3233E4]" c="13233" nd="1"/>
              <i n="[Table2].[Revenue].&amp;[1.325779E4]" c="13257.79" nd="1"/>
              <i n="[Table2].[Revenue].&amp;[1.3347999999999998E4]" c="13348" nd="1"/>
              <i n="[Table2].[Revenue].&amp;[1.336929E4]" c="13369.29" nd="1"/>
              <i n="[Table2].[Revenue].&amp;[1.3550900000000001E4]" c="13550.9" nd="1"/>
              <i n="[Table2].[Revenue].&amp;[1.37171E4]" c="13717.1" nd="1"/>
              <i n="[Table2].[Revenue].&amp;[1.3782230000000001E4]" c="13782.23" nd="1"/>
              <i n="[Table2].[Revenue].&amp;[1.379544E4]" c="13795.44" nd="1"/>
              <i n="[Table2].[Revenue].&amp;[1.388475E4]" c="13884.75" nd="1"/>
              <i n="[Table2].[Revenue].&amp;[1.395075E4]" c="13950.75" nd="1"/>
              <i n="[Table2].[Revenue].&amp;[1.399559E4]" c="13995.59" nd="1"/>
              <i n="[Table2].[Revenue].&amp;[1.410235E4]" c="14102.35" nd="1"/>
              <i n="[Table2].[Revenue].&amp;[1.4125289999999999E4]" c="14125.29" nd="1"/>
              <i n="[Table2].[Revenue].&amp;[1.421511E4]" c="14215.11" nd="1"/>
              <i n="[Table2].[Revenue].&amp;[1.424E4]" c="14240" nd="1"/>
              <i n="[Table2].[Revenue].&amp;[1.511208E4]" c="15112.08" nd="1"/>
              <i n="[Table2].[Revenue].&amp;[1.5235619999999999E4]" c="15235.62" nd="1"/>
              <i n="[Table2].[Revenue].&amp;[1.527265E4]" c="15272.65" nd="1"/>
              <i n="[Table2].[Revenue].&amp;[1.5629849999999998E4]" c="15629.85" nd="1"/>
              <i n="[Table2].[Revenue].&amp;[1.5752800000000001E4]" c="15752.8" nd="1"/>
              <i n="[Table2].[Revenue].&amp;[1.576E4]" c="15760" nd="1"/>
              <i n="[Table2].[Revenue].&amp;[1.577114E4]" c="15771.14" nd="1"/>
              <i n="[Table2].[Revenue].&amp;[1.588356E4]" c="15883.56" nd="1"/>
              <i n="[Table2].[Revenue].&amp;[1.599043E4]" c="15990.43" nd="1"/>
              <i n="[Table2].[Revenue].&amp;[1.6131E4]" c="16131" nd="1"/>
              <i n="[Table2].[Revenue].&amp;[1.617148E4]" c="16171.48" nd="1"/>
              <i n="[Table2].[Revenue].&amp;[1.6277E4]" c="16277" nd="1"/>
              <i n="[Table2].[Revenue].&amp;[1.6485E4]" c="16485" nd="1"/>
              <i n="[Table2].[Revenue].&amp;[1.6720859999999997E4]" c="16720.86" nd="1"/>
              <i n="[Table2].[Revenue].&amp;[1.68502E4]" c="16850.2" nd="1"/>
              <i n="[Table2].[Revenue].&amp;[1.707268E4]" c="17072.68" nd="1"/>
              <i n="[Table2].[Revenue].&amp;[1.710952E4]" c="17109.52" nd="1"/>
              <i n="[Table2].[Revenue].&amp;[1.7152649999999997E4]" c="17152.65" nd="1"/>
              <i n="[Table2].[Revenue].&amp;[1.7189719999999997E4]" c="17189.72" nd="1"/>
              <i n="[Table2].[Revenue].&amp;[1.7523E4]" c="17523" nd="1"/>
              <i n="[Table2].[Revenue].&amp;[1.7543600000000002E4]" c="17543.6" nd="1"/>
              <i n="[Table2].[Revenue].&amp;[1.763412E4]" c="17634.12" nd="1"/>
              <i n="[Table2].[Revenue].&amp;[1.798712E4]" c="17987.12" nd="1"/>
              <i n="[Table2].[Revenue].&amp;[1.879624E4]" c="18796.24" nd="1"/>
              <i n="[Table2].[Revenue].&amp;[1.886896E4]" c="18868.96" nd="1"/>
              <i n="[Table2].[Revenue].&amp;[1.894496E4]" c="18944.96" nd="1"/>
              <i n="[Table2].[Revenue].&amp;[1.9194E4]" c="19194" nd="1"/>
              <i n="[Table2].[Revenue].&amp;[1.947627E4]" c="19476.27" nd="1"/>
              <i n="[Table2].[Revenue].&amp;[1.960464E4]" c="19604.64" nd="1"/>
              <i n="[Table2].[Revenue].&amp;[2.003298E4]" c="20032.98" nd="1"/>
              <i n="[Table2].[Revenue].&amp;[2.018923E4]" c="20189.23" nd="1"/>
              <i n="[Table2].[Revenue].&amp;[2.034187E4]" c="20341.87" nd="1"/>
              <i n="[Table2].[Revenue].&amp;[2.0505600000000002E4]" c="20505.6" nd="1"/>
              <i n="[Table2].[Revenue].&amp;[2.060432E4]" c="20604.32" nd="1"/>
              <i n="[Table2].[Revenue].&amp;[2.0605E4]" c="20605" nd="1"/>
              <i n="[Table2].[Revenue].&amp;[2.077502E4]" c="20775.02" nd="1"/>
              <i n="[Table2].[Revenue].&amp;[2.0896710000000002E4]" c="20896.71" nd="1"/>
              <i n="[Table2].[Revenue].&amp;[2.09777E4]" c="20977.7" nd="1"/>
              <i n="[Table2].[Revenue].&amp;[2.1023550000000003E4]" c="21023.55" nd="1"/>
              <i n="[Table2].[Revenue].&amp;[2.111616E4]" c="21116.16" nd="1"/>
              <i n="[Table2].[Revenue].&amp;[2.1303059999999997E4]" c="21303.06" nd="1"/>
              <i n="[Table2].[Revenue].&amp;[2.1518850000000002E4]" c="21518.85" nd="1"/>
              <i n="[Table2].[Revenue].&amp;[2.176944E4]" c="21769.44" nd="1"/>
              <i n="[Table2].[Revenue].&amp;[2.260495E4]" c="22604.95" nd="1"/>
              <i n="[Table2].[Revenue].&amp;[2.268648E4]" c="22686.48" nd="1"/>
              <i n="[Table2].[Revenue].&amp;[2.27981E4]" c="22798.1" nd="1"/>
              <i n="[Table2].[Revenue].&amp;[2.2913870000000002E4]" c="22913.87" nd="1"/>
              <i n="[Table2].[Revenue].&amp;[2.324376E4]" c="23243.76" nd="1"/>
              <i n="[Table2].[Revenue].&amp;[2.36873E4]" c="23687.3" nd="1"/>
              <i n="[Table2].[Revenue].&amp;[2.4415559999999997E4]" c="24415.56" nd="1"/>
              <i n="[Table2].[Revenue].&amp;[2.454459E4]" c="24544.59" nd="1"/>
              <i n="[Table2].[Revenue].&amp;[2.527684E4]" c="25276.84" nd="1"/>
              <i n="[Table2].[Revenue].&amp;[2.552688E4]" c="25526.88" nd="1"/>
              <i n="[Table2].[Revenue].&amp;[2.5537399999999997E4]" c="25537.4" nd="1"/>
              <i n="[Table2].[Revenue].&amp;[2.55984E4]" c="25598.4" nd="1"/>
              <i n="[Table2].[Revenue].&amp;[2.654115E4]" c="26541.15" nd="1"/>
              <i n="[Table2].[Revenue].&amp;[2.6559100000000002E4]" c="26559.1" nd="1"/>
              <i n="[Table2].[Revenue].&amp;[2.67157E4]" c="26715.7" nd="1"/>
              <i n="[Table2].[Revenue].&amp;[2.683734E4]" c="26837.34" nd="1"/>
              <i n="[Table2].[Revenue].&amp;[2.764288E4]" c="27642.88" nd="1"/>
              <i n="[Table2].[Revenue].&amp;[2.7972140000000003E4]" c="27972.14" nd="1"/>
              <i n="[Table2].[Revenue].&amp;[2.803356E4]" c="28033.56" nd="1"/>
              <i n="[Table2].[Revenue].&amp;[2.812242E4]" c="28122.42" nd="1"/>
              <i n="[Table2].[Revenue].&amp;[2.8486530000000002E4]" c="28486.53" nd="1"/>
              <i n="[Table2].[Revenue].&amp;[2.9698019999999996E4]" c="29698.02" nd="1"/>
              <i n="[Table2].[Revenue].&amp;[2.975504E4]" c="29755.04" nd="1"/>
              <i n="[Table2].[Revenue].&amp;[3.0533480000000003E4]" c="30533.48" nd="1"/>
              <i n="[Table2].[Revenue].&amp;[3.086814E4]" c="30868.14" nd="1"/>
              <i n="[Table2].[Revenue].&amp;[3.1525E4]" c="31525" nd="1"/>
              <i n="[Table2].[Revenue].&amp;[3.166976E4]" c="31669.76" nd="1"/>
              <i n="[Table2].[Revenue].&amp;[3.1851600000000002E4]" c="31851.6" nd="1"/>
              <i n="[Table2].[Revenue].&amp;[3.1949500000000003E4]" c="31949.5" nd="1"/>
              <i n="[Table2].[Revenue].&amp;[3.207984E4]" c="32079.84" nd="1"/>
              <i n="[Table2].[Revenue].&amp;[3.212775E4]" c="32127.75" nd="1"/>
              <i n="[Table2].[Revenue].&amp;[3.2164E4]" c="32164" nd="1"/>
              <i n="[Table2].[Revenue].&amp;[3.2711640000000003E4]" c="32711.64" nd="1"/>
              <i n="[Table2].[Revenue].&amp;[3.350544E4]" c="33505.44" nd="1"/>
              <i n="[Table2].[Revenue].&amp;[3.461868E4]" c="34618.68" nd="1"/>
              <i n="[Table2].[Revenue].&amp;[3.4762E4]" c="34762" nd="1"/>
              <i n="[Table2].[Revenue].&amp;[3.517045E4]" c="35170.45" nd="1"/>
              <i n="[Table2].[Revenue].&amp;[3.5459E4]" c="35459" nd="1"/>
              <i n="[Table2].[Revenue].&amp;[3.5831810000000005E4]" c="35831.81" nd="1"/>
              <i n="[Table2].[Revenue].&amp;[3.613911E4]" c="36139.11" nd="1"/>
              <i n="[Table2].[Revenue].&amp;[3.6393E4]" c="36393" nd="1"/>
              <i n="[Table2].[Revenue].&amp;[3.643392E4]" c="36433.92" nd="1"/>
              <i n="[Table2].[Revenue].&amp;[3.6753439999999995E4]" c="36753.44" nd="1"/>
              <i n="[Table2].[Revenue].&amp;[3.78087E4]" c="37808.7" nd="1"/>
              <i n="[Table2].[Revenue].&amp;[3.7912E4]" c="37912" nd="1"/>
              <i n="[Table2].[Revenue].&amp;[3.98181E4]" c="39818.1" nd="1"/>
              <i n="[Table2].[Revenue].&amp;[3.9865E4]" c="39865" nd="1"/>
              <i n="[Table2].[Revenue].&amp;[3.9895799999999995E4]" c="39895.8" nd="1"/>
              <i n="[Table2].[Revenue].&amp;[3.990528E4]" c="39905.28" nd="1"/>
              <i n="[Table2].[Revenue].&amp;[4.011721E4]" c="40117.21" nd="1"/>
              <i n="[Table2].[Revenue].&amp;[4.0359840000000004E4]" c="40359.84" nd="1"/>
              <i n="[Table2].[Revenue].&amp;[4.066854E4]" c="40668.54" nd="1"/>
              <i n="[Table2].[Revenue].&amp;[4.134495E4]" c="41344.95" nd="1"/>
              <i n="[Table2].[Revenue].&amp;[4.149475E4]" c="41494.75" nd="1"/>
              <i n="[Table2].[Revenue].&amp;[4.233096E4]" c="42330.96" nd="1"/>
              <i n="[Table2].[Revenue].&amp;[4.2892200000000004E4]" c="42892.2" nd="1"/>
              <i n="[Table2].[Revenue].&amp;[4.346005E4]" c="43460.05" nd="1"/>
              <i n="[Table2].[Revenue].&amp;[4.4445799999999995E4]" c="44445.8" nd="1"/>
              <i n="[Table2].[Revenue].&amp;[4.518468E4]" c="45184.68" nd="1"/>
              <i n="[Table2].[Revenue].&amp;[4.542354E4]" c="45423.54" nd="1"/>
              <i n="[Table2].[Revenue].&amp;[4.5790840000000004E4]" c="45790.84" nd="1"/>
              <i n="[Table2].[Revenue].&amp;[4.6528950000000004E4]" c="46528.95" nd="1"/>
              <i n="[Table2].[Revenue].&amp;[4.6908619999999995E4]" c="46908.62" nd="1"/>
              <i n="[Table2].[Revenue].&amp;[4.705938E4]" c="47059.38" nd="1"/>
              <i n="[Table2].[Revenue].&amp;[4.743255E4]" c="47432.55" nd="1"/>
              <i n="[Table2].[Revenue].&amp;[4.895275E4]" c="48952.75" nd="1"/>
              <i n="[Table2].[Revenue].&amp;[4.948632E4]" c="49486.32" nd="1"/>
              <i n="[Table2].[Revenue].&amp;[5.00878E4]" c="50087.8" nd="1"/>
              <i n="[Table2].[Revenue].&amp;[5.06185E4]" c="50618.5" nd="1"/>
              <i n="[Table2].[Revenue].&amp;[5.08752E4]" c="50875.2" nd="1"/>
              <i n="[Table2].[Revenue].&amp;[5.216253E4]" c="52162.53" nd="1"/>
              <i n="[Table2].[Revenue].&amp;[5.223086E4]" c="52230.86" nd="1"/>
              <i n="[Table2].[Revenue].&amp;[5.308828E4]" c="53088.28" nd="1"/>
              <i n="[Table2].[Revenue].&amp;[5.335057E4]" c="53350.57" nd="1"/>
              <i n="[Table2].[Revenue].&amp;[5.3739520000000004E4]" c="53739.52" nd="1"/>
              <i n="[Table2].[Revenue].&amp;[5.5189189999999995E4]" c="55189.19" nd="1"/>
              <i n="[Table2].[Revenue].&amp;[5.5522E4]" c="55522" nd="1"/>
              <i n="[Table2].[Revenue].&amp;[5.659107E4]" c="56591.07" nd="1"/>
              <i n="[Table2].[Revenue].&amp;[5.797071E4]" c="57970.71" nd="1"/>
              <i n="[Table2].[Revenue].&amp;[5.868957E4]" c="58689.57" nd="1"/>
              <i n="[Table2].[Revenue].&amp;[5.891559E4]" c="58915.59" nd="1"/>
              <i n="[Table2].[Revenue].&amp;[5.8976E4]" c="58976" nd="1"/>
              <i n="[Table2].[Revenue].&amp;[6.007911E4]" c="60079.11" nd="1"/>
              <i n="[Table2].[Revenue].&amp;[6.07068E4]" c="60706.8" nd="1"/>
              <i n="[Table2].[Revenue].&amp;[6.197961E4]" c="61979.61" nd="1"/>
              <i n="[Table2].[Revenue].&amp;[6.211126E4]" c="62111.26" nd="1"/>
              <i n="[Table2].[Revenue].&amp;[6.506746E4]" c="65067.46" nd="1"/>
              <i n="[Table2].[Revenue].&amp;[6.891093E4]" c="68910.93" nd="1"/>
              <i n="[Table2].[Revenue].&amp;[7.39852E4]" c="73985.2" nd="1"/>
              <i n="[Table2].[Revenue].&amp;[7.529472E4]" c="75294.72" nd="1"/>
              <i n="[Table2].[Revenue].&amp;[8.16432E4]" c="81643.2" nd="1"/>
              <i n="[Table2].[Revenue].&amp;[8.27724E4]" c="82772.4" nd="1"/>
              <i n="[Table2].[Revenue].&amp;[8.31844E4]" c="83184.4" nd="1"/>
              <i n="[Table2].[Revenue].&amp;[8.436094E4]" c="84360.94" nd="1"/>
              <i n="[Table2].[Revenue].&amp;[8.605490000000001E4]" c="86054.9" nd="1"/>
              <i n="[Table2].[Revenue].&amp;[8.749818E4]" c="87498.18" nd="1"/>
              <i n="[Table2].[Revenue].&amp;[8.914851E4]" c="89148.51" nd="1"/>
              <i n="[Table2].[Revenue].&amp;[9.230045E4]" c="92300.45" nd="1"/>
              <i n="[Table2].[Revenue].&amp;[9.307053E4]" c="93070.53" nd="1"/>
              <i n="[Table2].[Revenue].&amp;[9.426314E4]" c="94263.14" nd="1"/>
              <i n="[Table2].[Revenue].&amp;[9.594934000000001E4]" c="95949.34" nd="1"/>
              <i n="[Table2].[Revenue].&amp;[9.726976E4]" c="97269.76" nd="1"/>
              <i n="[Table2].[Revenue].&amp;[1.04005E5]" c="104005" nd="1"/>
              <i n="[Table2].[Revenue].&amp;[1.0847139000000001E5]" c="108471.39" nd="1"/>
              <i n="[Table2].[Revenue].&amp;[1.087275E5]" c="108727.5" nd="1"/>
              <i n="[Table2].[Revenue].&amp;[1.1184514E5]" c="111845.14" nd="1"/>
              <i n="[Table2].[Revenue].&amp;[1.1238912E5]" c="112389.12" nd="1"/>
              <i n="[Table2].[Revenue].&amp;[1.1276748000000001E5]" c="112767.48" nd="1"/>
              <i n="[Table2].[Revenue].&amp;[1.1814504E5]" c="118145.04" nd="1"/>
              <i n="[Table2].[Revenue].&amp;[1.1909106000000001E5]" c="119091.06" nd="1"/>
              <i n="[Table2].[Revenue].&amp;[1.2076341E5]" c="120763.41" nd="1"/>
              <i n="[Table2].[Revenue].&amp;[1.2113145999999999E5]" c="121131.46" nd="1"/>
              <i n="[Table2].[Revenue].&amp;[1.255653E5]" c="125565.3" nd="1"/>
              <i n="[Table2].[Revenue].&amp;[1.274076E5]" c="127407.6" nd="1"/>
              <i n="[Table2].[Revenue].&amp;[1.2877740000000001E5]" c="128777.4" nd="1"/>
              <i n="[Table2].[Revenue].&amp;[1.3057876E5]" c="130578.76" nd="1"/>
              <i n="[Table2].[Revenue].&amp;[1.3060536E5]" c="130605.36" nd="1"/>
              <i n="[Table2].[Revenue].&amp;[1.3431825E5]" c="134318.25" nd="1"/>
              <i n="[Table2].[Revenue].&amp;[1.3537780000000002E5]" c="135377.8" nd="1"/>
              <i n="[Table2].[Revenue].&amp;[1.3717748E5]" c="137177.48" nd="1"/>
              <i n="[Table2].[Revenue].&amp;[1.3782252E5]" c="137822.52" nd="1"/>
              <i n="[Table2].[Revenue].&amp;[1.38363E5]" c="138363" nd="1"/>
              <i n="[Table2].[Revenue].&amp;[1.4324675E5]" c="143246.75" nd="1"/>
              <i n="[Table2].[Revenue].&amp;[1.4600246E5]" c="146002.46" nd="1"/>
              <i n="[Table2].[Revenue].&amp;[1.498224E5]" c="149822.4" nd="1"/>
              <i n="[Table2].[Revenue].&amp;[1.5066354E5]" c="150663.54" nd="1"/>
              <i n="[Table2].[Revenue].&amp;[1.5497294E5]" c="154972.94" nd="1"/>
              <i n="[Table2].[Revenue].&amp;[1.5538640000000002E5]" c="155386.4" nd="1"/>
              <i n="[Table2].[Revenue].&amp;[1.6267480000000002E5]" c="162674.8" nd="1"/>
              <i n="[Table2].[Revenue].&amp;[1.6550248E5]" c="165502.48" nd="1"/>
              <i n="[Table2].[Revenue].&amp;[1.6560831E5]" c="165608.31" nd="1"/>
              <i n="[Table2].[Revenue].&amp;[1.7154759999999998E5]" c="171547.6" nd="1"/>
              <i n="[Table2].[Revenue].&amp;[1.7774331999999998E5]" c="177743.32" nd="1"/>
              <i n="[Table2].[Revenue].&amp;[2.0241515000000002E5]" c="202415.15" nd="1"/>
              <i n="[Table2].[Revenue].&amp;[2.0408024E5]" c="204080.24" nd="1"/>
              <i n="[Table2].[Revenue].&amp;[2.1224008000000002E5]" c="212240.08" nd="1"/>
              <i n="[Table2].[Revenue].&amp;[2.1935613E5]" c="219356.13" nd="1"/>
              <i n="[Table2].[Revenue].&amp;[2.236571E5]" c="223657.1" nd="1"/>
              <i n="[Table2].[Revenue].&amp;[2.2548966E5]" c="225489.66" nd="1"/>
              <i n="[Table2].[Revenue].&amp;[2.266292E5]" c="226629.2" nd="1"/>
              <i n="[Table2].[Revenue].&amp;[2.3008776E5]" c="230087.76" nd="1"/>
              <i n="[Table2].[Revenue].&amp;[2.3504102000000002E5]" c="235041.02" nd="1"/>
              <i n="[Table2].[Revenue].&amp;[2.6825676E5]" c="268256.76" nd="1"/>
              <i n="[Table2].[Revenue].&amp;[2.744508E5]" c="274450.8" nd="1"/>
              <i n="[Table2].[Revenue].&amp;[2.7544725E5]" c="275447.25" nd="1"/>
              <i n="[Table2].[Revenue].&amp;[2.7568752E5]" c="275687.52" nd="1"/>
              <i n="[Table2].[Revenue].&amp;[3.0144476999999996E5]" c="301444.77" nd="1"/>
              <i n="[Table2].[Revenue].&amp;[3.0557042E5]" c="305570.42" nd="1"/>
              <i n="[Table2].[Revenue].&amp;[3.177655E5]" c="317765.5" nd="1"/>
              <i n="[Table2].[Revenue].&amp;[3.1812424E5]" c="318124.24" nd="1"/>
              <i n="[Table2].[Revenue].&amp;[3.3926130000000004E5]" c="339261.3" nd="1"/>
              <i n="[Table2].[Revenue].&amp;[3.5546975E5]" c="355469.75" nd="1"/>
              <i n="[Table2].[Revenue].&amp;[3.6624625E5]" c="366246.25" nd="1"/>
              <i n="[Table2].[Revenue].&amp;[3.8122974E5]" c="381229.74" nd="1"/>
              <i n="[Table2].[Revenue].&amp;[4.2600723000000004E5]" c="426007.23" nd="1"/>
              <i n="[Table2].[Revenue].&amp;[5.1811376E5]" c="518113.76" nd="1"/>
              <i n="[Table2].[Revenue].&amp;[5.6657088E5]" c="566570.88" nd="1"/>
              <i n="[Table2].[Revenue].&amp;[7.3387512E5]" c="733875.12" nd="1"/>
              <i n="[Table2].[Revenue].&amp;[9.576713999999999E5]" c="957671.4" nd="1"/>
              <i n="[Table2].[Revenue].&amp;[1.0124799E6]" c="1012479.9" nd="1"/>
              <i n="[Table2].[Revenue].&amp;[1.26142486E6]" c="1261424.86" nd="1"/>
              <i n="[Table2].[Revenue].&amp;[1.29130228E6]" c="1291302.28" nd="1"/>
              <i n="[Table2].[Revenue].&amp;[1.42024615E6]" c="1420246.15" nd="1"/>
            </range>
          </ranges>
        </level>
      </levels>
      <selections count="1">
        <selection n="[Table2].[Revenu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with_Currency" xr10:uid="{BC544421-C714-4E9E-8BA7-A515B25E62B1}" sourceName="Price with Currency">
  <pivotTables>
    <pivotTable tabId="15" name="PivotTable3"/>
  </pivotTables>
  <data>
    <tabular pivotCacheId="1582866078">
      <items count="601">
        <i x="44" s="1"/>
        <i x="112" s="1"/>
        <i x="324" s="1"/>
        <i x="390" s="1" nd="1"/>
        <i x="358" s="1" nd="1"/>
        <i x="229" s="1" nd="1"/>
        <i x="179" s="1" nd="1"/>
        <i x="145" s="1" nd="1"/>
        <i x="231" s="1" nd="1"/>
        <i x="563" s="1" nd="1"/>
        <i x="233" s="1" nd="1"/>
        <i x="556" s="1" nd="1"/>
        <i x="433" s="1" nd="1"/>
        <i x="10" s="1" nd="1"/>
        <i x="259" s="1" nd="1"/>
        <i x="346" s="1" nd="1"/>
        <i x="434" s="1" nd="1"/>
        <i x="354" s="1" nd="1"/>
        <i x="559" s="1" nd="1"/>
        <i x="566" s="1" nd="1"/>
        <i x="20" s="1" nd="1"/>
        <i x="382" s="1" nd="1"/>
        <i x="187" s="1" nd="1"/>
        <i x="373" s="1" nd="1"/>
        <i x="593" s="1" nd="1"/>
        <i x="199" s="1" nd="1"/>
        <i x="52" s="1" nd="1"/>
        <i x="218" s="1" nd="1"/>
        <i x="134" s="1" nd="1"/>
        <i x="78" s="1" nd="1"/>
        <i x="393" s="1" nd="1"/>
        <i x="437" s="1" nd="1"/>
        <i x="432" s="1" nd="1"/>
        <i x="107" s="1" nd="1"/>
        <i x="144" s="1" nd="1"/>
        <i x="119" s="1" nd="1"/>
        <i x="392" s="1" nd="1"/>
        <i x="587" s="1" nd="1"/>
        <i x="43" s="1" nd="1"/>
        <i x="51" s="1" nd="1"/>
        <i x="77" s="1" nd="1"/>
        <i x="180" s="1" nd="1"/>
        <i x="265" s="1" nd="1"/>
        <i x="97" s="1" nd="1"/>
        <i x="397" s="1" nd="1"/>
        <i x="146" s="1" nd="1"/>
        <i x="539" s="1" nd="1"/>
        <i x="53" s="1" nd="1"/>
        <i x="105" s="1" nd="1"/>
        <i x="104" s="1" nd="1"/>
        <i x="303" s="1" nd="1"/>
        <i x="592" s="1" nd="1"/>
        <i x="58" s="1" nd="1"/>
        <i x="430" s="1" nd="1"/>
        <i x="37" s="1" nd="1"/>
        <i x="517" s="1" nd="1"/>
        <i x="280" s="1" nd="1"/>
        <i x="504" s="1" nd="1"/>
        <i x="109" s="1" nd="1"/>
        <i x="69" s="1" nd="1"/>
        <i x="232" s="1" nd="1"/>
        <i x="155" s="1" nd="1"/>
        <i x="319" s="1" nd="1"/>
        <i x="557" s="1" nd="1"/>
        <i x="248" s="1" nd="1"/>
        <i x="529" s="1" nd="1"/>
        <i x="8" s="1" nd="1"/>
        <i x="60" s="1" nd="1"/>
        <i x="455" s="1" nd="1"/>
        <i x="308" s="1" nd="1"/>
        <i x="234" s="1" nd="1"/>
        <i x="200" s="1" nd="1"/>
        <i x="212" s="1" nd="1"/>
        <i x="315" s="1" nd="1"/>
        <i x="11" s="1" nd="1"/>
        <i x="67" s="1" nd="1"/>
        <i x="577" s="1" nd="1"/>
        <i x="285" s="1" nd="1"/>
        <i x="170" s="1" nd="1"/>
        <i x="375" s="1" nd="1"/>
        <i x="547" s="1" nd="1"/>
        <i x="120" s="1" nd="1"/>
        <i x="367" s="1" nd="1"/>
        <i x="370" s="1" nd="1"/>
        <i x="532" s="1" nd="1"/>
        <i x="238" s="1" nd="1"/>
        <i x="169" s="1" nd="1"/>
        <i x="41" s="1" nd="1"/>
        <i x="486" s="1" nd="1"/>
        <i x="2" s="1" nd="1"/>
        <i x="102" s="1" nd="1"/>
        <i x="394" s="1" nd="1"/>
        <i x="137" s="1" nd="1"/>
        <i x="147" s="1" nd="1"/>
        <i x="56" s="1" nd="1"/>
        <i x="526" s="1" nd="1"/>
        <i x="469" s="1" nd="1"/>
        <i x="281" s="1" nd="1"/>
        <i x="470" s="1" nd="1"/>
        <i x="151" s="1" nd="1"/>
        <i x="13" s="1" nd="1"/>
        <i x="403" s="1" nd="1"/>
        <i x="74" s="1" nd="1"/>
        <i x="57" s="1" nd="1"/>
        <i x="101" s="1" nd="1"/>
        <i x="171" s="1" nd="1"/>
        <i x="586" s="1" nd="1"/>
        <i x="210" s="1" nd="1"/>
        <i x="198" s="1" nd="1"/>
        <i x="299" s="1" nd="1"/>
        <i x="267" s="1" nd="1"/>
        <i x="39" s="1" nd="1"/>
        <i x="188" s="1" nd="1"/>
        <i x="411" s="1" nd="1"/>
        <i x="203" s="1" nd="1"/>
        <i x="513" s="1" nd="1"/>
        <i x="409" s="1" nd="1"/>
        <i x="100" s="1" nd="1"/>
        <i x="192" s="1" nd="1"/>
        <i x="15" s="1" nd="1"/>
        <i x="441" s="1" nd="1"/>
        <i x="541" s="1" nd="1"/>
        <i x="335" s="1" nd="1"/>
        <i x="214" s="1" nd="1"/>
        <i x="542" s="1" nd="1"/>
        <i x="4" s="1" nd="1"/>
        <i x="578" s="1" nd="1"/>
        <i x="191" s="1" nd="1"/>
        <i x="25" s="1" nd="1"/>
        <i x="32" s="1" nd="1"/>
        <i x="567" s="1" nd="1"/>
        <i x="252" s="1" nd="1"/>
        <i x="497" s="1" nd="1"/>
        <i x="554" s="1" nd="1"/>
        <i x="314" s="1" nd="1"/>
        <i x="471" s="1" nd="1"/>
        <i x="230" s="1" nd="1"/>
        <i x="103" s="1" nd="1"/>
        <i x="92" s="1" nd="1"/>
        <i x="126" s="1" nd="1"/>
        <i x="59" s="1" nd="1"/>
        <i x="459" s="1" nd="1"/>
        <i x="537" s="1" nd="1"/>
        <i x="562" s="1" nd="1"/>
        <i x="519" s="1" nd="1"/>
        <i x="418" s="1" nd="1"/>
        <i x="220" s="1" nd="1"/>
        <i x="6" s="1" nd="1"/>
        <i x="338" s="1" nd="1"/>
        <i x="464" s="1" nd="1"/>
        <i x="194" s="1" nd="1"/>
        <i x="466" s="1" nd="1"/>
        <i x="461" s="1" nd="1"/>
        <i x="484" s="1" nd="1"/>
        <i x="261" s="1" nd="1"/>
        <i x="564" s="1" nd="1"/>
        <i x="413" s="1" nd="1"/>
        <i x="71" s="1" nd="1"/>
        <i x="80" s="1" nd="1"/>
        <i x="535" s="1" nd="1"/>
        <i x="496" s="1" nd="1"/>
        <i x="287" s="1" nd="1"/>
        <i x="350" s="1" nd="1"/>
        <i x="263" s="1" nd="1"/>
        <i x="379" s="1" nd="1"/>
        <i x="118" s="1" nd="1"/>
        <i x="247" s="1" nd="1"/>
        <i x="389" s="1" nd="1"/>
        <i x="600" s="1" nd="1"/>
        <i x="499" s="1" nd="1"/>
        <i x="584" s="1" nd="1"/>
        <i x="54" s="1" nd="1"/>
        <i x="283" s="1" nd="1"/>
        <i x="244" s="1" nd="1"/>
        <i x="387" s="1" nd="1"/>
        <i x="236" s="1" nd="1"/>
        <i x="317" s="1" nd="1"/>
        <i x="451" s="1" nd="1"/>
        <i x="40" s="1" nd="1"/>
        <i x="18" s="1" nd="1"/>
        <i x="321" s="1" nd="1"/>
        <i x="598" s="1" nd="1"/>
        <i x="518" s="1" nd="1"/>
        <i x="90" s="1" nd="1"/>
        <i x="446" s="1" nd="1"/>
        <i x="302" s="1" nd="1"/>
        <i x="456" s="1" nd="1"/>
        <i x="493" s="1" nd="1"/>
        <i x="395" s="1" nd="1"/>
        <i x="85" s="1" nd="1"/>
        <i x="558" s="1" nd="1"/>
        <i x="88" s="1" nd="1"/>
        <i x="424" s="1" nd="1"/>
        <i x="536" s="1" nd="1"/>
        <i x="208" s="1" nd="1"/>
        <i x="61" s="1" nd="1"/>
        <i x="72" s="1" nd="1"/>
        <i x="38" s="1" nd="1"/>
        <i x="544" s="1" nd="1"/>
        <i x="159" s="1" nd="1"/>
        <i x="478" s="1" nd="1"/>
        <i x="465" s="1" nd="1"/>
        <i x="371" s="1" nd="1"/>
        <i x="141" s="1" nd="1"/>
        <i x="482" s="1" nd="1"/>
        <i x="209" s="1" nd="1"/>
        <i x="590" s="1" nd="1"/>
        <i x="211" s="1" nd="1"/>
        <i x="143" s="1" nd="1"/>
        <i x="585" s="1" nd="1"/>
        <i x="217" s="1" nd="1"/>
        <i x="128" s="1" nd="1"/>
        <i x="158" s="1" nd="1"/>
        <i x="215" s="1" nd="1"/>
        <i x="271" s="1" nd="1"/>
        <i x="276" s="1" nd="1"/>
        <i x="467" s="1" nd="1"/>
        <i x="222" s="1" nd="1"/>
        <i x="284" s="1" nd="1"/>
        <i x="135" s="1" nd="1"/>
        <i x="572" s="1" nd="1"/>
        <i x="138" s="1" nd="1"/>
        <i x="272" s="1" nd="1"/>
        <i x="1" s="1" nd="1"/>
        <i x="322" s="1" nd="1"/>
        <i x="507" s="1" nd="1"/>
        <i x="174" s="1" nd="1"/>
        <i x="213" s="1" nd="1"/>
        <i x="480" s="1" nd="1"/>
        <i x="122" s="1" nd="1"/>
        <i x="163" s="1" nd="1"/>
        <i x="416" s="1" nd="1"/>
        <i x="313" s="1" nd="1"/>
        <i x="509" s="1" nd="1"/>
        <i x="408" s="1" nd="1"/>
        <i x="70" s="1" nd="1"/>
        <i x="475" s="1" nd="1"/>
        <i x="274" s="1" nd="1"/>
        <i x="130" s="1" nd="1"/>
        <i x="583" s="1" nd="1"/>
        <i x="28" s="1" nd="1"/>
        <i x="33" s="1" nd="1"/>
        <i x="323" s="1" nd="1"/>
        <i x="443" s="1" nd="1"/>
        <i x="256" s="1" nd="1"/>
        <i x="462" s="1" nd="1"/>
        <i x="472" s="1" nd="1"/>
        <i x="268" s="1" nd="1"/>
        <i x="123" s="1" nd="1"/>
        <i x="327" s="1" nd="1"/>
        <i x="402" s="1" nd="1"/>
        <i x="347" s="1" nd="1"/>
        <i x="595" s="1" nd="1"/>
        <i x="29" s="1" nd="1"/>
        <i x="34" s="1" nd="1"/>
        <i x="48" s="1" nd="1"/>
        <i x="400" s="1" nd="1"/>
        <i x="349" s="1" nd="1"/>
        <i x="348" s="1" nd="1"/>
        <i x="240" s="1" nd="1"/>
        <i x="149" s="1" nd="1"/>
        <i x="81" s="1" nd="1"/>
        <i x="243" s="1" nd="1"/>
        <i x="182" s="1" nd="1"/>
        <i x="568" s="1" nd="1"/>
        <i x="476" s="1" nd="1"/>
        <i x="110" s="1" nd="1"/>
        <i x="94" s="1" nd="1"/>
        <i x="366" s="1" nd="1"/>
        <i x="79" s="1" nd="1"/>
        <i x="422" s="1" nd="1"/>
        <i x="83" s="1" nd="1"/>
        <i x="62" s="1" nd="1"/>
        <i x="360" s="1" nd="1"/>
        <i x="136" s="1" nd="1"/>
        <i x="150" s="1" nd="1"/>
        <i x="266" s="1" nd="1"/>
        <i x="487" s="1" nd="1"/>
        <i x="309" s="1" nd="1"/>
        <i x="116" s="1" nd="1"/>
        <i x="336" s="1" nd="1"/>
        <i x="190" s="1" nd="1"/>
        <i x="368" s="1" nd="1"/>
        <i x="329" s="1" nd="1"/>
        <i x="173" s="1" nd="1"/>
        <i x="294" s="1" nd="1"/>
        <i x="219" s="1" nd="1"/>
        <i x="460" s="1" nd="1"/>
        <i x="162" s="1" nd="1"/>
        <i x="534" s="1" nd="1"/>
        <i x="582" s="1" nd="1"/>
        <i x="548" s="1" nd="1"/>
        <i x="474" s="1" nd="1"/>
        <i x="391" s="1" nd="1"/>
        <i x="3" s="1" nd="1"/>
        <i x="439" s="1" nd="1"/>
        <i x="113" s="1" nd="1"/>
        <i x="286" s="1" nd="1"/>
        <i x="576" s="1" nd="1"/>
        <i x="457" s="1" nd="1"/>
        <i x="65" s="1" nd="1"/>
        <i x="440" s="1" nd="1"/>
        <i x="372" s="1" nd="1"/>
        <i x="423" s="1" nd="1"/>
        <i x="362" s="1" nd="1"/>
        <i x="490" s="1" nd="1"/>
        <i x="304" s="1" nd="1"/>
        <i x="523" s="1" nd="1"/>
        <i x="530" s="1" nd="1"/>
        <i x="115" s="1" nd="1"/>
        <i x="311" s="1" nd="1"/>
        <i x="204" s="1" nd="1"/>
        <i x="250" s="1" nd="1"/>
        <i x="560" s="1" nd="1"/>
        <i x="357" s="1" nd="1"/>
        <i x="463" s="1" nd="1"/>
        <i x="168" s="1" nd="1"/>
        <i x="227" s="1" nd="1"/>
        <i x="316" s="1" nd="1"/>
        <i x="552" s="1" nd="1"/>
        <i x="340" s="1" nd="1"/>
        <i x="549" s="1" nd="1"/>
        <i x="253" s="1" nd="1"/>
        <i x="300" s="1" nd="1"/>
        <i x="545" s="1" nd="1"/>
        <i x="96" s="1" nd="1"/>
        <i x="579" s="1" nd="1"/>
        <i x="550" s="1" nd="1"/>
        <i x="184" s="1" nd="1"/>
        <i x="270" s="1" nd="1"/>
        <i x="334" s="1" nd="1"/>
        <i x="553" s="1" nd="1"/>
        <i x="14" s="1" nd="1"/>
        <i x="7" s="1" nd="1"/>
        <i x="291" s="1" nd="1"/>
        <i x="242" s="1" nd="1"/>
        <i x="527" s="1" nd="1"/>
        <i x="491" s="1" nd="1"/>
        <i x="569" s="1" nd="1"/>
        <i x="42" s="1" nd="1"/>
        <i x="522" s="1" nd="1"/>
        <i x="193" s="1" nd="1"/>
        <i x="154" s="1" nd="1"/>
        <i x="352" s="1" nd="1"/>
        <i x="164" s="1" nd="1"/>
        <i x="377" s="1" nd="1"/>
        <i x="22" s="1" nd="1"/>
        <i x="186" s="1" nd="1"/>
        <i x="26" s="1" nd="1"/>
        <i x="596" s="1" nd="1"/>
        <i x="172" s="1" nd="1"/>
        <i x="132" s="1" nd="1"/>
        <i x="73" s="1" nd="1"/>
        <i x="450" s="1" nd="1"/>
        <i x="165" s="1" nd="1"/>
        <i x="142" s="1" nd="1"/>
        <i x="46" s="1" nd="1"/>
        <i x="239" s="1" nd="1"/>
        <i x="399" s="1" nd="1"/>
        <i x="380" s="1" nd="1"/>
        <i x="50" s="1" nd="1"/>
        <i x="98" s="1" nd="1"/>
        <i x="533" s="1" nd="1"/>
        <i x="447" s="1" nd="1"/>
        <i x="307" s="1" nd="1"/>
        <i x="93" s="1" nd="1"/>
        <i x="331" s="1" nd="1"/>
        <i x="328" s="1" nd="1"/>
        <i x="398" s="1" nd="1"/>
        <i x="175" s="1" nd="1"/>
        <i x="205" s="1" nd="1"/>
        <i x="275" s="1" nd="1"/>
        <i x="351" s="1" nd="1"/>
        <i x="488" s="1" nd="1"/>
        <i x="438" s="1" nd="1"/>
        <i x="589" s="1" nd="1"/>
        <i x="237" s="1" nd="1"/>
        <i x="55" s="1" nd="1"/>
        <i x="581" s="1" nd="1"/>
        <i x="406" s="1" nd="1"/>
        <i x="124" s="1" nd="1"/>
        <i x="575" s="1" nd="1"/>
        <i x="189" s="1" nd="1"/>
        <i x="269" s="1" nd="1"/>
        <i x="76" s="1" nd="1"/>
        <i x="183" s="1" nd="1"/>
        <i x="344" s="1" nd="1"/>
        <i x="599" s="1" nd="1"/>
        <i x="68" s="1" nd="1"/>
        <i x="226" s="1" nd="1"/>
        <i x="312" s="1" nd="1"/>
        <i x="337" s="1" nd="1"/>
        <i x="17" s="1" nd="1"/>
        <i x="381" s="1" nd="1"/>
        <i x="489" s="1" nd="1"/>
        <i x="495" s="1" nd="1"/>
        <i x="555" s="1" nd="1"/>
        <i x="365" s="1" nd="1"/>
        <i x="5" s="1" nd="1"/>
        <i x="156" s="1" nd="1"/>
        <i x="140" s="1" nd="1"/>
        <i x="543" s="1" nd="1"/>
        <i x="260" s="1" nd="1"/>
        <i x="498" s="1" nd="1"/>
        <i x="301" s="1" nd="1"/>
        <i x="512" s="1" nd="1"/>
        <i x="405" s="1" nd="1"/>
        <i x="452" s="1" nd="1"/>
        <i x="166" s="1" nd="1"/>
        <i x="255" s="1" nd="1"/>
        <i x="225" s="1" nd="1"/>
        <i x="345" s="1" nd="1"/>
        <i x="114" s="1" nd="1"/>
        <i x="415" s="1" nd="1"/>
        <i x="503" s="1" nd="1"/>
        <i x="502" s="1" nd="1"/>
        <i x="0" s="1" nd="1"/>
        <i x="181" s="1" nd="1"/>
        <i x="511" s="1" nd="1"/>
        <i x="481" s="1" nd="1"/>
        <i x="277" s="1" nd="1"/>
        <i x="288" s="1" nd="1"/>
        <i x="86" s="1" nd="1"/>
        <i x="131" s="1" nd="1"/>
        <i x="91" s="1" nd="1"/>
        <i x="442" s="1" nd="1"/>
        <i x="516" s="1" nd="1"/>
        <i x="221" s="1" nd="1"/>
        <i x="341" s="1" nd="1"/>
        <i x="407" s="1" nd="1"/>
        <i x="196" s="1" nd="1"/>
        <i x="152" s="1" nd="1"/>
        <i x="235" s="1" nd="1"/>
        <i x="525" s="1" nd="1"/>
        <i x="501" s="1" nd="1"/>
        <i x="561" s="1" nd="1"/>
        <i x="160" s="1" nd="1"/>
        <i x="444" s="1" nd="1"/>
        <i x="254" s="1" nd="1"/>
        <i x="282" s="1" nd="1"/>
        <i x="339" s="1" nd="1"/>
        <i x="320" s="1" nd="1"/>
        <i x="546" s="1" nd="1"/>
        <i x="228" s="1" nd="1"/>
        <i x="161" s="1" nd="1"/>
        <i x="185" s="1" nd="1"/>
        <i x="49" s="1" nd="1"/>
        <i x="129" s="1" nd="1"/>
        <i x="19" s="1" nd="1"/>
        <i x="99" s="1" nd="1"/>
        <i x="305" s="1" nd="1"/>
        <i x="494" s="1" nd="1"/>
        <i x="571" s="1" nd="1"/>
        <i x="445" s="1" nd="1"/>
        <i x="540" s="1" nd="1"/>
        <i x="95" s="1" nd="1"/>
        <i x="510" s="1" nd="1"/>
        <i x="355" s="1" nd="1"/>
        <i x="573" s="1" nd="1"/>
        <i x="290" s="1" nd="1"/>
        <i x="492" s="1" nd="1"/>
        <i x="47" s="1" nd="1"/>
        <i x="374" s="1" nd="1"/>
        <i x="325" s="1" nd="1"/>
        <i x="531" s="1" nd="1"/>
        <i x="133" s="1" nd="1"/>
        <i x="468" s="1" nd="1"/>
        <i x="249" s="1" nd="1"/>
        <i x="388" s="1" nd="1"/>
        <i x="84" s="1" nd="1"/>
        <i x="262" s="1" nd="1"/>
        <i x="12" s="1" nd="1"/>
        <i x="23" s="1" nd="1"/>
        <i x="383" s="1" nd="1"/>
        <i x="477" s="1" nd="1"/>
        <i x="473" s="1" nd="1"/>
        <i x="386" s="1" nd="1"/>
        <i x="293" s="1" nd="1"/>
        <i x="384" s="1" nd="1"/>
        <i x="223" s="1" nd="1"/>
        <i x="195" s="1" nd="1"/>
        <i x="332" s="1" nd="1"/>
        <i x="117" s="1" nd="1"/>
        <i x="45" s="1" nd="1"/>
        <i x="364" s="1" nd="1"/>
        <i x="449" s="1" nd="1"/>
        <i x="551" s="1" nd="1"/>
        <i x="528" s="1" nd="1"/>
        <i x="591" s="1" nd="1"/>
        <i x="515" s="1" nd="1"/>
        <i x="326" s="1" nd="1"/>
        <i x="588" s="1" nd="1"/>
        <i x="520" s="1" nd="1"/>
        <i x="524" s="1" nd="1"/>
        <i x="435" s="1" nd="1"/>
        <i x="570" s="1" nd="1"/>
        <i x="353" s="1" nd="1"/>
        <i x="258" s="1" nd="1"/>
        <i x="414" s="1" nd="1"/>
        <i x="148" s="1" nd="1"/>
        <i x="565" s="1" nd="1"/>
        <i x="177" s="1" nd="1"/>
        <i x="24" s="1" nd="1"/>
        <i x="359" s="1" nd="1"/>
        <i x="63" s="1" nd="1"/>
        <i x="448" s="1" nd="1"/>
        <i x="245" s="1" nd="1"/>
        <i x="289" s="1" nd="1"/>
        <i x="426" s="1" nd="1"/>
        <i x="417" s="1" nd="1"/>
        <i x="279" s="1" nd="1"/>
        <i x="202" s="1" nd="1"/>
        <i x="207" s="1" nd="1"/>
        <i x="35" s="1" nd="1"/>
        <i x="420" s="1" nd="1"/>
        <i x="297" s="1" nd="1"/>
        <i x="396" s="1" nd="1"/>
        <i x="404" s="1" nd="1"/>
        <i x="310" s="1" nd="1"/>
        <i x="428" s="1" nd="1"/>
        <i x="421" s="1" nd="1"/>
        <i x="369" s="1" nd="1"/>
        <i x="453" s="1" nd="1"/>
        <i x="125" s="1" nd="1"/>
        <i x="505" s="1" nd="1"/>
        <i x="246" s="1" nd="1"/>
        <i x="75" s="1" nd="1"/>
        <i x="66" s="1" nd="1"/>
        <i x="429" s="1" nd="1"/>
        <i x="506" s="1" nd="1"/>
        <i x="21" s="1" nd="1"/>
        <i x="376" s="1" nd="1"/>
        <i x="153" s="1" nd="1"/>
        <i x="458" s="1" nd="1"/>
        <i x="427" s="1" nd="1"/>
        <i x="330" s="1" nd="1"/>
        <i x="318" s="1" nd="1"/>
        <i x="378" s="1" nd="1"/>
        <i x="356" s="1" nd="1"/>
        <i x="87" s="1" nd="1"/>
        <i x="106" s="1" nd="1"/>
        <i x="574" s="1" nd="1"/>
        <i x="431" s="1" nd="1"/>
        <i x="264" s="1" nd="1"/>
        <i x="306" s="1" nd="1"/>
        <i x="278" s="1" nd="1"/>
        <i x="167" s="1" nd="1"/>
        <i x="139" s="1" nd="1"/>
        <i x="16" s="1" nd="1"/>
        <i x="298" s="1" nd="1"/>
        <i x="296" s="1" nd="1"/>
        <i x="363" s="1" nd="1"/>
        <i x="479" s="1" nd="1"/>
        <i x="27" s="1" nd="1"/>
        <i x="201" s="1" nd="1"/>
        <i x="333" s="1" nd="1"/>
        <i x="410" s="1" nd="1"/>
        <i x="361" s="1" nd="1"/>
        <i x="251" s="1" nd="1"/>
        <i x="419" s="1" nd="1"/>
        <i x="412" s="1" nd="1"/>
        <i x="292" s="1" nd="1"/>
        <i x="89" s="1" nd="1"/>
        <i x="121" s="1" nd="1"/>
        <i x="157" s="1" nd="1"/>
        <i x="273" s="1" nd="1"/>
        <i x="401" s="1" nd="1"/>
        <i x="436" s="1" nd="1"/>
        <i x="241" s="1" nd="1"/>
        <i x="224" s="1" nd="1"/>
        <i x="36" s="1" nd="1"/>
        <i x="30" s="1" nd="1"/>
        <i x="594" s="1" nd="1"/>
        <i x="521" s="1" nd="1"/>
        <i x="385" s="1" nd="1"/>
        <i x="108" s="1" nd="1"/>
        <i x="64" s="1" nd="1"/>
        <i x="176" s="1" nd="1"/>
        <i x="538" s="1" nd="1"/>
        <i x="127" s="1" nd="1"/>
        <i x="485" s="1" nd="1"/>
        <i x="111" s="1" nd="1"/>
        <i x="342" s="1" nd="1"/>
        <i x="206" s="1" nd="1"/>
        <i x="82" s="1" nd="1"/>
        <i x="257" s="1" nd="1"/>
        <i x="580" s="1" nd="1"/>
        <i x="295" s="1" nd="1"/>
        <i x="197" s="1" nd="1"/>
        <i x="9" s="1" nd="1"/>
        <i x="500" s="1" nd="1"/>
        <i x="178" s="1" nd="1"/>
        <i x="425" s="1" nd="1"/>
        <i x="31" s="1" nd="1"/>
        <i x="454" s="1" nd="1"/>
        <i x="343" s="1" nd="1"/>
        <i x="483" s="1" nd="1"/>
        <i x="514" s="1" nd="1"/>
        <i x="216" s="1" nd="1"/>
        <i x="597" s="1" nd="1"/>
        <i x="508"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ACD1251-6461-4AA2-858D-930EB02A4601}" sourceName="Country">
  <pivotTables>
    <pivotTable tabId="15" name="PivotTable3"/>
  </pivotTables>
  <data>
    <tabular pivotCacheId="1582866078">
      <items count="7">
        <i x="1"/>
        <i x="3"/>
        <i x="2"/>
        <i x="4"/>
        <i x="6" s="1"/>
        <i x="5"/>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Name" xr10:uid="{534ADCBE-16D1-4356-9DEF-301073783445}" cache="Slicer_Brand_Name" caption="Brand Name" startItem="52" level="1" rowHeight="241300"/>
  <slicer name="Brand Name 1" xr10:uid="{0507192E-FDD3-469A-80FF-23A02A38791A}" cache="Slicer_Brand_Name" caption="Brand Name" level="1" rowHeight="241300"/>
  <slicer name="Sold" xr10:uid="{CBD9E379-08E2-46ED-B79C-30ACCCCED92B}" cache="Slicer_Sold" caption="Sold" level="1" rowHeight="241300"/>
  <slicer name="Sold 1" xr10:uid="{65C35C35-1597-4921-9D67-E66D9C4E1C7E}" cache="Slicer_Sold" caption="Sold" startItem="105"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with Currency" xr10:uid="{7CD27F6E-E33C-40AC-A831-B15ECB7007D3}" cache="Slicer_Price_with_Currency" caption="Price with Currency" rowHeight="241300"/>
  <slicer name="Country" xr10:uid="{4C27BBE4-37A0-4E78-8068-76D202B903D8}" cache="Slicer_Country" caption="Count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Name 2" xr10:uid="{42B5F365-F251-4D14-A738-FCB5D8737EC1}" cache="Slicer_Brand_Name" caption="Brand Name" level="1" rowHeight="241300"/>
  <slicer name="Sold 2" xr10:uid="{620E36F5-B1C2-474D-94DE-90A94224FA0B}" cache="Slicer_Sold" caption="Sold" level="1" rowHeight="241300"/>
  <slicer name="Last Updated (Month) 1" xr10:uid="{413834BA-9653-4C03-BE8B-8F98EB820B65}" cache="Slicer_Last_Updated__Month" caption="Last Updated (Month)" level="1" rowHeight="241300"/>
  <slicer name="Revenue 2" xr10:uid="{E3068860-1AFD-41DE-B29D-71DAF718AC3C}" cache="Slicer_Revenue1" caption="Revenue" level="1" rowHeight="241300"/>
  <slicer name="Country 1" xr10:uid="{57368E15-CD5A-45C7-8638-A1EB7208262F}" cache="Slicer_Country" caption="Country"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ast Updated (Month)" xr10:uid="{FF38664B-DC68-44A9-AC37-DAF8871B7BCE}" cache="Slicer_Last_Updated__Month" caption="Last Updated (Month)" level="1" rowHeight="241300"/>
  <slicer name="Revenue 1" xr10:uid="{AB5EA1F7-CEBD-4134-8529-FDC346CD1714}" cache="Slicer_Revenue1" caption="Revenue"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207E889-5DFD-442E-B874-264E02BB0CC1}" name="Table10" displayName="Table10" ref="A1:F15" totalsRowShown="0" headerRowDxfId="40" dataDxfId="38" headerRowBorderDxfId="39" tableBorderDxfId="37">
  <autoFilter ref="A1:F15" xr:uid="{D207E889-5DFD-442E-B874-264E02BB0CC1}"/>
  <tableColumns count="6">
    <tableColumn id="1" xr3:uid="{E1AB37DD-F6CA-493F-A943-44D0D30F3C3B}" name="Price" dataDxfId="36"/>
    <tableColumn id="2" xr3:uid="{149231C3-BEED-44C1-A20F-A16E343B7F64}" name="Result" dataDxfId="35"/>
    <tableColumn id="3" xr3:uid="{F61BD645-8D98-4BC2-942B-96073CFFD3FC}" name="Available stock" dataDxfId="34"/>
    <tableColumn id="4" xr3:uid="{21632D96-3129-4EEE-8F5B-7ED6CC6FF233}" name="Result3" dataDxfId="33"/>
    <tableColumn id="5" xr3:uid="{1762650C-FF17-4257-8FE6-6444AF84B635}" name="Sold" dataDxfId="32"/>
    <tableColumn id="6" xr3:uid="{E7802693-5731-4B8D-BC82-2408AC5781EC}" name="Result2" dataDxfId="3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D197E17-C2AF-4745-BFE1-CE947407DF20}" name="power_query" displayName="power_query" ref="A1:M1001" tableType="queryTable" totalsRowShown="0">
  <sortState xmlns:xlrd2="http://schemas.microsoft.com/office/spreadsheetml/2017/richdata2" ref="A2:M1001">
    <sortCondition ref="C1:C1001"/>
  </sortState>
  <tableColumns count="13">
    <tableColumn id="1" xr3:uid="{4751736B-9FC1-425F-A3C5-628BBC6BE426}" uniqueName="1" name="Branded" queryTableFieldId="1" dataDxfId="30"/>
    <tableColumn id="2" xr3:uid="{8B17BE34-1B9B-410A-A96A-09CD396404D7}" uniqueName="2" name="Type" queryTableFieldId="2" dataDxfId="29"/>
    <tableColumn id="3" xr3:uid="{9B02D217-9BCA-453D-9246-A54F63E44E4F}" uniqueName="3" name="Price with Currency" queryTableFieldId="3" dataDxfId="28"/>
    <tableColumn id="4" xr3:uid="{0F560531-DF6F-4EBC-AE70-5A28E39DDB85}" uniqueName="4" name="Available Stock" queryTableFieldId="4"/>
    <tableColumn id="5" xr3:uid="{4007E00B-AA29-443D-984F-8241703FE51A}" uniqueName="5" name="Sold" queryTableFieldId="5"/>
    <tableColumn id="6" xr3:uid="{323D6783-7745-41F3-B9A6-945EF2EC5F29}" uniqueName="6" name="Parfum Quality" queryTableFieldId="6" dataDxfId="27"/>
    <tableColumn id="7" xr3:uid="{0D532436-9120-480E-A037-D21420020209}" uniqueName="7" name="Last Updated month" queryTableFieldId="7" dataDxfId="26"/>
    <tableColumn id="8" xr3:uid="{AF225C18-5161-401F-8F48-4D1F7C5F04E7}" uniqueName="8" name="Last Updated Date" queryTableFieldId="8"/>
    <tableColumn id="9" xr3:uid="{776D920B-351D-4A10-AD1F-17B633CECEEB}" uniqueName="9" name="Last Updated Year" queryTableFieldId="9"/>
    <tableColumn id="10" xr3:uid="{43EAF22E-857B-4ADD-92A2-60820967A0AF}" uniqueName="10" name="Last Updated Time" queryTableFieldId="10" dataDxfId="25"/>
    <tableColumn id="12" xr3:uid="{E3925B7E-9072-4AF7-B7D3-56464F723247}" uniqueName="12" name="Item Location" queryTableFieldId="12" dataDxfId="24"/>
    <tableColumn id="13" xr3:uid="{93C59A3C-FDF1-495A-B78A-C93CA65BD69A}" uniqueName="13" name="City" queryTableFieldId="13" dataDxfId="23"/>
    <tableColumn id="14" xr3:uid="{EBCCC9EF-7CFD-48ED-868A-981E4416830C}" uniqueName="14" name="Country" queryTableFieldId="14" dataDxfId="2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K1001" totalsRowShown="0">
  <autoFilter ref="A1:K1001" xr:uid="{00000000-0009-0000-0100-000002000000}"/>
  <sortState xmlns:xlrd2="http://schemas.microsoft.com/office/spreadsheetml/2017/richdata2" ref="A2:K1001">
    <sortCondition ref="H1:H1001"/>
  </sortState>
  <tableColumns count="11">
    <tableColumn id="4" xr3:uid="{8EC1060F-0BD3-4600-B243-18A408F6898B}" name=" Brand Name"/>
    <tableColumn id="3" xr3:uid="{00000000-0010-0000-0000-000003000000}" name="Type"/>
    <tableColumn id="5" xr3:uid="{00000000-0010-0000-0000-000005000000}" name="Price with Currency" dataDxfId="21"/>
    <tableColumn id="6" xr3:uid="{00000000-0010-0000-0000-000006000000}" name="Available Stock"/>
    <tableColumn id="8" xr3:uid="{00000000-0010-0000-0000-000008000000}" name="Sold"/>
    <tableColumn id="1" xr3:uid="{F5B241BB-FC27-447F-ABEA-45AC9EEC8A45}" name="Revenue" dataDxfId="20">
      <calculatedColumnFormula>C:C*E:E</calculatedColumnFormula>
    </tableColumn>
    <tableColumn id="20" xr3:uid="{B830E812-255A-4938-B53D-11D411C8ADDF}" name="Parfum Quality" dataDxfId="19"/>
    <tableColumn id="9" xr3:uid="{00000000-0010-0000-0000-000009000000}" name="Last Updated" dataDxfId="18"/>
    <tableColumn id="10" xr3:uid="{00000000-0010-0000-0000-00000A000000}" name="Item Location"/>
    <tableColumn id="12" xr3:uid="{FB8ACDE9-27B6-44FC-965C-048671F02F22}" name="City"/>
    <tableColumn id="13" xr3:uid="{6AC10608-2F5B-4928-A5B6-81A86DFCB11F}" name="Country"/>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BB6569-3CAF-4B98-A7BF-943AF857B9C6}" name="Table3" displayName="Table3" ref="M7:O13" totalsRowShown="0">
  <autoFilter ref="M7:O13" xr:uid="{1FBB6569-3CAF-4B98-A7BF-943AF857B9C6}"/>
  <tableColumns count="3">
    <tableColumn id="1" xr3:uid="{37F2AD7F-E129-42F6-9502-ED3E71227330}" name="Basic Functions (Part 1)"/>
    <tableColumn id="3" xr3:uid="{77A5EAB6-5B6B-437A-BF4C-297FB1D3ADEF}" name="Details"/>
    <tableColumn id="2" xr3:uid="{99E146A1-9270-437F-BBDF-A4733B6263AD}" name="Result" dataDxfId="17">
      <calculatedColumnFormula>SUM(#REF!)</calculatedColumnFormula>
    </tableColumn>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2721110-2CB6-4D54-BF5F-49317C8F97C7}" name="Table4" displayName="Table4" ref="M16:O20" totalsRowShown="0">
  <autoFilter ref="M16:O20" xr:uid="{02721110-2CB6-4D54-BF5F-49317C8F97C7}"/>
  <tableColumns count="3">
    <tableColumn id="1" xr3:uid="{DA7D0D6A-0D8A-433A-B010-7D966B0A2BC3}" name="Basic Function (Part 2)"/>
    <tableColumn id="2" xr3:uid="{11AF35A7-73BB-4D97-9AD4-D5BBA7FCE3B1}" name="Details"/>
    <tableColumn id="3" xr3:uid="{A5C3C393-0327-46C5-873A-1239DEE643A8}" name="Result" dataDxfId="16"/>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38902E5-053B-4AC8-B30E-56248B1CE593}" name="Table5" displayName="Table5" ref="M23:O29" totalsRowShown="0">
  <autoFilter ref="M23:O29" xr:uid="{738902E5-053B-4AC8-B30E-56248B1CE593}"/>
  <tableColumns count="3">
    <tableColumn id="1" xr3:uid="{5ECFBAA6-01B1-46F6-90F6-C7FD488B2996}" name="Text Functions"/>
    <tableColumn id="2" xr3:uid="{D3AD5328-13E5-4A04-8ED3-78C44BCF3CC8}" name="Details"/>
    <tableColumn id="3" xr3:uid="{8A97FE92-6741-4177-A09D-5A51EA8191A9}" name="Result"/>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B68E10-41A7-4AD3-94BE-88799F3A9077}" name="Table6" displayName="Table6" ref="M33:M36" totalsRowShown="0">
  <autoFilter ref="M33:M36" xr:uid="{00B68E10-41A7-4AD3-94BE-88799F3A9077}"/>
  <tableColumns count="1">
    <tableColumn id="1" xr3:uid="{248702FB-4337-44F8-89CE-FEB12825E1BC}" name="Data Validation and Cleaning Intro"/>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B27C126-6E4F-4D9C-8D4E-5340EF80DA86}" name="Table16" displayName="Table16" ref="M62:N68" totalsRowShown="0" headerRowDxfId="15" dataDxfId="14" headerRowCellStyle="Comma" dataCellStyle="Comma">
  <autoFilter ref="M62:N68" xr:uid="{AB27C126-6E4F-4D9C-8D4E-5340EF80DA86}"/>
  <tableColumns count="2">
    <tableColumn id="1" xr3:uid="{DBDFF2A6-709F-4679-9396-64DC8972DC35}" name="Top 5 from sold" dataDxfId="13" dataCellStyle="Comma"/>
    <tableColumn id="2" xr3:uid="{24DB0740-E915-4442-9D2B-A8BC169CA30A}" name="Bottom 5 from price" dataDxfId="12" dataCellStyle="Comma"/>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CF7AA56-7353-457A-B562-9DEB031C1112}" name="Table18" displayName="Table18" ref="M70:N76" totalsRowShown="0">
  <autoFilter ref="M70:N76" xr:uid="{FCF7AA56-7353-457A-B562-9DEB031C1112}"/>
  <tableColumns count="2">
    <tableColumn id="1" xr3:uid="{2858551B-2690-444A-A907-362DC34654BB}" name="DATE AND TIME()"/>
    <tableColumn id="2" xr3:uid="{26B99DD5-0473-40E4-9D9E-8D2350A5FC38}" name="RESULT"/>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CBE380E-601D-4819-8DAF-F5EE99F16C61}" name="Table19" displayName="Table19" ref="A1:G70" totalsRowShown="0">
  <autoFilter ref="A1:G70" xr:uid="{CCBE380E-601D-4819-8DAF-F5EE99F16C61}">
    <filterColumn colId="0">
      <filters>
        <filter val="Adidas"/>
        <filter val="Afnan"/>
        <filter val="Alexandria Eau de Parfum"/>
        <filter val="Axe"/>
        <filter val="Bod Man"/>
        <filter val="Chanel"/>
        <filter val="CotUnknown Inc."/>
        <filter val="Creed"/>
        <filter val="Eau de Parfum"/>
        <filter val="Guerlain"/>
        <filter val="Hermès"/>
        <filter val="Jovan"/>
      </filters>
    </filterColumn>
  </autoFilter>
  <tableColumns count="7">
    <tableColumn id="1" xr3:uid="{56D28B5B-4A08-4820-AE7A-1B77A58870D7}" name="Branded"/>
    <tableColumn id="2" xr3:uid="{0B7BB8DE-8BC3-458A-A44D-BDB486C2AD78}" name="Type"/>
    <tableColumn id="3" xr3:uid="{F3FCD526-BD07-4D49-8EDD-C46781144EAA}" name="Price with Currency"/>
    <tableColumn id="4" xr3:uid="{420E4A9E-069B-4120-801E-E83803FA6583}" name="Available Stock"/>
    <tableColumn id="5" xr3:uid="{03134613-3731-4E65-8FE0-1E890DD12076}" name="Sold"/>
    <tableColumn id="6" xr3:uid="{FF5A34F4-E86A-4AD7-A2B9-086E1C6F93B4}" name="Parfum Quality"/>
    <tableColumn id="7" xr3:uid="{1C4B42B3-C798-4568-9902-38F8CACCFA41}" name="Finding price using brand name" dataDxfId="11">
      <calculatedColumnFormula>VLOOKUP(Table19[[#This Row],[Branded]],'vlook up'!A1:F68,3,FALSE)</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EDD55B-DEE0-4142-8517-CE3475B4B3AE}" name="Table1" displayName="Table1" ref="A1:E244" totalsRowShown="0">
  <autoFilter ref="A1:E244" xr:uid="{14EDD55B-DEE0-4142-8517-CE3475B4B3AE}"/>
  <tableColumns count="5">
    <tableColumn id="1" xr3:uid="{FE06AC92-2E04-4531-9D5B-D2FD8C41FCDB}" name="Timeline" dataDxfId="10"/>
    <tableColumn id="2" xr3:uid="{5AB5CFB0-8E7F-4014-8514-B1FE883CA206}" name="Values"/>
    <tableColumn id="3" xr3:uid="{D1F61E0A-2B7A-48BD-B511-6992A46FBEBC}" name="Forecast" dataDxfId="9">
      <calculatedColumnFormula>_xlfn.FORECAST.ETS(A2,$B$2:$B$183,$A$2:$A$183,1,1)</calculatedColumnFormula>
    </tableColumn>
    <tableColumn id="4" xr3:uid="{25A9C40B-33CB-4B7A-BA66-0F68632C25A0}" name="Lower Confidence Bound" dataDxfId="8">
      <calculatedColumnFormula>C2-_xlfn.FORECAST.ETS.CONFINT(A2,$B$2:$B$183,$A$2:$A$183,0.95,1,1)</calculatedColumnFormula>
    </tableColumn>
    <tableColumn id="5" xr3:uid="{1FF81883-DEC6-4F18-90E0-F152BB0D2C3A}" name="Upper Confidence Bound" dataDxfId="7">
      <calculatedColumnFormula>C2+_xlfn.FORECAST.ETS.CONFINT(A2,$B$2:$B$183,$A$2:$A$183,0.95,1,1)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Last_Updated" xr10:uid="{B6FC251E-6405-4818-9A72-F25175543B4F}" sourceName="[Table2].[Last Updated]">
  <pivotTables>
    <pivotTable tabId="16" name="PivotTable4"/>
  </pivotTables>
  <state minimalRefreshVersion="6" lastRefreshVersion="6" pivotCacheId="1698317370" filterType="dateBetween">
    <selection startDate="2024-04-01T00:00:00" endDate="2024-04-30T00:00:00"/>
    <bounds startDate="2022-01-01T18:26:14" endDate="2025-01-01T20:11:27"/>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ast Updated" xr10:uid="{B7AD5D0E-0B86-4BA2-8F6B-B627099AC1CC}" cache="Timeline_Last_Updated" caption="Last Updated" level="2" selectionLevel="2" scrollPosition="2023-12-03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ast Updated 1" xr10:uid="{716F4725-97A0-4F03-9BCD-D0042159F2E6}" cache="Timeline_Last_Updated" caption="Last Updated" level="2" selectionLevel="2" scrollPosition="2023-12-03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B70D652-BD85-4AE7-ADFF-8860B42D8023}">
  <we:reference id="wa200004935" version="6.0.0.0" store="en-US" storeType="OMEX"/>
  <we:alternateReferences>
    <we:reference id="WA200004935" version="6.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_xldudf_FORMULABOT_CLASSIFY</we:customFunctionIds>
        <we:customFunctionIds>_xldudf_FORMULABOT_EXTRACT</we:customFunctionIds>
        <we:customFunctionIds>_xldudf_FORMULABOT_SENTIMENT</we:customFunctionIds>
        <we:customFunctionIds>_xldudf_FORMULABOT_INFO</we:customFunctionIds>
        <we:customFunctionIds>_xldudf_FORMULABOT_FREEFORM</we:customFunctionIds>
        <we:customFunctionIds>_xldudf_FORMULABOT_INFER</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3594B-0D03-4D06-A9BB-CCC10C6218FD}">
  <dimension ref="A1:F15"/>
  <sheetViews>
    <sheetView workbookViewId="0">
      <selection activeCell="B3" sqref="B3"/>
    </sheetView>
  </sheetViews>
  <sheetFormatPr defaultRowHeight="14.5" x14ac:dyDescent="0.35"/>
  <cols>
    <col min="1" max="1" width="20.54296875" customWidth="1"/>
    <col min="2" max="2" width="25" customWidth="1"/>
    <col min="3" max="3" width="18.08984375" customWidth="1"/>
    <col min="4" max="4" width="13.26953125" customWidth="1"/>
    <col min="5" max="5" width="20.453125" customWidth="1"/>
    <col min="6" max="6" width="29.26953125" customWidth="1"/>
  </cols>
  <sheetData>
    <row r="1" spans="1:6" x14ac:dyDescent="0.35">
      <c r="A1" s="11" t="s">
        <v>623</v>
      </c>
      <c r="B1" s="11" t="s">
        <v>174</v>
      </c>
      <c r="C1" s="11" t="s">
        <v>624</v>
      </c>
      <c r="D1" s="11" t="s">
        <v>626</v>
      </c>
      <c r="E1" s="11" t="s">
        <v>172</v>
      </c>
      <c r="F1" s="11" t="s">
        <v>625</v>
      </c>
    </row>
    <row r="3" spans="1:6" x14ac:dyDescent="0.35">
      <c r="A3" t="s">
        <v>610</v>
      </c>
      <c r="B3">
        <v>46.481200000000001</v>
      </c>
      <c r="C3" t="s">
        <v>610</v>
      </c>
      <c r="D3">
        <v>18.306999999999999</v>
      </c>
      <c r="E3" t="s">
        <v>610</v>
      </c>
      <c r="F3">
        <v>761.66899999999998</v>
      </c>
    </row>
    <row r="4" spans="1:6" x14ac:dyDescent="0.35">
      <c r="A4" t="s">
        <v>611</v>
      </c>
      <c r="B4">
        <v>1.1234896296396846</v>
      </c>
      <c r="C4" t="s">
        <v>611</v>
      </c>
      <c r="D4">
        <v>2.0527534064147956</v>
      </c>
      <c r="E4" t="s">
        <v>611</v>
      </c>
      <c r="F4">
        <v>100.93654706781371</v>
      </c>
    </row>
    <row r="5" spans="1:6" x14ac:dyDescent="0.35">
      <c r="A5" t="s">
        <v>612</v>
      </c>
      <c r="B5">
        <v>35.71</v>
      </c>
      <c r="C5" t="s">
        <v>612</v>
      </c>
      <c r="D5">
        <v>8</v>
      </c>
      <c r="E5" t="s">
        <v>612</v>
      </c>
      <c r="F5">
        <v>48</v>
      </c>
    </row>
    <row r="6" spans="1:6" x14ac:dyDescent="0.35">
      <c r="A6" t="s">
        <v>613</v>
      </c>
      <c r="B6">
        <v>29.99</v>
      </c>
      <c r="C6" t="s">
        <v>613</v>
      </c>
      <c r="D6">
        <v>10</v>
      </c>
      <c r="E6" t="s">
        <v>613</v>
      </c>
      <c r="F6">
        <v>4</v>
      </c>
    </row>
    <row r="7" spans="1:6" x14ac:dyDescent="0.35">
      <c r="A7" t="s">
        <v>614</v>
      </c>
      <c r="B7">
        <v>35.527861572404198</v>
      </c>
      <c r="C7" t="s">
        <v>614</v>
      </c>
      <c r="D7">
        <v>64.913762389400503</v>
      </c>
      <c r="E7" t="s">
        <v>614</v>
      </c>
      <c r="F7">
        <v>3191.8938788708142</v>
      </c>
    </row>
    <row r="8" spans="1:6" x14ac:dyDescent="0.35">
      <c r="A8" t="s">
        <v>615</v>
      </c>
      <c r="B8">
        <v>1262.22894790792</v>
      </c>
      <c r="C8" t="s">
        <v>615</v>
      </c>
      <c r="D8">
        <v>4213.7965475475476</v>
      </c>
      <c r="E8" t="s">
        <v>615</v>
      </c>
      <c r="F8">
        <v>10188186.533972973</v>
      </c>
    </row>
    <row r="9" spans="1:6" x14ac:dyDescent="0.35">
      <c r="A9" t="s">
        <v>616</v>
      </c>
      <c r="B9">
        <v>5.6767954410776458</v>
      </c>
      <c r="C9" t="s">
        <v>616</v>
      </c>
      <c r="D9">
        <v>92.325914549403322</v>
      </c>
      <c r="E9" t="s">
        <v>616</v>
      </c>
      <c r="F9">
        <v>123.59075886392853</v>
      </c>
    </row>
    <row r="10" spans="1:6" x14ac:dyDescent="0.35">
      <c r="A10" t="s">
        <v>617</v>
      </c>
      <c r="B10">
        <v>2.0390035771771777</v>
      </c>
      <c r="C10" t="s">
        <v>617</v>
      </c>
      <c r="D10">
        <v>8.7469909036753357</v>
      </c>
      <c r="E10" t="s">
        <v>617</v>
      </c>
      <c r="F10">
        <v>9.81705035387502</v>
      </c>
    </row>
    <row r="11" spans="1:6" x14ac:dyDescent="0.35">
      <c r="A11" t="s">
        <v>618</v>
      </c>
      <c r="B11">
        <v>256.08999999999997</v>
      </c>
      <c r="C11" t="s">
        <v>618</v>
      </c>
      <c r="D11">
        <v>900</v>
      </c>
      <c r="E11" t="s">
        <v>618</v>
      </c>
      <c r="F11">
        <v>54052</v>
      </c>
    </row>
    <row r="12" spans="1:6" x14ac:dyDescent="0.35">
      <c r="A12" t="s">
        <v>619</v>
      </c>
      <c r="B12">
        <v>3</v>
      </c>
      <c r="C12" t="s">
        <v>619</v>
      </c>
      <c r="D12">
        <v>0</v>
      </c>
      <c r="E12" t="s">
        <v>619</v>
      </c>
      <c r="F12">
        <v>0</v>
      </c>
    </row>
    <row r="13" spans="1:6" x14ac:dyDescent="0.35">
      <c r="A13" t="s">
        <v>620</v>
      </c>
      <c r="B13">
        <v>259.08999999999997</v>
      </c>
      <c r="C13" t="s">
        <v>620</v>
      </c>
      <c r="D13">
        <v>900</v>
      </c>
      <c r="E13" t="s">
        <v>620</v>
      </c>
      <c r="F13">
        <v>54052</v>
      </c>
    </row>
    <row r="14" spans="1:6" x14ac:dyDescent="0.35">
      <c r="A14" t="s">
        <v>621</v>
      </c>
      <c r="B14">
        <v>46481.199999999975</v>
      </c>
      <c r="C14" t="s">
        <v>621</v>
      </c>
      <c r="D14">
        <v>18307</v>
      </c>
      <c r="E14" t="s">
        <v>621</v>
      </c>
      <c r="F14">
        <v>761669</v>
      </c>
    </row>
    <row r="15" spans="1:6" x14ac:dyDescent="0.35">
      <c r="A15" t="s">
        <v>622</v>
      </c>
      <c r="B15">
        <v>1000</v>
      </c>
      <c r="C15" t="s">
        <v>622</v>
      </c>
      <c r="D15">
        <v>1000</v>
      </c>
      <c r="E15" t="s">
        <v>622</v>
      </c>
      <c r="F15">
        <v>1000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4C58C-F119-4D8B-BD3C-0BA720A68C78}">
  <dimension ref="A1:F23"/>
  <sheetViews>
    <sheetView topLeftCell="A7" workbookViewId="0">
      <selection activeCell="C24" sqref="C24"/>
    </sheetView>
  </sheetViews>
  <sheetFormatPr defaultRowHeight="14.5" x14ac:dyDescent="0.35"/>
  <cols>
    <col min="1" max="1" width="39.26953125" customWidth="1"/>
    <col min="2" max="2" width="16.26953125" customWidth="1"/>
    <col min="3" max="3" width="16.1796875" customWidth="1"/>
    <col min="4" max="4" width="11.81640625" customWidth="1"/>
    <col min="6" max="6" width="19.1796875" customWidth="1"/>
  </cols>
  <sheetData>
    <row r="1" spans="1:6" x14ac:dyDescent="0.35">
      <c r="A1" s="16" t="s">
        <v>113</v>
      </c>
      <c r="B1" s="17" t="s">
        <v>170</v>
      </c>
      <c r="C1" s="17" t="s">
        <v>171</v>
      </c>
      <c r="D1" s="17" t="s">
        <v>264</v>
      </c>
      <c r="E1" s="17" t="s">
        <v>172</v>
      </c>
      <c r="F1" s="17" t="s">
        <v>565</v>
      </c>
    </row>
    <row r="2" spans="1:6" x14ac:dyDescent="0.35">
      <c r="A2" s="18" t="s">
        <v>226</v>
      </c>
      <c r="B2" s="19" t="s">
        <v>1</v>
      </c>
      <c r="C2" s="22">
        <v>3</v>
      </c>
      <c r="D2" s="19">
        <v>57</v>
      </c>
      <c r="E2" s="19">
        <v>4</v>
      </c>
      <c r="F2" s="19" t="s">
        <v>588</v>
      </c>
    </row>
    <row r="3" spans="1:6" x14ac:dyDescent="0.35">
      <c r="A3" s="20" t="s">
        <v>1</v>
      </c>
      <c r="B3" s="21" t="s">
        <v>1</v>
      </c>
      <c r="C3" s="23">
        <v>3.5</v>
      </c>
      <c r="D3" s="21">
        <v>0</v>
      </c>
      <c r="E3" s="21">
        <v>3009</v>
      </c>
      <c r="F3" s="21" t="s">
        <v>589</v>
      </c>
    </row>
    <row r="4" spans="1:6" x14ac:dyDescent="0.35">
      <c r="A4" s="18" t="s">
        <v>190</v>
      </c>
      <c r="B4" s="19" t="s">
        <v>1</v>
      </c>
      <c r="C4" s="22">
        <v>6.65</v>
      </c>
      <c r="D4" s="19">
        <v>10</v>
      </c>
      <c r="E4" s="19">
        <v>18882</v>
      </c>
      <c r="F4" s="19" t="s">
        <v>589</v>
      </c>
    </row>
    <row r="5" spans="1:6" x14ac:dyDescent="0.35">
      <c r="A5" s="20" t="s">
        <v>20</v>
      </c>
      <c r="B5" s="21" t="s">
        <v>1</v>
      </c>
      <c r="C5" s="23">
        <v>6.94</v>
      </c>
      <c r="D5" s="21">
        <v>10</v>
      </c>
      <c r="E5" s="21">
        <v>131</v>
      </c>
      <c r="F5" s="21" t="s">
        <v>588</v>
      </c>
    </row>
    <row r="6" spans="1:6" x14ac:dyDescent="0.35">
      <c r="A6" s="18" t="s">
        <v>187</v>
      </c>
      <c r="B6" s="19" t="s">
        <v>1</v>
      </c>
      <c r="C6" s="22">
        <v>6.96</v>
      </c>
      <c r="D6" s="19">
        <v>3</v>
      </c>
      <c r="E6" s="19">
        <v>102</v>
      </c>
      <c r="F6" s="19" t="s">
        <v>588</v>
      </c>
    </row>
    <row r="7" spans="1:6" x14ac:dyDescent="0.35">
      <c r="A7" s="20" t="s">
        <v>187</v>
      </c>
      <c r="B7" s="21" t="s">
        <v>1</v>
      </c>
      <c r="C7" s="23">
        <v>6.97</v>
      </c>
      <c r="D7" s="21">
        <v>10</v>
      </c>
      <c r="E7" s="21">
        <v>803</v>
      </c>
      <c r="F7" s="21" t="s">
        <v>588</v>
      </c>
    </row>
    <row r="8" spans="1:6" x14ac:dyDescent="0.35">
      <c r="A8" s="18" t="s">
        <v>2</v>
      </c>
      <c r="B8" s="19" t="s">
        <v>150</v>
      </c>
      <c r="C8" s="22">
        <v>7.19</v>
      </c>
      <c r="D8" s="19">
        <v>10</v>
      </c>
      <c r="E8" s="19">
        <v>131</v>
      </c>
      <c r="F8" s="19" t="s">
        <v>588</v>
      </c>
    </row>
    <row r="9" spans="1:6" x14ac:dyDescent="0.35">
      <c r="A9" s="20" t="s">
        <v>125</v>
      </c>
      <c r="B9" s="21" t="s">
        <v>3</v>
      </c>
      <c r="C9" s="23">
        <v>7.28</v>
      </c>
      <c r="D9" s="21">
        <v>3</v>
      </c>
      <c r="E9" s="21">
        <v>149</v>
      </c>
      <c r="F9" s="21" t="s">
        <v>588</v>
      </c>
    </row>
    <row r="10" spans="1:6" x14ac:dyDescent="0.35">
      <c r="A10" s="18" t="s">
        <v>17</v>
      </c>
      <c r="B10" s="19" t="s">
        <v>1</v>
      </c>
      <c r="C10" s="22">
        <v>7.5</v>
      </c>
      <c r="D10" s="19">
        <v>24</v>
      </c>
      <c r="E10" s="19">
        <v>115</v>
      </c>
      <c r="F10" s="19" t="s">
        <v>588</v>
      </c>
    </row>
    <row r="11" spans="1:6" x14ac:dyDescent="0.35">
      <c r="A11" s="20" t="s">
        <v>232</v>
      </c>
      <c r="B11" s="21" t="s">
        <v>3</v>
      </c>
      <c r="C11" s="23">
        <v>7.95</v>
      </c>
      <c r="D11" s="21">
        <v>10</v>
      </c>
      <c r="E11" s="21">
        <v>254</v>
      </c>
      <c r="F11" s="21" t="s">
        <v>588</v>
      </c>
    </row>
    <row r="12" spans="1:6" x14ac:dyDescent="0.35">
      <c r="A12" s="18" t="s">
        <v>187</v>
      </c>
      <c r="B12" s="19" t="s">
        <v>1</v>
      </c>
      <c r="C12" s="22">
        <v>7.96</v>
      </c>
      <c r="D12" s="19">
        <v>10</v>
      </c>
      <c r="E12" s="19">
        <v>38</v>
      </c>
      <c r="F12" s="19" t="s">
        <v>588</v>
      </c>
    </row>
    <row r="13" spans="1:6" x14ac:dyDescent="0.35">
      <c r="A13" s="20" t="s">
        <v>648</v>
      </c>
      <c r="B13" s="21" t="s">
        <v>649</v>
      </c>
      <c r="C13" s="23">
        <v>8</v>
      </c>
      <c r="D13" s="21">
        <v>10</v>
      </c>
      <c r="E13" s="21">
        <v>1113</v>
      </c>
      <c r="F13" s="21" t="s">
        <v>589</v>
      </c>
    </row>
    <row r="17" spans="1:2" x14ac:dyDescent="0.35">
      <c r="A17" s="24" t="s">
        <v>645</v>
      </c>
    </row>
    <row r="18" spans="1:2" x14ac:dyDescent="0.35">
      <c r="A18" s="25" t="s">
        <v>646</v>
      </c>
      <c r="B18" s="25">
        <f>MATCH("Afnan",A1:A13,0)</f>
        <v>5</v>
      </c>
    </row>
    <row r="20" spans="1:2" x14ac:dyDescent="0.35">
      <c r="A20" s="24" t="s">
        <v>647</v>
      </c>
    </row>
    <row r="21" spans="1:2" x14ac:dyDescent="0.35">
      <c r="A21" s="26" t="s">
        <v>650</v>
      </c>
      <c r="B21" s="26" t="str">
        <f>INDEX(A2:F13,7,2)</f>
        <v>Car Air Freshener</v>
      </c>
    </row>
    <row r="22" spans="1:2" x14ac:dyDescent="0.35">
      <c r="A22" s="24" t="s">
        <v>652</v>
      </c>
    </row>
    <row r="23" spans="1:2" x14ac:dyDescent="0.35">
      <c r="A23" s="26" t="s">
        <v>651</v>
      </c>
      <c r="B23" s="26">
        <f>INDEX(A1:F13,MATCH("Secertmu",A1:A13,0),3)</f>
        <v>6.96</v>
      </c>
    </row>
  </sheetData>
  <conditionalFormatting sqref="C1:C13">
    <cfRule type="dataBar" priority="2">
      <dataBar>
        <cfvo type="min"/>
        <cfvo type="max"/>
        <color rgb="FFFF555A"/>
      </dataBar>
      <extLst>
        <ext xmlns:x14="http://schemas.microsoft.com/office/spreadsheetml/2009/9/main" uri="{B025F937-C7B1-47D3-B67F-A62EFF666E3E}">
          <x14:id>{8563FCE5-3E38-4692-AFA0-5656CE838A6B}</x14:id>
        </ext>
      </extLst>
    </cfRule>
    <cfRule type="colorScale" priority="3">
      <colorScale>
        <cfvo type="min"/>
        <cfvo type="percentile" val="50"/>
        <cfvo type="max"/>
        <color rgb="FF5A8AC6"/>
        <color rgb="FFFCFCFF"/>
        <color rgb="FFF8696B"/>
      </colorScale>
    </cfRule>
    <cfRule type="cellIs" dxfId="6" priority="4" operator="greaterThan">
      <formula>10</formula>
    </cfRule>
  </conditionalFormatting>
  <conditionalFormatting sqref="C2:C13">
    <cfRule type="cellIs" dxfId="5" priority="5" operator="greaterThan">
      <formula>100</formula>
    </cfRule>
  </conditionalFormatting>
  <conditionalFormatting sqref="D1:D13">
    <cfRule type="iconSet" priority="7">
      <iconSet iconSet="4Rating">
        <cfvo type="percent" val="0"/>
        <cfvo type="percent" val="25"/>
        <cfvo type="percent" val="50"/>
        <cfvo type="percent" val="75"/>
      </iconSet>
    </cfRule>
  </conditionalFormatting>
  <conditionalFormatting sqref="E1:E13">
    <cfRule type="top10" dxfId="4" priority="1" rank="5"/>
  </conditionalFormatting>
  <conditionalFormatting sqref="E2:E13">
    <cfRule type="colorScale" priority="6">
      <colorScale>
        <cfvo type="min"/>
        <cfvo type="percentile" val="50"/>
        <cfvo type="max"/>
        <color rgb="FFF8696B"/>
        <color rgb="FFFFEB84"/>
        <color rgb="FF63BE7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8563FCE5-3E38-4692-AFA0-5656CE838A6B}">
            <x14:dataBar minLength="0" maxLength="100" border="1" negativeBarBorderColorSameAsPositive="0">
              <x14:cfvo type="autoMin"/>
              <x14:cfvo type="autoMax"/>
              <x14:borderColor rgb="FFFF555A"/>
              <x14:negativeFillColor rgb="FFFF0000"/>
              <x14:negativeBorderColor rgb="FFFF0000"/>
              <x14:axisColor rgb="FF000000"/>
            </x14:dataBar>
          </x14:cfRule>
          <xm:sqref>C1:C13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BF502-57AD-49F7-A769-59D975F54224}">
  <dimension ref="A1:M1001"/>
  <sheetViews>
    <sheetView topLeftCell="C1" workbookViewId="0">
      <selection activeCell="J2" sqref="J2:J50"/>
    </sheetView>
  </sheetViews>
  <sheetFormatPr defaultRowHeight="14.5" x14ac:dyDescent="0.35"/>
  <cols>
    <col min="1" max="1" width="31.1796875" bestFit="1" customWidth="1"/>
    <col min="2" max="2" width="15.36328125" bestFit="1" customWidth="1"/>
    <col min="3" max="3" width="19.453125" bestFit="1" customWidth="1"/>
    <col min="4" max="4" width="15.7265625" bestFit="1" customWidth="1"/>
    <col min="5" max="5" width="8.81640625" bestFit="1" customWidth="1"/>
    <col min="6" max="6" width="15.81640625" bestFit="1" customWidth="1"/>
    <col min="7" max="7" width="21.26953125" customWidth="1"/>
    <col min="8" max="8" width="18.08984375" customWidth="1"/>
    <col min="9" max="10" width="15.81640625" bestFit="1" customWidth="1"/>
    <col min="11" max="11" width="20.90625" bestFit="1" customWidth="1"/>
    <col min="12" max="12" width="14.6328125" bestFit="1" customWidth="1"/>
    <col min="13" max="13" width="11.81640625" bestFit="1" customWidth="1"/>
  </cols>
  <sheetData>
    <row r="1" spans="1:13" x14ac:dyDescent="0.35">
      <c r="A1" t="s">
        <v>113</v>
      </c>
      <c r="B1" t="s">
        <v>170</v>
      </c>
      <c r="C1" t="s">
        <v>171</v>
      </c>
      <c r="D1" t="s">
        <v>264</v>
      </c>
      <c r="E1" t="s">
        <v>172</v>
      </c>
      <c r="F1" t="s">
        <v>565</v>
      </c>
      <c r="G1" t="s">
        <v>598</v>
      </c>
      <c r="H1" t="s">
        <v>599</v>
      </c>
      <c r="I1" t="s">
        <v>601</v>
      </c>
      <c r="J1" t="s">
        <v>602</v>
      </c>
      <c r="K1" t="s">
        <v>169</v>
      </c>
      <c r="L1" t="s">
        <v>539</v>
      </c>
      <c r="M1" t="s">
        <v>540</v>
      </c>
    </row>
    <row r="2" spans="1:13" x14ac:dyDescent="0.35">
      <c r="A2" t="s">
        <v>226</v>
      </c>
      <c r="B2" t="s">
        <v>1</v>
      </c>
      <c r="C2" s="14">
        <v>3</v>
      </c>
      <c r="D2">
        <v>57</v>
      </c>
      <c r="E2">
        <v>4</v>
      </c>
      <c r="F2" t="s">
        <v>588</v>
      </c>
      <c r="G2" t="s">
        <v>590</v>
      </c>
      <c r="H2">
        <v>23</v>
      </c>
      <c r="I2">
        <v>2024</v>
      </c>
      <c r="J2" s="7">
        <v>0.75828703703703704</v>
      </c>
      <c r="K2" t="s">
        <v>529</v>
      </c>
      <c r="L2" t="s">
        <v>507</v>
      </c>
      <c r="M2" t="s">
        <v>118</v>
      </c>
    </row>
    <row r="3" spans="1:13" x14ac:dyDescent="0.35">
      <c r="A3" t="s">
        <v>1</v>
      </c>
      <c r="B3" t="s">
        <v>1</v>
      </c>
      <c r="C3" s="14">
        <v>3.5</v>
      </c>
      <c r="D3">
        <v>0</v>
      </c>
      <c r="E3">
        <v>3009</v>
      </c>
      <c r="F3" t="s">
        <v>589</v>
      </c>
      <c r="G3" t="s">
        <v>590</v>
      </c>
      <c r="H3">
        <v>23</v>
      </c>
      <c r="I3">
        <v>2024</v>
      </c>
      <c r="J3" s="7">
        <v>0.39170138888888889</v>
      </c>
      <c r="K3" t="s">
        <v>358</v>
      </c>
      <c r="L3" t="s">
        <v>274</v>
      </c>
      <c r="M3" t="s">
        <v>118</v>
      </c>
    </row>
    <row r="4" spans="1:13" x14ac:dyDescent="0.35">
      <c r="A4" t="s">
        <v>190</v>
      </c>
      <c r="B4" t="s">
        <v>1</v>
      </c>
      <c r="C4" s="14">
        <v>6.65</v>
      </c>
      <c r="D4">
        <v>10</v>
      </c>
      <c r="E4">
        <v>18882</v>
      </c>
      <c r="F4" t="s">
        <v>589</v>
      </c>
      <c r="G4" t="s">
        <v>590</v>
      </c>
      <c r="H4">
        <v>21</v>
      </c>
      <c r="I4">
        <v>2024</v>
      </c>
      <c r="J4" s="7">
        <v>0.8019560185185185</v>
      </c>
      <c r="K4" t="s">
        <v>542</v>
      </c>
      <c r="L4" t="s">
        <v>269</v>
      </c>
      <c r="M4" t="s">
        <v>118</v>
      </c>
    </row>
    <row r="5" spans="1:13" x14ac:dyDescent="0.35">
      <c r="A5" t="s">
        <v>20</v>
      </c>
      <c r="B5" t="s">
        <v>1</v>
      </c>
      <c r="C5" s="14">
        <v>6.94</v>
      </c>
      <c r="D5">
        <v>10</v>
      </c>
      <c r="E5">
        <v>131</v>
      </c>
      <c r="F5" t="s">
        <v>588</v>
      </c>
      <c r="G5" t="s">
        <v>590</v>
      </c>
      <c r="H5">
        <v>20</v>
      </c>
      <c r="I5">
        <v>2024</v>
      </c>
      <c r="J5" s="7">
        <v>0.59065972222222218</v>
      </c>
      <c r="K5" t="s">
        <v>517</v>
      </c>
      <c r="L5" t="s">
        <v>282</v>
      </c>
      <c r="M5" t="s">
        <v>118</v>
      </c>
    </row>
    <row r="6" spans="1:13" x14ac:dyDescent="0.35">
      <c r="A6" t="s">
        <v>187</v>
      </c>
      <c r="B6" t="s">
        <v>1</v>
      </c>
      <c r="C6" s="14">
        <v>6.96</v>
      </c>
      <c r="D6">
        <v>3</v>
      </c>
      <c r="E6">
        <v>102</v>
      </c>
      <c r="F6" t="s">
        <v>588</v>
      </c>
      <c r="G6" t="s">
        <v>590</v>
      </c>
      <c r="H6">
        <v>18</v>
      </c>
      <c r="I6">
        <v>2024</v>
      </c>
      <c r="J6" s="7">
        <v>0.67761574074074071</v>
      </c>
      <c r="K6" t="s">
        <v>281</v>
      </c>
      <c r="L6" t="s">
        <v>282</v>
      </c>
      <c r="M6" t="s">
        <v>118</v>
      </c>
    </row>
    <row r="7" spans="1:13" x14ac:dyDescent="0.35">
      <c r="A7" t="s">
        <v>187</v>
      </c>
      <c r="B7" t="s">
        <v>1</v>
      </c>
      <c r="C7" s="14">
        <v>6.97</v>
      </c>
      <c r="D7">
        <v>10</v>
      </c>
      <c r="E7">
        <v>803</v>
      </c>
      <c r="F7" t="s">
        <v>588</v>
      </c>
      <c r="G7" t="s">
        <v>590</v>
      </c>
      <c r="H7">
        <v>21</v>
      </c>
      <c r="I7">
        <v>2024</v>
      </c>
      <c r="J7" s="7">
        <v>0.80570601851851853</v>
      </c>
      <c r="K7" t="s">
        <v>281</v>
      </c>
      <c r="L7" t="s">
        <v>282</v>
      </c>
      <c r="M7" t="s">
        <v>118</v>
      </c>
    </row>
    <row r="8" spans="1:13" x14ac:dyDescent="0.35">
      <c r="A8" t="s">
        <v>2</v>
      </c>
      <c r="B8" t="s">
        <v>150</v>
      </c>
      <c r="C8" s="14">
        <v>7.19</v>
      </c>
      <c r="D8">
        <v>10</v>
      </c>
      <c r="E8">
        <v>131</v>
      </c>
      <c r="F8" t="s">
        <v>588</v>
      </c>
      <c r="G8" t="s">
        <v>591</v>
      </c>
      <c r="H8">
        <v>17</v>
      </c>
      <c r="I8">
        <v>2024</v>
      </c>
      <c r="J8" s="7">
        <v>0.98743055555555559</v>
      </c>
      <c r="K8" t="s">
        <v>273</v>
      </c>
      <c r="L8" t="s">
        <v>274</v>
      </c>
      <c r="M8" t="s">
        <v>118</v>
      </c>
    </row>
    <row r="9" spans="1:13" x14ac:dyDescent="0.35">
      <c r="A9" t="s">
        <v>125</v>
      </c>
      <c r="B9" t="s">
        <v>3</v>
      </c>
      <c r="C9" s="14">
        <v>7.28</v>
      </c>
      <c r="D9">
        <v>3</v>
      </c>
      <c r="E9">
        <v>149</v>
      </c>
      <c r="F9" t="s">
        <v>588</v>
      </c>
      <c r="G9" t="s">
        <v>590</v>
      </c>
      <c r="H9">
        <v>21</v>
      </c>
      <c r="I9">
        <v>2024</v>
      </c>
      <c r="J9" s="7">
        <v>0.82761574074074074</v>
      </c>
      <c r="K9" t="s">
        <v>285</v>
      </c>
      <c r="L9" t="s">
        <v>286</v>
      </c>
      <c r="M9" t="s">
        <v>118</v>
      </c>
    </row>
    <row r="10" spans="1:13" x14ac:dyDescent="0.35">
      <c r="A10" t="s">
        <v>17</v>
      </c>
      <c r="B10" t="s">
        <v>1</v>
      </c>
      <c r="C10" s="14">
        <v>7.5</v>
      </c>
      <c r="D10">
        <v>24</v>
      </c>
      <c r="E10">
        <v>115</v>
      </c>
      <c r="F10" t="s">
        <v>588</v>
      </c>
      <c r="G10" t="s">
        <v>591</v>
      </c>
      <c r="H10">
        <v>5</v>
      </c>
      <c r="I10">
        <v>2024</v>
      </c>
      <c r="J10" s="7">
        <v>3.6886574074074072E-2</v>
      </c>
      <c r="K10" t="s">
        <v>514</v>
      </c>
      <c r="L10" t="s">
        <v>505</v>
      </c>
      <c r="M10" t="s">
        <v>118</v>
      </c>
    </row>
    <row r="11" spans="1:13" x14ac:dyDescent="0.35">
      <c r="A11" t="s">
        <v>232</v>
      </c>
      <c r="B11" t="s">
        <v>3</v>
      </c>
      <c r="C11" s="14">
        <v>7.95</v>
      </c>
      <c r="D11">
        <v>10</v>
      </c>
      <c r="E11">
        <v>254</v>
      </c>
      <c r="F11" t="s">
        <v>588</v>
      </c>
      <c r="G11" t="s">
        <v>590</v>
      </c>
      <c r="H11">
        <v>24</v>
      </c>
      <c r="I11">
        <v>2024</v>
      </c>
      <c r="J11" s="7">
        <v>2.2962962962962963E-2</v>
      </c>
      <c r="K11" t="s">
        <v>363</v>
      </c>
      <c r="L11" t="s">
        <v>506</v>
      </c>
      <c r="M11" t="s">
        <v>118</v>
      </c>
    </row>
    <row r="12" spans="1:13" x14ac:dyDescent="0.35">
      <c r="A12" t="s">
        <v>187</v>
      </c>
      <c r="B12" t="s">
        <v>1</v>
      </c>
      <c r="C12" s="14">
        <v>7.96</v>
      </c>
      <c r="D12">
        <v>10</v>
      </c>
      <c r="E12">
        <v>38</v>
      </c>
      <c r="F12" t="s">
        <v>588</v>
      </c>
      <c r="G12" t="s">
        <v>593</v>
      </c>
      <c r="H12">
        <v>22</v>
      </c>
      <c r="I12">
        <v>2024</v>
      </c>
      <c r="J12" s="7">
        <v>8.9502314814814812E-2</v>
      </c>
      <c r="K12" t="s">
        <v>281</v>
      </c>
      <c r="L12" t="s">
        <v>282</v>
      </c>
      <c r="M12" t="s">
        <v>118</v>
      </c>
    </row>
    <row r="13" spans="1:13" x14ac:dyDescent="0.35">
      <c r="A13" t="s">
        <v>258</v>
      </c>
      <c r="B13" t="s">
        <v>259</v>
      </c>
      <c r="C13" s="14">
        <v>8</v>
      </c>
      <c r="D13">
        <v>10</v>
      </c>
      <c r="E13">
        <v>1113</v>
      </c>
      <c r="F13" t="s">
        <v>589</v>
      </c>
      <c r="G13" t="s">
        <v>590</v>
      </c>
      <c r="H13">
        <v>22</v>
      </c>
      <c r="I13">
        <v>2024</v>
      </c>
      <c r="J13" s="7">
        <v>0.34869212962962964</v>
      </c>
      <c r="K13" t="s">
        <v>404</v>
      </c>
      <c r="L13" t="s">
        <v>286</v>
      </c>
      <c r="M13" t="s">
        <v>118</v>
      </c>
    </row>
    <row r="14" spans="1:13" x14ac:dyDescent="0.35">
      <c r="A14" t="s">
        <v>12</v>
      </c>
      <c r="B14" t="s">
        <v>3</v>
      </c>
      <c r="C14" s="14">
        <v>8.32</v>
      </c>
      <c r="D14">
        <v>9</v>
      </c>
      <c r="E14">
        <v>417</v>
      </c>
      <c r="F14" t="s">
        <v>588</v>
      </c>
      <c r="G14" t="s">
        <v>590</v>
      </c>
      <c r="H14">
        <v>23</v>
      </c>
      <c r="I14">
        <v>2024</v>
      </c>
      <c r="J14" s="7">
        <v>0.3488310185185185</v>
      </c>
      <c r="K14" t="s">
        <v>291</v>
      </c>
      <c r="L14" t="s">
        <v>274</v>
      </c>
      <c r="M14" t="s">
        <v>118</v>
      </c>
    </row>
    <row r="15" spans="1:13" x14ac:dyDescent="0.35">
      <c r="A15" t="s">
        <v>193</v>
      </c>
      <c r="B15" t="s">
        <v>1</v>
      </c>
      <c r="C15" s="14">
        <v>8.49</v>
      </c>
      <c r="D15">
        <v>3</v>
      </c>
      <c r="E15">
        <v>131</v>
      </c>
      <c r="F15" t="s">
        <v>588</v>
      </c>
      <c r="G15" t="s">
        <v>590</v>
      </c>
      <c r="H15">
        <v>24</v>
      </c>
      <c r="I15">
        <v>2024</v>
      </c>
      <c r="J15" s="7">
        <v>2.3368055555555555E-2</v>
      </c>
      <c r="K15" t="s">
        <v>363</v>
      </c>
      <c r="L15" t="s">
        <v>506</v>
      </c>
      <c r="M15" t="s">
        <v>118</v>
      </c>
    </row>
    <row r="16" spans="1:13" x14ac:dyDescent="0.35">
      <c r="A16" t="s">
        <v>12</v>
      </c>
      <c r="B16" t="s">
        <v>3</v>
      </c>
      <c r="C16" s="14">
        <v>8.84</v>
      </c>
      <c r="D16">
        <v>4</v>
      </c>
      <c r="E16">
        <v>9410</v>
      </c>
      <c r="F16" t="s">
        <v>589</v>
      </c>
      <c r="G16" t="s">
        <v>590</v>
      </c>
      <c r="H16">
        <v>23</v>
      </c>
      <c r="I16">
        <v>2024</v>
      </c>
      <c r="J16" s="7">
        <v>0.37973379629629628</v>
      </c>
      <c r="K16" t="s">
        <v>290</v>
      </c>
      <c r="L16" t="s">
        <v>506</v>
      </c>
      <c r="M16" t="s">
        <v>118</v>
      </c>
    </row>
    <row r="17" spans="1:13" x14ac:dyDescent="0.35">
      <c r="A17" t="s">
        <v>62</v>
      </c>
      <c r="B17" t="s">
        <v>3</v>
      </c>
      <c r="C17" s="14">
        <v>8.8800000000000008</v>
      </c>
      <c r="D17">
        <v>5</v>
      </c>
      <c r="E17">
        <v>21</v>
      </c>
      <c r="F17" t="s">
        <v>588</v>
      </c>
      <c r="G17" t="s">
        <v>591</v>
      </c>
      <c r="H17">
        <v>12</v>
      </c>
      <c r="I17">
        <v>2024</v>
      </c>
      <c r="J17" s="7">
        <v>0.36778935185185185</v>
      </c>
      <c r="K17" t="s">
        <v>523</v>
      </c>
      <c r="L17" t="s">
        <v>286</v>
      </c>
      <c r="M17" t="s">
        <v>118</v>
      </c>
    </row>
    <row r="18" spans="1:13" x14ac:dyDescent="0.35">
      <c r="A18" t="s">
        <v>27</v>
      </c>
      <c r="B18" t="s">
        <v>1</v>
      </c>
      <c r="C18" s="14">
        <v>8.99</v>
      </c>
      <c r="D18">
        <v>6</v>
      </c>
      <c r="E18">
        <v>8</v>
      </c>
      <c r="F18" t="s">
        <v>588</v>
      </c>
      <c r="G18" t="s">
        <v>591</v>
      </c>
      <c r="H18">
        <v>22</v>
      </c>
      <c r="I18">
        <v>2024</v>
      </c>
      <c r="J18" s="7">
        <v>0.2323611111111111</v>
      </c>
      <c r="K18" t="s">
        <v>489</v>
      </c>
      <c r="L18" t="s">
        <v>286</v>
      </c>
      <c r="M18" t="s">
        <v>118</v>
      </c>
    </row>
    <row r="19" spans="1:13" x14ac:dyDescent="0.35">
      <c r="A19" t="s">
        <v>153</v>
      </c>
      <c r="B19" t="s">
        <v>1</v>
      </c>
      <c r="C19" s="14">
        <v>8.99</v>
      </c>
      <c r="D19">
        <v>10</v>
      </c>
      <c r="E19">
        <v>76</v>
      </c>
      <c r="F19" t="s">
        <v>588</v>
      </c>
      <c r="G19" t="s">
        <v>592</v>
      </c>
      <c r="H19">
        <v>22</v>
      </c>
      <c r="I19">
        <v>2024</v>
      </c>
      <c r="J19" s="7">
        <v>0.26630787037037035</v>
      </c>
      <c r="K19" t="s">
        <v>532</v>
      </c>
      <c r="L19" t="s">
        <v>505</v>
      </c>
      <c r="M19" t="s">
        <v>118</v>
      </c>
    </row>
    <row r="20" spans="1:13" x14ac:dyDescent="0.35">
      <c r="A20" t="s">
        <v>246</v>
      </c>
      <c r="B20" t="s">
        <v>239</v>
      </c>
      <c r="C20" s="14">
        <v>9.2100000000000009</v>
      </c>
      <c r="D20">
        <v>10</v>
      </c>
      <c r="E20">
        <v>72</v>
      </c>
      <c r="F20" t="s">
        <v>588</v>
      </c>
      <c r="G20" t="s">
        <v>590</v>
      </c>
      <c r="H20">
        <v>24</v>
      </c>
      <c r="I20">
        <v>2024</v>
      </c>
      <c r="J20" s="7">
        <v>0.31623842592592594</v>
      </c>
      <c r="K20" t="s">
        <v>387</v>
      </c>
      <c r="L20" t="s">
        <v>282</v>
      </c>
      <c r="M20" t="s">
        <v>118</v>
      </c>
    </row>
    <row r="21" spans="1:13" x14ac:dyDescent="0.35">
      <c r="A21" t="s">
        <v>245</v>
      </c>
      <c r="B21" t="s">
        <v>3</v>
      </c>
      <c r="C21" s="14">
        <v>9.2100000000000009</v>
      </c>
      <c r="D21">
        <v>0</v>
      </c>
      <c r="E21">
        <v>3093</v>
      </c>
      <c r="F21" t="s">
        <v>589</v>
      </c>
      <c r="G21" t="s">
        <v>590</v>
      </c>
      <c r="H21">
        <v>2</v>
      </c>
      <c r="I21">
        <v>2024</v>
      </c>
      <c r="J21" s="7">
        <v>6.3078703703703706E-2</v>
      </c>
      <c r="K21" t="s">
        <v>291</v>
      </c>
      <c r="L21" t="s">
        <v>274</v>
      </c>
      <c r="M21" t="s">
        <v>118</v>
      </c>
    </row>
    <row r="22" spans="1:13" x14ac:dyDescent="0.35">
      <c r="A22" t="s">
        <v>125</v>
      </c>
      <c r="B22" t="s">
        <v>37</v>
      </c>
      <c r="C22" s="14">
        <v>9.4499999999999993</v>
      </c>
      <c r="D22">
        <v>2</v>
      </c>
      <c r="E22">
        <v>56</v>
      </c>
      <c r="F22" t="s">
        <v>588</v>
      </c>
      <c r="G22" t="s">
        <v>590</v>
      </c>
      <c r="H22">
        <v>23</v>
      </c>
      <c r="I22">
        <v>2024</v>
      </c>
      <c r="J22" s="7">
        <v>0.67452546296296301</v>
      </c>
      <c r="K22" t="s">
        <v>531</v>
      </c>
      <c r="L22" t="s">
        <v>286</v>
      </c>
      <c r="M22" t="s">
        <v>118</v>
      </c>
    </row>
    <row r="23" spans="1:13" x14ac:dyDescent="0.35">
      <c r="A23" t="s">
        <v>198</v>
      </c>
      <c r="B23" t="s">
        <v>3</v>
      </c>
      <c r="C23" s="14">
        <v>9.61</v>
      </c>
      <c r="D23">
        <v>0</v>
      </c>
      <c r="E23">
        <v>17</v>
      </c>
      <c r="F23" t="s">
        <v>588</v>
      </c>
      <c r="G23" t="s">
        <v>590</v>
      </c>
      <c r="H23">
        <v>20</v>
      </c>
      <c r="I23">
        <v>2024</v>
      </c>
      <c r="J23" s="7">
        <v>0.82354166666666662</v>
      </c>
      <c r="K23" t="s">
        <v>506</v>
      </c>
      <c r="L23" t="s">
        <v>283</v>
      </c>
      <c r="M23" t="s">
        <v>333</v>
      </c>
    </row>
    <row r="24" spans="1:13" x14ac:dyDescent="0.35">
      <c r="A24" t="s">
        <v>101</v>
      </c>
      <c r="B24" t="s">
        <v>37</v>
      </c>
      <c r="C24" s="14">
        <v>9.7799999999999994</v>
      </c>
      <c r="D24">
        <v>10</v>
      </c>
      <c r="E24">
        <v>8</v>
      </c>
      <c r="F24" t="s">
        <v>588</v>
      </c>
      <c r="G24" t="s">
        <v>590</v>
      </c>
      <c r="H24">
        <v>23</v>
      </c>
      <c r="I24">
        <v>2024</v>
      </c>
      <c r="J24" s="7">
        <v>0.55651620370370369</v>
      </c>
      <c r="K24" t="s">
        <v>388</v>
      </c>
      <c r="L24" t="s">
        <v>505</v>
      </c>
      <c r="M24" t="s">
        <v>118</v>
      </c>
    </row>
    <row r="25" spans="1:13" x14ac:dyDescent="0.35">
      <c r="A25" t="s">
        <v>231</v>
      </c>
      <c r="B25" t="s">
        <v>1</v>
      </c>
      <c r="C25" s="14">
        <v>9.89</v>
      </c>
      <c r="D25">
        <v>10</v>
      </c>
      <c r="E25">
        <v>6</v>
      </c>
      <c r="F25" t="s">
        <v>588</v>
      </c>
      <c r="G25" t="s">
        <v>239</v>
      </c>
      <c r="H25">
        <v>0</v>
      </c>
      <c r="I25">
        <v>0</v>
      </c>
      <c r="J25" s="7">
        <v>0</v>
      </c>
      <c r="K25" t="s">
        <v>370</v>
      </c>
      <c r="L25" t="s">
        <v>315</v>
      </c>
      <c r="M25" t="s">
        <v>118</v>
      </c>
    </row>
    <row r="26" spans="1:13" x14ac:dyDescent="0.35">
      <c r="A26" t="s">
        <v>230</v>
      </c>
      <c r="B26" t="s">
        <v>3</v>
      </c>
      <c r="C26" s="14">
        <v>9.9499999999999993</v>
      </c>
      <c r="D26">
        <v>10</v>
      </c>
      <c r="E26">
        <v>269</v>
      </c>
      <c r="F26" t="s">
        <v>588</v>
      </c>
      <c r="G26" t="s">
        <v>590</v>
      </c>
      <c r="H26">
        <v>21</v>
      </c>
      <c r="I26">
        <v>2024</v>
      </c>
      <c r="J26" s="7">
        <v>0.23866898148148147</v>
      </c>
      <c r="K26" t="s">
        <v>520</v>
      </c>
      <c r="L26" t="s">
        <v>267</v>
      </c>
      <c r="M26" t="s">
        <v>118</v>
      </c>
    </row>
    <row r="27" spans="1:13" x14ac:dyDescent="0.35">
      <c r="A27" t="s">
        <v>70</v>
      </c>
      <c r="B27" t="s">
        <v>145</v>
      </c>
      <c r="C27" s="14">
        <v>9.9600000000000009</v>
      </c>
      <c r="D27">
        <v>3</v>
      </c>
      <c r="E27">
        <v>266</v>
      </c>
      <c r="F27" t="s">
        <v>588</v>
      </c>
      <c r="G27" t="s">
        <v>590</v>
      </c>
      <c r="H27">
        <v>8</v>
      </c>
      <c r="I27">
        <v>2024</v>
      </c>
      <c r="J27" s="7">
        <v>0.77555555555555555</v>
      </c>
      <c r="K27" t="s">
        <v>432</v>
      </c>
      <c r="L27" t="s">
        <v>505</v>
      </c>
      <c r="M27" t="s">
        <v>118</v>
      </c>
    </row>
    <row r="28" spans="1:13" x14ac:dyDescent="0.35">
      <c r="A28" t="s">
        <v>245</v>
      </c>
      <c r="B28" t="s">
        <v>3</v>
      </c>
      <c r="C28" s="14">
        <v>9.98</v>
      </c>
      <c r="D28">
        <v>3</v>
      </c>
      <c r="E28">
        <v>8453</v>
      </c>
      <c r="F28" t="s">
        <v>589</v>
      </c>
      <c r="G28" t="s">
        <v>590</v>
      </c>
      <c r="H28">
        <v>21</v>
      </c>
      <c r="I28">
        <v>2024</v>
      </c>
      <c r="J28" s="7">
        <v>0.57201388888888893</v>
      </c>
      <c r="K28" t="s">
        <v>291</v>
      </c>
      <c r="L28" t="s">
        <v>274</v>
      </c>
      <c r="M28" t="s">
        <v>118</v>
      </c>
    </row>
    <row r="29" spans="1:13" x14ac:dyDescent="0.35">
      <c r="A29" t="s">
        <v>21</v>
      </c>
      <c r="B29" t="s">
        <v>1</v>
      </c>
      <c r="C29" s="14">
        <v>9.99</v>
      </c>
      <c r="D29">
        <v>6</v>
      </c>
      <c r="E29">
        <v>19</v>
      </c>
      <c r="F29" t="s">
        <v>588</v>
      </c>
      <c r="G29" t="s">
        <v>590</v>
      </c>
      <c r="H29">
        <v>17</v>
      </c>
      <c r="I29">
        <v>2024</v>
      </c>
      <c r="J29" s="7">
        <v>0.59304398148148152</v>
      </c>
      <c r="K29" t="s">
        <v>378</v>
      </c>
      <c r="L29" t="s">
        <v>282</v>
      </c>
      <c r="M29" t="s">
        <v>118</v>
      </c>
    </row>
    <row r="30" spans="1:13" x14ac:dyDescent="0.35">
      <c r="A30" t="s">
        <v>242</v>
      </c>
      <c r="B30" t="s">
        <v>3</v>
      </c>
      <c r="C30" s="14">
        <v>9.99</v>
      </c>
      <c r="D30">
        <v>0</v>
      </c>
      <c r="E30">
        <v>103</v>
      </c>
      <c r="F30" t="s">
        <v>588</v>
      </c>
      <c r="G30" t="s">
        <v>590</v>
      </c>
      <c r="H30">
        <v>23</v>
      </c>
      <c r="I30">
        <v>2024</v>
      </c>
      <c r="J30" s="7">
        <v>0.53189814814814818</v>
      </c>
      <c r="K30" t="s">
        <v>547</v>
      </c>
      <c r="L30" t="s">
        <v>267</v>
      </c>
      <c r="M30" t="s">
        <v>118</v>
      </c>
    </row>
    <row r="31" spans="1:13" x14ac:dyDescent="0.35">
      <c r="A31" t="s">
        <v>70</v>
      </c>
      <c r="B31" t="s">
        <v>1</v>
      </c>
      <c r="C31" s="14">
        <v>9.99</v>
      </c>
      <c r="D31">
        <v>0</v>
      </c>
      <c r="E31">
        <v>141</v>
      </c>
      <c r="F31" t="s">
        <v>588</v>
      </c>
      <c r="G31" t="s">
        <v>590</v>
      </c>
      <c r="H31">
        <v>23</v>
      </c>
      <c r="I31">
        <v>2024</v>
      </c>
      <c r="J31" s="7">
        <v>0.59106481481481477</v>
      </c>
      <c r="K31" t="s">
        <v>301</v>
      </c>
      <c r="L31" t="s">
        <v>506</v>
      </c>
      <c r="M31" t="s">
        <v>118</v>
      </c>
    </row>
    <row r="32" spans="1:13" x14ac:dyDescent="0.35">
      <c r="A32" t="s">
        <v>129</v>
      </c>
      <c r="B32" t="s">
        <v>130</v>
      </c>
      <c r="C32" s="14">
        <v>9.99</v>
      </c>
      <c r="D32">
        <v>3</v>
      </c>
      <c r="E32">
        <v>94</v>
      </c>
      <c r="F32" t="s">
        <v>588</v>
      </c>
      <c r="G32" t="s">
        <v>591</v>
      </c>
      <c r="H32">
        <v>30</v>
      </c>
      <c r="I32">
        <v>2024</v>
      </c>
      <c r="J32" s="7">
        <v>0.48737268518518517</v>
      </c>
      <c r="K32" t="s">
        <v>404</v>
      </c>
      <c r="L32" t="s">
        <v>286</v>
      </c>
      <c r="M32" t="s">
        <v>118</v>
      </c>
    </row>
    <row r="33" spans="1:13" x14ac:dyDescent="0.35">
      <c r="A33" t="s">
        <v>222</v>
      </c>
      <c r="B33" t="s">
        <v>1</v>
      </c>
      <c r="C33" s="14">
        <v>9.99</v>
      </c>
      <c r="D33">
        <v>8</v>
      </c>
      <c r="E33">
        <v>32</v>
      </c>
      <c r="F33" t="s">
        <v>588</v>
      </c>
      <c r="G33" t="s">
        <v>590</v>
      </c>
      <c r="H33">
        <v>22</v>
      </c>
      <c r="I33">
        <v>2024</v>
      </c>
      <c r="J33" s="7">
        <v>0.70943287037037039</v>
      </c>
      <c r="K33" t="s">
        <v>496</v>
      </c>
      <c r="L33" t="s">
        <v>267</v>
      </c>
      <c r="M33" t="s">
        <v>118</v>
      </c>
    </row>
    <row r="34" spans="1:13" x14ac:dyDescent="0.35">
      <c r="A34" t="s">
        <v>77</v>
      </c>
      <c r="B34" t="s">
        <v>3</v>
      </c>
      <c r="C34" s="14">
        <v>9.99</v>
      </c>
      <c r="D34">
        <v>0</v>
      </c>
      <c r="E34">
        <v>22</v>
      </c>
      <c r="F34" t="s">
        <v>588</v>
      </c>
      <c r="G34" t="s">
        <v>590</v>
      </c>
      <c r="H34">
        <v>20</v>
      </c>
      <c r="I34">
        <v>2024</v>
      </c>
      <c r="J34" s="7">
        <v>0.55618055555555557</v>
      </c>
      <c r="K34" t="s">
        <v>416</v>
      </c>
      <c r="L34" t="s">
        <v>266</v>
      </c>
      <c r="M34" t="s">
        <v>118</v>
      </c>
    </row>
    <row r="35" spans="1:13" x14ac:dyDescent="0.35">
      <c r="A35" t="s">
        <v>88</v>
      </c>
      <c r="B35" t="s">
        <v>37</v>
      </c>
      <c r="C35" s="14">
        <v>10.19</v>
      </c>
      <c r="D35">
        <v>10</v>
      </c>
      <c r="E35">
        <v>330</v>
      </c>
      <c r="F35" t="s">
        <v>588</v>
      </c>
      <c r="G35" t="s">
        <v>590</v>
      </c>
      <c r="H35">
        <v>13</v>
      </c>
      <c r="I35">
        <v>2024</v>
      </c>
      <c r="J35" s="7">
        <v>0.39721064814814816</v>
      </c>
      <c r="K35" t="s">
        <v>291</v>
      </c>
      <c r="L35" t="s">
        <v>274</v>
      </c>
      <c r="M35" t="s">
        <v>118</v>
      </c>
    </row>
    <row r="36" spans="1:13" x14ac:dyDescent="0.35">
      <c r="A36" t="s">
        <v>165</v>
      </c>
      <c r="B36" t="s">
        <v>3</v>
      </c>
      <c r="C36" s="14">
        <v>10.58</v>
      </c>
      <c r="D36">
        <v>2</v>
      </c>
      <c r="E36">
        <v>391</v>
      </c>
      <c r="F36" t="s">
        <v>588</v>
      </c>
      <c r="G36" t="s">
        <v>590</v>
      </c>
      <c r="H36">
        <v>23</v>
      </c>
      <c r="I36">
        <v>2024</v>
      </c>
      <c r="J36" s="7">
        <v>0.78135416666666668</v>
      </c>
      <c r="K36" t="s">
        <v>291</v>
      </c>
      <c r="L36" t="s">
        <v>274</v>
      </c>
      <c r="M36" t="s">
        <v>118</v>
      </c>
    </row>
    <row r="37" spans="1:13" x14ac:dyDescent="0.35">
      <c r="A37" t="s">
        <v>253</v>
      </c>
      <c r="B37" t="s">
        <v>3</v>
      </c>
      <c r="C37" s="14">
        <v>10.67</v>
      </c>
      <c r="D37">
        <v>10</v>
      </c>
      <c r="E37">
        <v>272</v>
      </c>
      <c r="F37" t="s">
        <v>588</v>
      </c>
      <c r="G37" t="s">
        <v>590</v>
      </c>
      <c r="H37">
        <v>24</v>
      </c>
      <c r="I37">
        <v>2024</v>
      </c>
      <c r="J37" s="7">
        <v>5.5706018518518516E-2</v>
      </c>
      <c r="K37" t="s">
        <v>291</v>
      </c>
      <c r="L37" t="s">
        <v>274</v>
      </c>
      <c r="M37" t="s">
        <v>118</v>
      </c>
    </row>
    <row r="38" spans="1:13" x14ac:dyDescent="0.35">
      <c r="A38" t="s">
        <v>94</v>
      </c>
      <c r="B38" t="s">
        <v>3</v>
      </c>
      <c r="C38" s="14">
        <v>10.7</v>
      </c>
      <c r="D38">
        <v>5</v>
      </c>
      <c r="E38">
        <v>163</v>
      </c>
      <c r="F38" t="s">
        <v>588</v>
      </c>
      <c r="G38" t="s">
        <v>590</v>
      </c>
      <c r="H38">
        <v>24</v>
      </c>
      <c r="I38">
        <v>2024</v>
      </c>
      <c r="J38" s="7">
        <v>2.162037037037037E-2</v>
      </c>
      <c r="K38" t="s">
        <v>363</v>
      </c>
      <c r="L38" t="s">
        <v>506</v>
      </c>
      <c r="M38" t="s">
        <v>118</v>
      </c>
    </row>
    <row r="39" spans="1:13" x14ac:dyDescent="0.35">
      <c r="A39" t="s">
        <v>235</v>
      </c>
      <c r="B39" t="s">
        <v>1</v>
      </c>
      <c r="C39" s="14">
        <v>10.91</v>
      </c>
      <c r="D39">
        <v>0</v>
      </c>
      <c r="E39">
        <v>654</v>
      </c>
      <c r="F39" t="s">
        <v>588</v>
      </c>
      <c r="G39" t="s">
        <v>590</v>
      </c>
      <c r="H39">
        <v>16</v>
      </c>
      <c r="I39">
        <v>2024</v>
      </c>
      <c r="J39" s="7">
        <v>1.0219907407407407E-2</v>
      </c>
      <c r="K39" t="s">
        <v>394</v>
      </c>
      <c r="L39" t="s">
        <v>282</v>
      </c>
      <c r="M39" t="s">
        <v>118</v>
      </c>
    </row>
    <row r="40" spans="1:13" x14ac:dyDescent="0.35">
      <c r="A40" t="s">
        <v>37</v>
      </c>
      <c r="B40" t="s">
        <v>1</v>
      </c>
      <c r="C40" s="14">
        <v>10.99</v>
      </c>
      <c r="D40">
        <v>3</v>
      </c>
      <c r="E40">
        <v>179</v>
      </c>
      <c r="F40" t="s">
        <v>588</v>
      </c>
      <c r="G40" t="s">
        <v>590</v>
      </c>
      <c r="H40">
        <v>18</v>
      </c>
      <c r="I40">
        <v>2024</v>
      </c>
      <c r="J40" s="7">
        <v>0.61050925925925925</v>
      </c>
      <c r="K40" t="s">
        <v>511</v>
      </c>
      <c r="L40" t="s">
        <v>274</v>
      </c>
      <c r="M40" t="s">
        <v>118</v>
      </c>
    </row>
    <row r="41" spans="1:13" x14ac:dyDescent="0.35">
      <c r="A41" t="s">
        <v>37</v>
      </c>
      <c r="B41" t="s">
        <v>3</v>
      </c>
      <c r="C41" s="14">
        <v>10.99</v>
      </c>
      <c r="D41">
        <v>3</v>
      </c>
      <c r="E41">
        <v>1044</v>
      </c>
      <c r="F41" t="s">
        <v>589</v>
      </c>
      <c r="G41" t="s">
        <v>590</v>
      </c>
      <c r="H41">
        <v>18</v>
      </c>
      <c r="I41">
        <v>2024</v>
      </c>
      <c r="J41" s="7">
        <v>0.61003472222222221</v>
      </c>
      <c r="K41" t="s">
        <v>511</v>
      </c>
      <c r="L41" t="s">
        <v>274</v>
      </c>
      <c r="M41" t="s">
        <v>118</v>
      </c>
    </row>
    <row r="42" spans="1:13" x14ac:dyDescent="0.35">
      <c r="A42" t="s">
        <v>187</v>
      </c>
      <c r="B42" t="s">
        <v>1</v>
      </c>
      <c r="C42" s="14">
        <v>10.99</v>
      </c>
      <c r="D42">
        <v>10</v>
      </c>
      <c r="E42">
        <v>35</v>
      </c>
      <c r="F42" t="s">
        <v>588</v>
      </c>
      <c r="G42" t="s">
        <v>590</v>
      </c>
      <c r="H42">
        <v>18</v>
      </c>
      <c r="I42">
        <v>2024</v>
      </c>
      <c r="J42" s="7">
        <v>0.61717592592592596</v>
      </c>
      <c r="K42" t="s">
        <v>281</v>
      </c>
      <c r="L42" t="s">
        <v>282</v>
      </c>
      <c r="M42" t="s">
        <v>118</v>
      </c>
    </row>
    <row r="43" spans="1:13" x14ac:dyDescent="0.35">
      <c r="A43" t="s">
        <v>32</v>
      </c>
      <c r="B43" t="s">
        <v>1</v>
      </c>
      <c r="C43" s="14">
        <v>10.99</v>
      </c>
      <c r="D43">
        <v>10</v>
      </c>
      <c r="E43">
        <v>368</v>
      </c>
      <c r="F43" t="s">
        <v>588</v>
      </c>
      <c r="G43" t="s">
        <v>590</v>
      </c>
      <c r="H43">
        <v>24</v>
      </c>
      <c r="I43">
        <v>2024</v>
      </c>
      <c r="J43" s="7">
        <v>0.2295949074074074</v>
      </c>
      <c r="K43" t="s">
        <v>509</v>
      </c>
      <c r="L43" t="s">
        <v>505</v>
      </c>
      <c r="M43" t="s">
        <v>118</v>
      </c>
    </row>
    <row r="44" spans="1:13" x14ac:dyDescent="0.35">
      <c r="A44" t="s">
        <v>2</v>
      </c>
      <c r="B44" t="s">
        <v>239</v>
      </c>
      <c r="C44" s="14">
        <v>10.99</v>
      </c>
      <c r="D44">
        <v>4</v>
      </c>
      <c r="E44">
        <v>38</v>
      </c>
      <c r="F44" t="s">
        <v>588</v>
      </c>
      <c r="G44" t="s">
        <v>590</v>
      </c>
      <c r="H44">
        <v>20</v>
      </c>
      <c r="I44">
        <v>2024</v>
      </c>
      <c r="J44" s="7">
        <v>0.98811342592592588</v>
      </c>
      <c r="K44" t="s">
        <v>335</v>
      </c>
      <c r="L44" t="s">
        <v>282</v>
      </c>
      <c r="M44" t="s">
        <v>118</v>
      </c>
    </row>
    <row r="45" spans="1:13" x14ac:dyDescent="0.35">
      <c r="A45" t="s">
        <v>17</v>
      </c>
      <c r="B45" t="s">
        <v>1</v>
      </c>
      <c r="C45" s="14">
        <v>11</v>
      </c>
      <c r="D45">
        <v>10</v>
      </c>
      <c r="E45">
        <v>702</v>
      </c>
      <c r="F45" t="s">
        <v>588</v>
      </c>
      <c r="G45" t="s">
        <v>600</v>
      </c>
      <c r="H45">
        <v>5</v>
      </c>
      <c r="I45">
        <v>2024</v>
      </c>
      <c r="J45" s="7">
        <v>3.6111111111111108E-2</v>
      </c>
      <c r="K45" t="s">
        <v>514</v>
      </c>
      <c r="L45" t="s">
        <v>505</v>
      </c>
      <c r="M45" t="s">
        <v>118</v>
      </c>
    </row>
    <row r="46" spans="1:13" x14ac:dyDescent="0.35">
      <c r="A46" t="s">
        <v>149</v>
      </c>
      <c r="B46" t="s">
        <v>1</v>
      </c>
      <c r="C46" s="14">
        <v>11</v>
      </c>
      <c r="D46">
        <v>0</v>
      </c>
      <c r="E46">
        <v>47</v>
      </c>
      <c r="F46" t="s">
        <v>588</v>
      </c>
      <c r="G46" t="s">
        <v>590</v>
      </c>
      <c r="H46">
        <v>16</v>
      </c>
      <c r="I46">
        <v>2024</v>
      </c>
      <c r="J46" s="7">
        <v>0.64033564814814814</v>
      </c>
      <c r="K46" t="s">
        <v>429</v>
      </c>
      <c r="L46" t="s">
        <v>286</v>
      </c>
      <c r="M46" t="s">
        <v>118</v>
      </c>
    </row>
    <row r="47" spans="1:13" x14ac:dyDescent="0.35">
      <c r="A47" t="s">
        <v>94</v>
      </c>
      <c r="B47" t="s">
        <v>1</v>
      </c>
      <c r="C47" s="14">
        <v>11.5</v>
      </c>
      <c r="D47">
        <v>5</v>
      </c>
      <c r="E47">
        <v>12</v>
      </c>
      <c r="F47" t="s">
        <v>588</v>
      </c>
      <c r="G47" t="s">
        <v>590</v>
      </c>
      <c r="H47">
        <v>23</v>
      </c>
      <c r="I47">
        <v>2024</v>
      </c>
      <c r="J47" s="7">
        <v>0.77532407407407411</v>
      </c>
      <c r="K47" t="s">
        <v>448</v>
      </c>
      <c r="L47" t="s">
        <v>282</v>
      </c>
      <c r="M47" t="s">
        <v>118</v>
      </c>
    </row>
    <row r="48" spans="1:13" x14ac:dyDescent="0.35">
      <c r="A48" t="s">
        <v>210</v>
      </c>
      <c r="B48" t="s">
        <v>3</v>
      </c>
      <c r="C48" s="14">
        <v>11.58</v>
      </c>
      <c r="D48">
        <v>7</v>
      </c>
      <c r="E48">
        <v>17</v>
      </c>
      <c r="F48" t="s">
        <v>588</v>
      </c>
      <c r="G48" t="s">
        <v>239</v>
      </c>
      <c r="H48">
        <v>0</v>
      </c>
      <c r="I48">
        <v>0</v>
      </c>
      <c r="J48" s="7">
        <v>0</v>
      </c>
      <c r="K48" t="s">
        <v>506</v>
      </c>
      <c r="L48" t="s">
        <v>505</v>
      </c>
      <c r="M48" t="s">
        <v>118</v>
      </c>
    </row>
    <row r="49" spans="1:13" x14ac:dyDescent="0.35">
      <c r="A49" t="s">
        <v>13</v>
      </c>
      <c r="B49" t="s">
        <v>1</v>
      </c>
      <c r="C49" s="14">
        <v>11.95</v>
      </c>
      <c r="D49">
        <v>93</v>
      </c>
      <c r="E49">
        <v>18</v>
      </c>
      <c r="F49" t="s">
        <v>588</v>
      </c>
      <c r="G49" t="s">
        <v>590</v>
      </c>
      <c r="H49">
        <v>8</v>
      </c>
      <c r="I49">
        <v>2024</v>
      </c>
      <c r="J49" s="7">
        <v>0.13422453703703704</v>
      </c>
      <c r="K49" t="s">
        <v>358</v>
      </c>
      <c r="L49" t="s">
        <v>274</v>
      </c>
      <c r="M49" t="s">
        <v>118</v>
      </c>
    </row>
    <row r="50" spans="1:13" x14ac:dyDescent="0.35">
      <c r="A50" t="s">
        <v>187</v>
      </c>
      <c r="B50" t="s">
        <v>54</v>
      </c>
      <c r="C50" s="14">
        <v>11.99</v>
      </c>
      <c r="D50">
        <v>10</v>
      </c>
      <c r="E50">
        <v>11</v>
      </c>
      <c r="F50" t="s">
        <v>588</v>
      </c>
      <c r="G50" t="s">
        <v>590</v>
      </c>
      <c r="H50">
        <v>21</v>
      </c>
      <c r="I50">
        <v>2024</v>
      </c>
      <c r="J50" s="7">
        <v>0.81387731481481485</v>
      </c>
      <c r="K50" t="s">
        <v>281</v>
      </c>
      <c r="L50" t="s">
        <v>282</v>
      </c>
      <c r="M50" t="s">
        <v>118</v>
      </c>
    </row>
    <row r="51" spans="1:13" x14ac:dyDescent="0.35">
      <c r="A51" t="s">
        <v>197</v>
      </c>
      <c r="B51" t="s">
        <v>1</v>
      </c>
      <c r="C51" s="14">
        <v>11.99</v>
      </c>
      <c r="D51">
        <v>6</v>
      </c>
      <c r="E51">
        <v>15</v>
      </c>
      <c r="F51" t="s">
        <v>588</v>
      </c>
      <c r="G51" t="s">
        <v>590</v>
      </c>
      <c r="H51">
        <v>8</v>
      </c>
      <c r="I51">
        <v>2024</v>
      </c>
      <c r="J51" s="7">
        <v>0.65271990740740737</v>
      </c>
      <c r="K51" t="s">
        <v>368</v>
      </c>
      <c r="L51" t="s">
        <v>274</v>
      </c>
      <c r="M51" t="s">
        <v>118</v>
      </c>
    </row>
    <row r="52" spans="1:13" x14ac:dyDescent="0.35">
      <c r="A52" t="s">
        <v>187</v>
      </c>
      <c r="B52" t="s">
        <v>1</v>
      </c>
      <c r="C52" s="14">
        <v>11.99</v>
      </c>
      <c r="D52">
        <v>9</v>
      </c>
      <c r="E52">
        <v>51</v>
      </c>
      <c r="F52" t="s">
        <v>588</v>
      </c>
      <c r="G52" t="s">
        <v>590</v>
      </c>
      <c r="H52">
        <v>18</v>
      </c>
      <c r="I52">
        <v>2024</v>
      </c>
      <c r="J52" s="7">
        <v>0.64170138888888884</v>
      </c>
      <c r="K52" t="s">
        <v>335</v>
      </c>
      <c r="L52" t="s">
        <v>282</v>
      </c>
      <c r="M52" t="s">
        <v>118</v>
      </c>
    </row>
    <row r="53" spans="1:13" x14ac:dyDescent="0.35">
      <c r="A53" t="s">
        <v>70</v>
      </c>
      <c r="B53" t="s">
        <v>1</v>
      </c>
      <c r="C53" s="14">
        <v>11.99</v>
      </c>
      <c r="D53">
        <v>0</v>
      </c>
      <c r="E53">
        <v>39</v>
      </c>
      <c r="F53" t="s">
        <v>588</v>
      </c>
      <c r="G53" t="s">
        <v>590</v>
      </c>
      <c r="H53">
        <v>22</v>
      </c>
      <c r="I53">
        <v>2024</v>
      </c>
      <c r="J53" s="7">
        <v>0.47270833333333334</v>
      </c>
      <c r="K53" t="s">
        <v>429</v>
      </c>
      <c r="L53" t="s">
        <v>286</v>
      </c>
      <c r="M53" t="s">
        <v>118</v>
      </c>
    </row>
    <row r="54" spans="1:13" x14ac:dyDescent="0.35">
      <c r="A54" t="s">
        <v>149</v>
      </c>
      <c r="B54" t="s">
        <v>1</v>
      </c>
      <c r="C54" s="14">
        <v>11.99</v>
      </c>
      <c r="D54">
        <v>8</v>
      </c>
      <c r="E54">
        <v>442</v>
      </c>
      <c r="F54" t="s">
        <v>588</v>
      </c>
      <c r="G54" t="s">
        <v>590</v>
      </c>
      <c r="H54">
        <v>22</v>
      </c>
      <c r="I54">
        <v>2024</v>
      </c>
      <c r="J54" s="7">
        <v>4.0231481481481479E-2</v>
      </c>
      <c r="K54" t="s">
        <v>429</v>
      </c>
      <c r="L54" t="s">
        <v>286</v>
      </c>
      <c r="M54" t="s">
        <v>118</v>
      </c>
    </row>
    <row r="55" spans="1:13" x14ac:dyDescent="0.35">
      <c r="A55" t="s">
        <v>94</v>
      </c>
      <c r="B55" t="s">
        <v>3</v>
      </c>
      <c r="C55" s="14">
        <v>12</v>
      </c>
      <c r="D55">
        <v>4</v>
      </c>
      <c r="E55">
        <v>11</v>
      </c>
      <c r="F55" t="s">
        <v>588</v>
      </c>
      <c r="G55" t="s">
        <v>590</v>
      </c>
      <c r="H55">
        <v>23</v>
      </c>
      <c r="I55">
        <v>2024</v>
      </c>
      <c r="J55" s="7">
        <v>0.4430439814814815</v>
      </c>
      <c r="K55" t="s">
        <v>448</v>
      </c>
      <c r="L55" t="s">
        <v>282</v>
      </c>
      <c r="M55" t="s">
        <v>118</v>
      </c>
    </row>
    <row r="56" spans="1:13" x14ac:dyDescent="0.35">
      <c r="A56" t="s">
        <v>112</v>
      </c>
      <c r="B56" t="s">
        <v>37</v>
      </c>
      <c r="C56" s="14">
        <v>12</v>
      </c>
      <c r="D56">
        <v>10</v>
      </c>
      <c r="E56">
        <v>22</v>
      </c>
      <c r="F56" t="s">
        <v>588</v>
      </c>
      <c r="G56" t="s">
        <v>590</v>
      </c>
      <c r="H56">
        <v>13</v>
      </c>
      <c r="I56">
        <v>2024</v>
      </c>
      <c r="J56" s="7">
        <v>0.24280092592592592</v>
      </c>
      <c r="K56" t="s">
        <v>488</v>
      </c>
      <c r="L56" t="s">
        <v>286</v>
      </c>
      <c r="M56" t="s">
        <v>118</v>
      </c>
    </row>
    <row r="57" spans="1:13" x14ac:dyDescent="0.35">
      <c r="A57" t="s">
        <v>233</v>
      </c>
      <c r="B57" t="s">
        <v>1</v>
      </c>
      <c r="C57" s="14">
        <v>12</v>
      </c>
      <c r="D57">
        <v>6</v>
      </c>
      <c r="E57">
        <v>19</v>
      </c>
      <c r="F57" t="s">
        <v>588</v>
      </c>
      <c r="G57" t="s">
        <v>239</v>
      </c>
      <c r="H57">
        <v>0</v>
      </c>
      <c r="I57">
        <v>0</v>
      </c>
      <c r="J57" s="7">
        <v>0</v>
      </c>
      <c r="K57" t="s">
        <v>514</v>
      </c>
      <c r="L57" t="s">
        <v>505</v>
      </c>
      <c r="M57" t="s">
        <v>118</v>
      </c>
    </row>
    <row r="58" spans="1:13" x14ac:dyDescent="0.35">
      <c r="A58" t="s">
        <v>50</v>
      </c>
      <c r="B58" t="s">
        <v>3</v>
      </c>
      <c r="C58" s="14">
        <v>12.2</v>
      </c>
      <c r="D58">
        <v>10</v>
      </c>
      <c r="E58">
        <v>5</v>
      </c>
      <c r="F58" t="s">
        <v>588</v>
      </c>
      <c r="G58" t="s">
        <v>590</v>
      </c>
      <c r="H58">
        <v>20</v>
      </c>
      <c r="I58">
        <v>2024</v>
      </c>
      <c r="J58" s="7">
        <v>0.61340277777777774</v>
      </c>
      <c r="K58" t="s">
        <v>285</v>
      </c>
      <c r="L58" t="s">
        <v>286</v>
      </c>
      <c r="M58" t="s">
        <v>118</v>
      </c>
    </row>
    <row r="59" spans="1:13" x14ac:dyDescent="0.35">
      <c r="A59" t="s">
        <v>202</v>
      </c>
      <c r="B59" t="s">
        <v>3</v>
      </c>
      <c r="C59" s="14">
        <v>12.23</v>
      </c>
      <c r="D59">
        <v>23</v>
      </c>
      <c r="E59">
        <v>1128</v>
      </c>
      <c r="F59" t="s">
        <v>589</v>
      </c>
      <c r="G59" t="s">
        <v>590</v>
      </c>
      <c r="H59">
        <v>22</v>
      </c>
      <c r="I59">
        <v>2024</v>
      </c>
      <c r="J59" s="7">
        <v>0.39488425925925924</v>
      </c>
      <c r="K59" t="s">
        <v>290</v>
      </c>
      <c r="L59" t="s">
        <v>506</v>
      </c>
      <c r="M59" t="s">
        <v>118</v>
      </c>
    </row>
    <row r="60" spans="1:13" x14ac:dyDescent="0.35">
      <c r="A60" t="s">
        <v>51</v>
      </c>
      <c r="B60" t="s">
        <v>1</v>
      </c>
      <c r="C60" s="14">
        <v>12.49</v>
      </c>
      <c r="D60">
        <v>10</v>
      </c>
      <c r="E60">
        <v>17</v>
      </c>
      <c r="F60" t="s">
        <v>588</v>
      </c>
      <c r="G60" t="s">
        <v>590</v>
      </c>
      <c r="H60">
        <v>15</v>
      </c>
      <c r="I60">
        <v>2024</v>
      </c>
      <c r="J60" s="7">
        <v>0.47839120370370369</v>
      </c>
      <c r="K60" t="s">
        <v>406</v>
      </c>
      <c r="L60" t="s">
        <v>506</v>
      </c>
      <c r="M60" t="s">
        <v>118</v>
      </c>
    </row>
    <row r="61" spans="1:13" x14ac:dyDescent="0.35">
      <c r="A61" t="s">
        <v>139</v>
      </c>
      <c r="B61" t="s">
        <v>3</v>
      </c>
      <c r="C61" s="14">
        <v>12.6</v>
      </c>
      <c r="D61">
        <v>10</v>
      </c>
      <c r="E61">
        <v>229</v>
      </c>
      <c r="F61" t="s">
        <v>588</v>
      </c>
      <c r="G61" t="s">
        <v>590</v>
      </c>
      <c r="H61">
        <v>23</v>
      </c>
      <c r="I61">
        <v>2024</v>
      </c>
      <c r="J61" s="7">
        <v>0.80108796296296292</v>
      </c>
      <c r="K61" t="s">
        <v>324</v>
      </c>
      <c r="L61" t="s">
        <v>269</v>
      </c>
      <c r="M61" t="s">
        <v>118</v>
      </c>
    </row>
    <row r="62" spans="1:13" x14ac:dyDescent="0.35">
      <c r="A62" t="s">
        <v>50</v>
      </c>
      <c r="B62" t="s">
        <v>1</v>
      </c>
      <c r="C62" s="14">
        <v>12.95</v>
      </c>
      <c r="D62">
        <v>5</v>
      </c>
      <c r="E62">
        <v>594</v>
      </c>
      <c r="F62" t="s">
        <v>588</v>
      </c>
      <c r="G62" t="s">
        <v>590</v>
      </c>
      <c r="H62">
        <v>18</v>
      </c>
      <c r="I62">
        <v>2024</v>
      </c>
      <c r="J62" s="7">
        <v>0.80604166666666666</v>
      </c>
      <c r="K62" t="s">
        <v>358</v>
      </c>
      <c r="L62" t="s">
        <v>274</v>
      </c>
      <c r="M62" t="s">
        <v>118</v>
      </c>
    </row>
    <row r="63" spans="1:13" x14ac:dyDescent="0.35">
      <c r="A63" t="s">
        <v>2</v>
      </c>
      <c r="B63" t="s">
        <v>1</v>
      </c>
      <c r="C63" s="14">
        <v>12.98</v>
      </c>
      <c r="D63">
        <v>10</v>
      </c>
      <c r="E63">
        <v>103</v>
      </c>
      <c r="F63" t="s">
        <v>588</v>
      </c>
      <c r="G63" t="s">
        <v>590</v>
      </c>
      <c r="H63">
        <v>24</v>
      </c>
      <c r="I63">
        <v>2024</v>
      </c>
      <c r="J63" s="7">
        <v>0.42395833333333333</v>
      </c>
      <c r="K63" t="s">
        <v>512</v>
      </c>
      <c r="L63" t="s">
        <v>506</v>
      </c>
      <c r="M63" t="s">
        <v>118</v>
      </c>
    </row>
    <row r="64" spans="1:13" x14ac:dyDescent="0.35">
      <c r="A64" t="s">
        <v>9</v>
      </c>
      <c r="B64" t="s">
        <v>1</v>
      </c>
      <c r="C64" s="14">
        <v>12.99</v>
      </c>
      <c r="D64">
        <v>7</v>
      </c>
      <c r="E64">
        <v>5</v>
      </c>
      <c r="F64" t="s">
        <v>588</v>
      </c>
      <c r="G64" t="s">
        <v>590</v>
      </c>
      <c r="H64">
        <v>9</v>
      </c>
      <c r="I64">
        <v>2024</v>
      </c>
      <c r="J64" s="7">
        <v>0.20394675925925926</v>
      </c>
      <c r="K64" t="s">
        <v>509</v>
      </c>
      <c r="L64" t="s">
        <v>505</v>
      </c>
      <c r="M64" t="s">
        <v>118</v>
      </c>
    </row>
    <row r="65" spans="1:13" x14ac:dyDescent="0.35">
      <c r="A65" t="s">
        <v>187</v>
      </c>
      <c r="B65" t="s">
        <v>54</v>
      </c>
      <c r="C65" s="14">
        <v>12.99</v>
      </c>
      <c r="D65">
        <v>0</v>
      </c>
      <c r="E65">
        <v>10</v>
      </c>
      <c r="F65" t="s">
        <v>588</v>
      </c>
      <c r="G65" t="s">
        <v>590</v>
      </c>
      <c r="H65">
        <v>21</v>
      </c>
      <c r="I65">
        <v>2024</v>
      </c>
      <c r="J65" s="7">
        <v>0.81449074074074079</v>
      </c>
      <c r="K65" t="s">
        <v>281</v>
      </c>
      <c r="L65" t="s">
        <v>282</v>
      </c>
      <c r="M65" t="s">
        <v>118</v>
      </c>
    </row>
    <row r="66" spans="1:13" x14ac:dyDescent="0.35">
      <c r="A66" t="s">
        <v>2</v>
      </c>
      <c r="B66" t="s">
        <v>1</v>
      </c>
      <c r="C66" s="14">
        <v>13</v>
      </c>
      <c r="D66">
        <v>3</v>
      </c>
      <c r="E66">
        <v>11</v>
      </c>
      <c r="F66" t="s">
        <v>588</v>
      </c>
      <c r="G66" t="s">
        <v>590</v>
      </c>
      <c r="H66">
        <v>24</v>
      </c>
      <c r="I66">
        <v>2024</v>
      </c>
      <c r="J66" s="7">
        <v>0.32740740740740742</v>
      </c>
      <c r="K66" t="s">
        <v>506</v>
      </c>
      <c r="L66" t="s">
        <v>505</v>
      </c>
      <c r="M66" t="s">
        <v>118</v>
      </c>
    </row>
    <row r="67" spans="1:13" x14ac:dyDescent="0.35">
      <c r="A67" t="s">
        <v>117</v>
      </c>
      <c r="B67" t="s">
        <v>1</v>
      </c>
      <c r="C67" s="14">
        <v>13</v>
      </c>
      <c r="D67">
        <v>6</v>
      </c>
      <c r="E67">
        <v>14</v>
      </c>
      <c r="F67" t="s">
        <v>588</v>
      </c>
      <c r="G67" t="s">
        <v>590</v>
      </c>
      <c r="H67">
        <v>15</v>
      </c>
      <c r="I67">
        <v>2024</v>
      </c>
      <c r="J67" s="7">
        <v>0.93695601851851851</v>
      </c>
      <c r="K67" t="s">
        <v>429</v>
      </c>
      <c r="L67" t="s">
        <v>286</v>
      </c>
      <c r="M67" t="s">
        <v>118</v>
      </c>
    </row>
    <row r="68" spans="1:13" x14ac:dyDescent="0.35">
      <c r="A68" t="s">
        <v>70</v>
      </c>
      <c r="B68" t="s">
        <v>1</v>
      </c>
      <c r="C68" s="14">
        <v>13</v>
      </c>
      <c r="D68">
        <v>10</v>
      </c>
      <c r="E68">
        <v>17</v>
      </c>
      <c r="F68" t="s">
        <v>588</v>
      </c>
      <c r="G68" t="s">
        <v>590</v>
      </c>
      <c r="H68">
        <v>18</v>
      </c>
      <c r="I68">
        <v>2024</v>
      </c>
      <c r="J68" s="7">
        <v>0.89329861111111108</v>
      </c>
      <c r="K68" t="s">
        <v>429</v>
      </c>
      <c r="L68" t="s">
        <v>286</v>
      </c>
      <c r="M68" t="s">
        <v>118</v>
      </c>
    </row>
    <row r="69" spans="1:13" x14ac:dyDescent="0.35">
      <c r="A69" t="s">
        <v>79</v>
      </c>
      <c r="B69" t="s">
        <v>1</v>
      </c>
      <c r="C69" s="14">
        <v>13.05</v>
      </c>
      <c r="D69">
        <v>36</v>
      </c>
      <c r="E69">
        <v>9</v>
      </c>
      <c r="F69" t="s">
        <v>588</v>
      </c>
      <c r="G69" t="s">
        <v>590</v>
      </c>
      <c r="H69">
        <v>15</v>
      </c>
      <c r="I69">
        <v>2024</v>
      </c>
      <c r="J69" s="7">
        <v>0.80871527777777774</v>
      </c>
      <c r="K69" t="s">
        <v>430</v>
      </c>
      <c r="L69" t="s">
        <v>286</v>
      </c>
      <c r="M69" t="s">
        <v>118</v>
      </c>
    </row>
    <row r="70" spans="1:13" x14ac:dyDescent="0.35">
      <c r="A70" t="s">
        <v>60</v>
      </c>
      <c r="B70" t="s">
        <v>1</v>
      </c>
      <c r="C70" s="14">
        <v>13.15</v>
      </c>
      <c r="D70">
        <v>6</v>
      </c>
      <c r="E70">
        <v>7</v>
      </c>
      <c r="F70" t="s">
        <v>588</v>
      </c>
      <c r="G70" t="s">
        <v>590</v>
      </c>
      <c r="H70">
        <v>22</v>
      </c>
      <c r="I70">
        <v>2024</v>
      </c>
      <c r="J70" s="7">
        <v>0.77678240740740745</v>
      </c>
      <c r="K70" t="s">
        <v>509</v>
      </c>
      <c r="L70" t="s">
        <v>505</v>
      </c>
      <c r="M70" t="s">
        <v>118</v>
      </c>
    </row>
    <row r="71" spans="1:13" x14ac:dyDescent="0.35">
      <c r="A71" t="s">
        <v>2</v>
      </c>
      <c r="B71" t="s">
        <v>1</v>
      </c>
      <c r="C71" s="14">
        <v>13.28</v>
      </c>
      <c r="D71">
        <v>5</v>
      </c>
      <c r="E71">
        <v>6</v>
      </c>
      <c r="F71" t="s">
        <v>588</v>
      </c>
      <c r="G71" t="s">
        <v>239</v>
      </c>
      <c r="H71">
        <v>0</v>
      </c>
      <c r="I71">
        <v>0</v>
      </c>
      <c r="J71" s="7">
        <v>0</v>
      </c>
      <c r="K71" t="s">
        <v>553</v>
      </c>
      <c r="L71" t="s">
        <v>267</v>
      </c>
      <c r="M71" t="s">
        <v>118</v>
      </c>
    </row>
    <row r="72" spans="1:13" x14ac:dyDescent="0.35">
      <c r="A72" t="s">
        <v>194</v>
      </c>
      <c r="B72" t="s">
        <v>37</v>
      </c>
      <c r="C72" s="14">
        <v>13.5</v>
      </c>
      <c r="D72">
        <v>0</v>
      </c>
      <c r="E72">
        <v>17</v>
      </c>
      <c r="F72" t="s">
        <v>588</v>
      </c>
      <c r="G72" t="s">
        <v>590</v>
      </c>
      <c r="H72">
        <v>9</v>
      </c>
      <c r="I72">
        <v>2024</v>
      </c>
      <c r="J72" s="7">
        <v>0.74119212962962966</v>
      </c>
      <c r="K72" t="s">
        <v>349</v>
      </c>
      <c r="L72" t="s">
        <v>286</v>
      </c>
      <c r="M72" t="s">
        <v>118</v>
      </c>
    </row>
    <row r="73" spans="1:13" x14ac:dyDescent="0.35">
      <c r="A73" t="s">
        <v>132</v>
      </c>
      <c r="B73" t="s">
        <v>1</v>
      </c>
      <c r="C73" s="14">
        <v>13.5</v>
      </c>
      <c r="D73">
        <v>31</v>
      </c>
      <c r="E73">
        <v>17</v>
      </c>
      <c r="F73" t="s">
        <v>588</v>
      </c>
      <c r="G73" t="s">
        <v>591</v>
      </c>
      <c r="H73">
        <v>1</v>
      </c>
      <c r="I73">
        <v>2024</v>
      </c>
      <c r="J73" s="7">
        <v>0.90819444444444442</v>
      </c>
      <c r="K73" t="s">
        <v>514</v>
      </c>
      <c r="L73" t="s">
        <v>505</v>
      </c>
      <c r="M73" t="s">
        <v>118</v>
      </c>
    </row>
    <row r="74" spans="1:13" x14ac:dyDescent="0.35">
      <c r="A74" t="s">
        <v>35</v>
      </c>
      <c r="B74" t="s">
        <v>3</v>
      </c>
      <c r="C74" s="14">
        <v>13.66</v>
      </c>
      <c r="D74">
        <v>5</v>
      </c>
      <c r="E74">
        <v>552</v>
      </c>
      <c r="F74" t="s">
        <v>588</v>
      </c>
      <c r="G74" t="s">
        <v>590</v>
      </c>
      <c r="H74">
        <v>24</v>
      </c>
      <c r="I74">
        <v>2024</v>
      </c>
      <c r="J74" s="7">
        <v>1.0127314814814815E-2</v>
      </c>
      <c r="K74" t="s">
        <v>321</v>
      </c>
      <c r="L74" t="s">
        <v>269</v>
      </c>
      <c r="M74" t="s">
        <v>118</v>
      </c>
    </row>
    <row r="75" spans="1:13" x14ac:dyDescent="0.35">
      <c r="A75" t="s">
        <v>35</v>
      </c>
      <c r="B75" t="s">
        <v>3</v>
      </c>
      <c r="C75" s="14">
        <v>13.68</v>
      </c>
      <c r="D75">
        <v>47</v>
      </c>
      <c r="E75">
        <v>105</v>
      </c>
      <c r="F75" t="s">
        <v>588</v>
      </c>
      <c r="G75" t="s">
        <v>590</v>
      </c>
      <c r="H75">
        <v>6</v>
      </c>
      <c r="I75">
        <v>2024</v>
      </c>
      <c r="J75" s="7">
        <v>0.70145833333333329</v>
      </c>
      <c r="K75" t="s">
        <v>324</v>
      </c>
      <c r="L75" t="s">
        <v>269</v>
      </c>
      <c r="M75" t="s">
        <v>118</v>
      </c>
    </row>
    <row r="76" spans="1:13" x14ac:dyDescent="0.35">
      <c r="A76" t="s">
        <v>2</v>
      </c>
      <c r="B76" t="s">
        <v>3</v>
      </c>
      <c r="C76" s="14">
        <v>13.86</v>
      </c>
      <c r="D76">
        <v>33</v>
      </c>
      <c r="E76">
        <v>1146</v>
      </c>
      <c r="F76" t="s">
        <v>589</v>
      </c>
      <c r="G76" t="s">
        <v>590</v>
      </c>
      <c r="H76">
        <v>24</v>
      </c>
      <c r="I76">
        <v>2024</v>
      </c>
      <c r="J76" s="7">
        <v>0.36960648148148151</v>
      </c>
      <c r="K76" t="s">
        <v>324</v>
      </c>
      <c r="L76" t="s">
        <v>269</v>
      </c>
      <c r="M76" t="s">
        <v>118</v>
      </c>
    </row>
    <row r="77" spans="1:13" x14ac:dyDescent="0.35">
      <c r="A77" t="s">
        <v>94</v>
      </c>
      <c r="B77" t="s">
        <v>1</v>
      </c>
      <c r="C77" s="14">
        <v>13.89</v>
      </c>
      <c r="D77">
        <v>10</v>
      </c>
      <c r="E77">
        <v>239</v>
      </c>
      <c r="F77" t="s">
        <v>588</v>
      </c>
      <c r="G77" t="s">
        <v>590</v>
      </c>
      <c r="H77">
        <v>24</v>
      </c>
      <c r="I77">
        <v>2024</v>
      </c>
      <c r="J77" s="7">
        <v>2.1597222222222223E-2</v>
      </c>
      <c r="K77" t="s">
        <v>363</v>
      </c>
      <c r="L77" t="s">
        <v>506</v>
      </c>
      <c r="M77" t="s">
        <v>118</v>
      </c>
    </row>
    <row r="78" spans="1:13" x14ac:dyDescent="0.35">
      <c r="A78" t="s">
        <v>101</v>
      </c>
      <c r="B78" t="s">
        <v>3</v>
      </c>
      <c r="C78" s="14">
        <v>13.89</v>
      </c>
      <c r="D78">
        <v>13</v>
      </c>
      <c r="E78">
        <v>48</v>
      </c>
      <c r="F78" t="s">
        <v>588</v>
      </c>
      <c r="G78" t="s">
        <v>590</v>
      </c>
      <c r="H78">
        <v>22</v>
      </c>
      <c r="I78">
        <v>2024</v>
      </c>
      <c r="J78" s="7">
        <v>0.49853009259259257</v>
      </c>
      <c r="K78" t="s">
        <v>290</v>
      </c>
      <c r="L78" t="s">
        <v>506</v>
      </c>
      <c r="M78" t="s">
        <v>118</v>
      </c>
    </row>
    <row r="79" spans="1:13" x14ac:dyDescent="0.35">
      <c r="A79" t="s">
        <v>93</v>
      </c>
      <c r="B79" t="s">
        <v>1</v>
      </c>
      <c r="C79" s="14">
        <v>13.94</v>
      </c>
      <c r="D79">
        <v>10</v>
      </c>
      <c r="E79">
        <v>66</v>
      </c>
      <c r="F79" t="s">
        <v>588</v>
      </c>
      <c r="G79" t="s">
        <v>590</v>
      </c>
      <c r="H79">
        <v>24</v>
      </c>
      <c r="I79">
        <v>2024</v>
      </c>
      <c r="J79" s="7">
        <v>0.35442129629629632</v>
      </c>
      <c r="K79" t="s">
        <v>382</v>
      </c>
      <c r="L79" t="s">
        <v>267</v>
      </c>
      <c r="M79" t="s">
        <v>118</v>
      </c>
    </row>
    <row r="80" spans="1:13" x14ac:dyDescent="0.35">
      <c r="A80" t="s">
        <v>233</v>
      </c>
      <c r="B80" t="s">
        <v>1</v>
      </c>
      <c r="C80" s="14">
        <v>13.95</v>
      </c>
      <c r="D80">
        <v>2</v>
      </c>
      <c r="E80">
        <v>41</v>
      </c>
      <c r="F80" t="s">
        <v>588</v>
      </c>
      <c r="G80" t="s">
        <v>590</v>
      </c>
      <c r="H80">
        <v>16</v>
      </c>
      <c r="I80">
        <v>2024</v>
      </c>
      <c r="J80" s="7">
        <v>0.11556712962962963</v>
      </c>
      <c r="K80" t="s">
        <v>358</v>
      </c>
      <c r="L80" t="s">
        <v>274</v>
      </c>
      <c r="M80" t="s">
        <v>118</v>
      </c>
    </row>
    <row r="81" spans="1:13" x14ac:dyDescent="0.35">
      <c r="A81" t="s">
        <v>134</v>
      </c>
      <c r="B81" t="s">
        <v>3</v>
      </c>
      <c r="C81" s="14">
        <v>13.97</v>
      </c>
      <c r="D81">
        <v>6</v>
      </c>
      <c r="E81">
        <v>957</v>
      </c>
      <c r="F81" t="s">
        <v>588</v>
      </c>
      <c r="G81" t="s">
        <v>590</v>
      </c>
      <c r="H81">
        <v>11</v>
      </c>
      <c r="I81">
        <v>2024</v>
      </c>
      <c r="J81" s="7">
        <v>0.98806712962962961</v>
      </c>
      <c r="K81" t="s">
        <v>291</v>
      </c>
      <c r="L81" t="s">
        <v>274</v>
      </c>
      <c r="M81" t="s">
        <v>118</v>
      </c>
    </row>
    <row r="82" spans="1:13" x14ac:dyDescent="0.35">
      <c r="A82" t="s">
        <v>187</v>
      </c>
      <c r="B82" t="s">
        <v>1</v>
      </c>
      <c r="C82" s="14">
        <v>13.99</v>
      </c>
      <c r="D82">
        <v>5</v>
      </c>
      <c r="E82">
        <v>290</v>
      </c>
      <c r="F82" t="s">
        <v>588</v>
      </c>
      <c r="G82" t="s">
        <v>590</v>
      </c>
      <c r="H82">
        <v>21</v>
      </c>
      <c r="I82">
        <v>2024</v>
      </c>
      <c r="J82" s="7">
        <v>0.80681712962962959</v>
      </c>
      <c r="K82" t="s">
        <v>281</v>
      </c>
      <c r="L82" t="s">
        <v>282</v>
      </c>
      <c r="M82" t="s">
        <v>118</v>
      </c>
    </row>
    <row r="83" spans="1:13" x14ac:dyDescent="0.35">
      <c r="A83" t="s">
        <v>2</v>
      </c>
      <c r="B83" t="s">
        <v>1</v>
      </c>
      <c r="C83" s="14">
        <v>13.99</v>
      </c>
      <c r="D83">
        <v>10</v>
      </c>
      <c r="E83">
        <v>8</v>
      </c>
      <c r="F83" t="s">
        <v>588</v>
      </c>
      <c r="G83" t="s">
        <v>591</v>
      </c>
      <c r="H83">
        <v>28</v>
      </c>
      <c r="I83">
        <v>2024</v>
      </c>
      <c r="J83" s="7">
        <v>0.84679398148148144</v>
      </c>
      <c r="K83" t="s">
        <v>271</v>
      </c>
      <c r="L83" t="s">
        <v>266</v>
      </c>
      <c r="M83" t="s">
        <v>118</v>
      </c>
    </row>
    <row r="84" spans="1:13" x14ac:dyDescent="0.35">
      <c r="A84" t="s">
        <v>2</v>
      </c>
      <c r="B84" t="s">
        <v>1</v>
      </c>
      <c r="C84" s="14">
        <v>13.99</v>
      </c>
      <c r="D84">
        <v>10</v>
      </c>
      <c r="E84">
        <v>9</v>
      </c>
      <c r="F84" t="s">
        <v>588</v>
      </c>
      <c r="G84" t="s">
        <v>591</v>
      </c>
      <c r="H84">
        <v>28</v>
      </c>
      <c r="I84">
        <v>2024</v>
      </c>
      <c r="J84" s="7">
        <v>0.84679398148148144</v>
      </c>
      <c r="K84" t="s">
        <v>271</v>
      </c>
      <c r="L84" t="s">
        <v>266</v>
      </c>
      <c r="M84" t="s">
        <v>118</v>
      </c>
    </row>
    <row r="85" spans="1:13" x14ac:dyDescent="0.35">
      <c r="A85" t="s">
        <v>60</v>
      </c>
      <c r="B85" t="s">
        <v>3</v>
      </c>
      <c r="C85" s="14">
        <v>14.57</v>
      </c>
      <c r="D85">
        <v>10</v>
      </c>
      <c r="E85">
        <v>63</v>
      </c>
      <c r="F85" t="s">
        <v>588</v>
      </c>
      <c r="G85" t="s">
        <v>590</v>
      </c>
      <c r="H85">
        <v>19</v>
      </c>
      <c r="I85">
        <v>2024</v>
      </c>
      <c r="J85" s="7">
        <v>0.51914351851851848</v>
      </c>
      <c r="K85" t="s">
        <v>291</v>
      </c>
      <c r="L85" t="s">
        <v>274</v>
      </c>
      <c r="M85" t="s">
        <v>118</v>
      </c>
    </row>
    <row r="86" spans="1:13" x14ac:dyDescent="0.35">
      <c r="A86" t="s">
        <v>2</v>
      </c>
      <c r="B86" t="s">
        <v>1</v>
      </c>
      <c r="C86" s="14">
        <v>14.6</v>
      </c>
      <c r="D86">
        <v>4</v>
      </c>
      <c r="E86">
        <v>94</v>
      </c>
      <c r="F86" t="s">
        <v>588</v>
      </c>
      <c r="G86" t="s">
        <v>590</v>
      </c>
      <c r="H86">
        <v>22</v>
      </c>
      <c r="I86">
        <v>2024</v>
      </c>
      <c r="J86" s="7">
        <v>0.97927083333333331</v>
      </c>
      <c r="K86" t="s">
        <v>365</v>
      </c>
      <c r="L86" t="s">
        <v>383</v>
      </c>
      <c r="M86" t="s">
        <v>537</v>
      </c>
    </row>
    <row r="87" spans="1:13" x14ac:dyDescent="0.35">
      <c r="A87" t="s">
        <v>215</v>
      </c>
      <c r="B87" t="s">
        <v>1</v>
      </c>
      <c r="C87" s="14">
        <v>14.7</v>
      </c>
      <c r="D87">
        <v>7</v>
      </c>
      <c r="E87">
        <v>119</v>
      </c>
      <c r="F87" t="s">
        <v>588</v>
      </c>
      <c r="G87" t="s">
        <v>591</v>
      </c>
      <c r="H87">
        <v>9</v>
      </c>
      <c r="I87">
        <v>2024</v>
      </c>
      <c r="J87" s="7">
        <v>0.24943287037037037</v>
      </c>
      <c r="K87" t="s">
        <v>321</v>
      </c>
      <c r="L87" t="s">
        <v>269</v>
      </c>
      <c r="M87" t="s">
        <v>118</v>
      </c>
    </row>
    <row r="88" spans="1:13" x14ac:dyDescent="0.35">
      <c r="A88" t="s">
        <v>17</v>
      </c>
      <c r="B88" t="s">
        <v>1</v>
      </c>
      <c r="C88" s="14">
        <v>14.95</v>
      </c>
      <c r="D88">
        <v>5</v>
      </c>
      <c r="E88">
        <v>79</v>
      </c>
      <c r="F88" t="s">
        <v>588</v>
      </c>
      <c r="G88" t="s">
        <v>590</v>
      </c>
      <c r="H88">
        <v>22</v>
      </c>
      <c r="I88">
        <v>2024</v>
      </c>
      <c r="J88" s="7">
        <v>0.16619212962962962</v>
      </c>
      <c r="K88" t="s">
        <v>358</v>
      </c>
      <c r="L88" t="s">
        <v>274</v>
      </c>
      <c r="M88" t="s">
        <v>118</v>
      </c>
    </row>
    <row r="89" spans="1:13" x14ac:dyDescent="0.35">
      <c r="A89" t="s">
        <v>131</v>
      </c>
      <c r="B89" t="s">
        <v>3</v>
      </c>
      <c r="C89" s="14">
        <v>14.98</v>
      </c>
      <c r="D89">
        <v>0</v>
      </c>
      <c r="E89">
        <v>206</v>
      </c>
      <c r="F89" t="s">
        <v>588</v>
      </c>
      <c r="G89" t="s">
        <v>591</v>
      </c>
      <c r="H89">
        <v>12</v>
      </c>
      <c r="I89">
        <v>2024</v>
      </c>
      <c r="J89" s="7">
        <v>0.66465277777777776</v>
      </c>
      <c r="K89" t="s">
        <v>324</v>
      </c>
      <c r="L89" t="s">
        <v>269</v>
      </c>
      <c r="M89" t="s">
        <v>118</v>
      </c>
    </row>
    <row r="90" spans="1:13" x14ac:dyDescent="0.35">
      <c r="A90" t="s">
        <v>71</v>
      </c>
      <c r="B90" t="s">
        <v>3</v>
      </c>
      <c r="C90" s="14">
        <v>14.98</v>
      </c>
      <c r="D90">
        <v>6</v>
      </c>
      <c r="E90">
        <v>418</v>
      </c>
      <c r="F90" t="s">
        <v>588</v>
      </c>
      <c r="G90" t="s">
        <v>590</v>
      </c>
      <c r="H90">
        <v>24</v>
      </c>
      <c r="I90">
        <v>2024</v>
      </c>
      <c r="J90" s="7">
        <v>0.40061342592592591</v>
      </c>
      <c r="K90" t="s">
        <v>290</v>
      </c>
      <c r="L90" t="s">
        <v>506</v>
      </c>
      <c r="M90" t="s">
        <v>118</v>
      </c>
    </row>
    <row r="91" spans="1:13" x14ac:dyDescent="0.35">
      <c r="A91" t="s">
        <v>6</v>
      </c>
      <c r="B91" t="s">
        <v>1</v>
      </c>
      <c r="C91" s="14">
        <v>14.99</v>
      </c>
      <c r="D91">
        <v>10</v>
      </c>
      <c r="E91">
        <v>79</v>
      </c>
      <c r="F91" t="s">
        <v>588</v>
      </c>
      <c r="G91" t="s">
        <v>590</v>
      </c>
      <c r="H91">
        <v>23</v>
      </c>
      <c r="I91">
        <v>2024</v>
      </c>
      <c r="J91" s="7">
        <v>0.2900578703703704</v>
      </c>
      <c r="K91" t="s">
        <v>273</v>
      </c>
      <c r="L91" t="s">
        <v>274</v>
      </c>
      <c r="M91" t="s">
        <v>118</v>
      </c>
    </row>
    <row r="92" spans="1:13" x14ac:dyDescent="0.35">
      <c r="A92" t="s">
        <v>30</v>
      </c>
      <c r="B92" t="s">
        <v>3</v>
      </c>
      <c r="C92" s="14">
        <v>14.99</v>
      </c>
      <c r="D92">
        <v>2</v>
      </c>
      <c r="E92">
        <v>291</v>
      </c>
      <c r="F92" t="s">
        <v>588</v>
      </c>
      <c r="G92" t="s">
        <v>590</v>
      </c>
      <c r="H92">
        <v>23</v>
      </c>
      <c r="I92">
        <v>2024</v>
      </c>
      <c r="J92" s="7">
        <v>0.4314351851851852</v>
      </c>
      <c r="K92" t="s">
        <v>302</v>
      </c>
      <c r="L92" t="s">
        <v>266</v>
      </c>
      <c r="M92" t="s">
        <v>118</v>
      </c>
    </row>
    <row r="93" spans="1:13" x14ac:dyDescent="0.35">
      <c r="A93" t="s">
        <v>2</v>
      </c>
      <c r="B93" t="s">
        <v>1</v>
      </c>
      <c r="C93" s="14">
        <v>14.99</v>
      </c>
      <c r="D93">
        <v>12</v>
      </c>
      <c r="E93">
        <v>172</v>
      </c>
      <c r="F93" t="s">
        <v>588</v>
      </c>
      <c r="G93" t="s">
        <v>590</v>
      </c>
      <c r="H93">
        <v>24</v>
      </c>
      <c r="I93">
        <v>2024</v>
      </c>
      <c r="J93" s="7">
        <v>0.42787037037037035</v>
      </c>
      <c r="K93" t="s">
        <v>512</v>
      </c>
      <c r="L93" t="s">
        <v>506</v>
      </c>
      <c r="M93" t="s">
        <v>118</v>
      </c>
    </row>
    <row r="94" spans="1:13" x14ac:dyDescent="0.35">
      <c r="A94" t="s">
        <v>2</v>
      </c>
      <c r="B94" t="s">
        <v>1</v>
      </c>
      <c r="C94" s="14">
        <v>14.99</v>
      </c>
      <c r="D94">
        <v>10</v>
      </c>
      <c r="E94">
        <v>358</v>
      </c>
      <c r="F94" t="s">
        <v>588</v>
      </c>
      <c r="G94" t="s">
        <v>590</v>
      </c>
      <c r="H94">
        <v>24</v>
      </c>
      <c r="I94">
        <v>2024</v>
      </c>
      <c r="J94" s="7">
        <v>0.41405092592592591</v>
      </c>
      <c r="K94" t="s">
        <v>273</v>
      </c>
      <c r="L94" t="s">
        <v>274</v>
      </c>
      <c r="M94" t="s">
        <v>118</v>
      </c>
    </row>
    <row r="95" spans="1:13" x14ac:dyDescent="0.35">
      <c r="A95" t="s">
        <v>37</v>
      </c>
      <c r="B95" t="s">
        <v>3</v>
      </c>
      <c r="C95" s="14">
        <v>14.99</v>
      </c>
      <c r="D95">
        <v>10</v>
      </c>
      <c r="E95">
        <v>72</v>
      </c>
      <c r="F95" t="s">
        <v>588</v>
      </c>
      <c r="G95" t="s">
        <v>590</v>
      </c>
      <c r="H95">
        <v>11</v>
      </c>
      <c r="I95">
        <v>2024</v>
      </c>
      <c r="J95" s="7">
        <v>0.31792824074074072</v>
      </c>
      <c r="K95" t="s">
        <v>425</v>
      </c>
      <c r="L95" t="s">
        <v>426</v>
      </c>
      <c r="M95" t="s">
        <v>118</v>
      </c>
    </row>
    <row r="96" spans="1:13" x14ac:dyDescent="0.35">
      <c r="A96" t="s">
        <v>220</v>
      </c>
      <c r="B96" t="s">
        <v>1</v>
      </c>
      <c r="C96" s="14">
        <v>14.99</v>
      </c>
      <c r="D96">
        <v>6</v>
      </c>
      <c r="E96">
        <v>20</v>
      </c>
      <c r="F96" t="s">
        <v>588</v>
      </c>
      <c r="G96" t="s">
        <v>590</v>
      </c>
      <c r="H96">
        <v>18</v>
      </c>
      <c r="I96">
        <v>2024</v>
      </c>
      <c r="J96" s="7">
        <v>0.66151620370370368</v>
      </c>
      <c r="K96" t="s">
        <v>490</v>
      </c>
      <c r="L96" t="s">
        <v>282</v>
      </c>
      <c r="M96" t="s">
        <v>118</v>
      </c>
    </row>
    <row r="97" spans="1:13" x14ac:dyDescent="0.35">
      <c r="A97" t="s">
        <v>155</v>
      </c>
      <c r="B97" t="s">
        <v>37</v>
      </c>
      <c r="C97" s="14">
        <v>14.99</v>
      </c>
      <c r="D97">
        <v>9</v>
      </c>
      <c r="E97">
        <v>647</v>
      </c>
      <c r="F97" t="s">
        <v>588</v>
      </c>
      <c r="G97" t="s">
        <v>593</v>
      </c>
      <c r="H97">
        <v>16</v>
      </c>
      <c r="I97">
        <v>2024</v>
      </c>
      <c r="J97" s="7">
        <v>0.85663194444444446</v>
      </c>
      <c r="K97" t="s">
        <v>382</v>
      </c>
      <c r="L97" t="s">
        <v>286</v>
      </c>
      <c r="M97" t="s">
        <v>118</v>
      </c>
    </row>
    <row r="98" spans="1:13" x14ac:dyDescent="0.35">
      <c r="A98" t="s">
        <v>46</v>
      </c>
      <c r="B98" t="s">
        <v>1</v>
      </c>
      <c r="C98" s="14">
        <v>15</v>
      </c>
      <c r="D98">
        <v>2</v>
      </c>
      <c r="E98">
        <v>12</v>
      </c>
      <c r="F98" t="s">
        <v>588</v>
      </c>
      <c r="G98" t="s">
        <v>590</v>
      </c>
      <c r="H98">
        <v>19</v>
      </c>
      <c r="I98">
        <v>2024</v>
      </c>
      <c r="J98" s="7">
        <v>0.97914351851851855</v>
      </c>
      <c r="K98" t="s">
        <v>335</v>
      </c>
      <c r="L98" t="s">
        <v>282</v>
      </c>
      <c r="M98" t="s">
        <v>118</v>
      </c>
    </row>
    <row r="99" spans="1:13" x14ac:dyDescent="0.35">
      <c r="A99" t="s">
        <v>48</v>
      </c>
      <c r="B99" t="s">
        <v>3</v>
      </c>
      <c r="C99" s="14">
        <v>15</v>
      </c>
      <c r="D99">
        <v>21</v>
      </c>
      <c r="E99">
        <v>3</v>
      </c>
      <c r="F99" t="s">
        <v>588</v>
      </c>
      <c r="G99" t="s">
        <v>590</v>
      </c>
      <c r="H99">
        <v>9</v>
      </c>
      <c r="I99">
        <v>2024</v>
      </c>
      <c r="J99" s="7">
        <v>0.88465277777777773</v>
      </c>
      <c r="K99" t="s">
        <v>273</v>
      </c>
      <c r="L99" t="s">
        <v>274</v>
      </c>
      <c r="M99" t="s">
        <v>118</v>
      </c>
    </row>
    <row r="100" spans="1:13" x14ac:dyDescent="0.35">
      <c r="A100" t="s">
        <v>5</v>
      </c>
      <c r="B100" t="s">
        <v>1</v>
      </c>
      <c r="C100" s="14">
        <v>15.03</v>
      </c>
      <c r="D100">
        <v>10</v>
      </c>
      <c r="E100">
        <v>44</v>
      </c>
      <c r="F100" t="s">
        <v>588</v>
      </c>
      <c r="G100" t="s">
        <v>590</v>
      </c>
      <c r="H100">
        <v>24</v>
      </c>
      <c r="I100">
        <v>2024</v>
      </c>
      <c r="J100" s="7">
        <v>0.21001157407407409</v>
      </c>
      <c r="K100" t="s">
        <v>509</v>
      </c>
      <c r="L100" t="s">
        <v>505</v>
      </c>
      <c r="M100" t="s">
        <v>118</v>
      </c>
    </row>
    <row r="101" spans="1:13" x14ac:dyDescent="0.35">
      <c r="A101" t="s">
        <v>151</v>
      </c>
      <c r="B101" t="s">
        <v>3</v>
      </c>
      <c r="C101" s="14">
        <v>15.39</v>
      </c>
      <c r="D101">
        <v>10</v>
      </c>
      <c r="E101">
        <v>1</v>
      </c>
      <c r="F101" t="s">
        <v>588</v>
      </c>
      <c r="G101" t="s">
        <v>590</v>
      </c>
      <c r="H101">
        <v>22</v>
      </c>
      <c r="I101">
        <v>2024</v>
      </c>
      <c r="J101" s="7">
        <v>0.82109953703703709</v>
      </c>
      <c r="K101" t="s">
        <v>273</v>
      </c>
      <c r="L101" t="s">
        <v>274</v>
      </c>
      <c r="M101" t="s">
        <v>118</v>
      </c>
    </row>
    <row r="102" spans="1:13" x14ac:dyDescent="0.35">
      <c r="A102" t="s">
        <v>60</v>
      </c>
      <c r="B102" t="s">
        <v>3</v>
      </c>
      <c r="C102" s="14">
        <v>15.4</v>
      </c>
      <c r="D102">
        <v>0</v>
      </c>
      <c r="E102">
        <v>3942</v>
      </c>
      <c r="F102" t="s">
        <v>589</v>
      </c>
      <c r="G102" t="s">
        <v>590</v>
      </c>
      <c r="H102">
        <v>21</v>
      </c>
      <c r="I102">
        <v>2024</v>
      </c>
      <c r="J102" s="7">
        <v>0.8396527777777778</v>
      </c>
      <c r="K102" t="s">
        <v>291</v>
      </c>
      <c r="L102" t="s">
        <v>274</v>
      </c>
      <c r="M102" t="s">
        <v>118</v>
      </c>
    </row>
    <row r="103" spans="1:13" x14ac:dyDescent="0.35">
      <c r="A103" t="s">
        <v>110</v>
      </c>
      <c r="B103" t="s">
        <v>37</v>
      </c>
      <c r="C103" s="14">
        <v>15.51</v>
      </c>
      <c r="D103">
        <v>10</v>
      </c>
      <c r="E103">
        <v>4443</v>
      </c>
      <c r="F103" t="s">
        <v>589</v>
      </c>
      <c r="G103" t="s">
        <v>590</v>
      </c>
      <c r="H103">
        <v>21</v>
      </c>
      <c r="I103">
        <v>2024</v>
      </c>
      <c r="J103" s="7">
        <v>0.26535879629629627</v>
      </c>
      <c r="K103" t="s">
        <v>291</v>
      </c>
      <c r="L103" t="s">
        <v>274</v>
      </c>
      <c r="M103" t="s">
        <v>118</v>
      </c>
    </row>
    <row r="104" spans="1:13" x14ac:dyDescent="0.35">
      <c r="A104" t="s">
        <v>60</v>
      </c>
      <c r="B104" t="s">
        <v>3</v>
      </c>
      <c r="C104" s="14">
        <v>15.65</v>
      </c>
      <c r="D104">
        <v>7</v>
      </c>
      <c r="E104">
        <v>2777</v>
      </c>
      <c r="F104" t="s">
        <v>589</v>
      </c>
      <c r="G104" t="s">
        <v>590</v>
      </c>
      <c r="H104">
        <v>21</v>
      </c>
      <c r="I104">
        <v>2024</v>
      </c>
      <c r="J104" s="7">
        <v>0.41674768518518518</v>
      </c>
      <c r="K104" t="s">
        <v>291</v>
      </c>
      <c r="L104" t="s">
        <v>274</v>
      </c>
      <c r="M104" t="s">
        <v>118</v>
      </c>
    </row>
    <row r="105" spans="1:13" x14ac:dyDescent="0.35">
      <c r="A105" t="s">
        <v>2</v>
      </c>
      <c r="B105" t="s">
        <v>1</v>
      </c>
      <c r="C105" s="14">
        <v>15.89</v>
      </c>
      <c r="D105">
        <v>4</v>
      </c>
      <c r="E105">
        <v>17</v>
      </c>
      <c r="F105" t="s">
        <v>588</v>
      </c>
      <c r="G105" t="s">
        <v>590</v>
      </c>
      <c r="H105">
        <v>24</v>
      </c>
      <c r="I105">
        <v>2024</v>
      </c>
      <c r="J105" s="7">
        <v>0.38071759259259258</v>
      </c>
      <c r="K105" t="s">
        <v>541</v>
      </c>
      <c r="L105" t="s">
        <v>277</v>
      </c>
      <c r="M105" t="s">
        <v>536</v>
      </c>
    </row>
    <row r="106" spans="1:13" x14ac:dyDescent="0.35">
      <c r="A106" t="s">
        <v>2</v>
      </c>
      <c r="B106" t="s">
        <v>1</v>
      </c>
      <c r="C106" s="14">
        <v>15.89</v>
      </c>
      <c r="D106">
        <v>2</v>
      </c>
      <c r="E106">
        <v>8</v>
      </c>
      <c r="F106" t="s">
        <v>588</v>
      </c>
      <c r="G106" t="s">
        <v>590</v>
      </c>
      <c r="H106">
        <v>22</v>
      </c>
      <c r="I106">
        <v>2024</v>
      </c>
      <c r="J106" s="7">
        <v>0.94046296296296295</v>
      </c>
      <c r="K106" t="s">
        <v>541</v>
      </c>
      <c r="L106" t="s">
        <v>277</v>
      </c>
      <c r="M106" t="s">
        <v>333</v>
      </c>
    </row>
    <row r="107" spans="1:13" x14ac:dyDescent="0.35">
      <c r="A107" t="s">
        <v>2</v>
      </c>
      <c r="B107" t="s">
        <v>1</v>
      </c>
      <c r="C107" s="14">
        <v>15.89</v>
      </c>
      <c r="D107">
        <v>0</v>
      </c>
      <c r="E107">
        <v>8</v>
      </c>
      <c r="F107" t="s">
        <v>588</v>
      </c>
      <c r="G107" t="s">
        <v>590</v>
      </c>
      <c r="H107">
        <v>24</v>
      </c>
      <c r="I107">
        <v>2024</v>
      </c>
      <c r="J107" s="7">
        <v>0.38075231481481481</v>
      </c>
      <c r="K107" t="s">
        <v>541</v>
      </c>
      <c r="L107" t="s">
        <v>277</v>
      </c>
      <c r="M107" t="s">
        <v>118</v>
      </c>
    </row>
    <row r="108" spans="1:13" x14ac:dyDescent="0.35">
      <c r="A108" t="s">
        <v>228</v>
      </c>
      <c r="B108" t="s">
        <v>105</v>
      </c>
      <c r="C108" s="14">
        <v>15.95</v>
      </c>
      <c r="D108">
        <v>3</v>
      </c>
      <c r="E108">
        <v>257</v>
      </c>
      <c r="F108" t="s">
        <v>588</v>
      </c>
      <c r="G108" t="s">
        <v>592</v>
      </c>
      <c r="H108">
        <v>24</v>
      </c>
      <c r="I108">
        <v>2024</v>
      </c>
      <c r="J108" s="7">
        <v>0.32083333333333336</v>
      </c>
      <c r="K108" t="s">
        <v>418</v>
      </c>
      <c r="L108" t="s">
        <v>505</v>
      </c>
      <c r="M108" t="s">
        <v>118</v>
      </c>
    </row>
    <row r="109" spans="1:13" x14ac:dyDescent="0.35">
      <c r="A109" t="s">
        <v>70</v>
      </c>
      <c r="B109" t="s">
        <v>1</v>
      </c>
      <c r="C109" s="14">
        <v>15.95</v>
      </c>
      <c r="D109">
        <v>3</v>
      </c>
      <c r="E109">
        <v>30</v>
      </c>
      <c r="F109" t="s">
        <v>588</v>
      </c>
      <c r="G109" t="s">
        <v>593</v>
      </c>
      <c r="H109">
        <v>26</v>
      </c>
      <c r="I109">
        <v>2024</v>
      </c>
      <c r="J109" s="7">
        <v>0.52312499999999995</v>
      </c>
      <c r="K109" t="s">
        <v>517</v>
      </c>
      <c r="L109" t="s">
        <v>282</v>
      </c>
      <c r="M109" t="s">
        <v>118</v>
      </c>
    </row>
    <row r="110" spans="1:13" x14ac:dyDescent="0.35">
      <c r="A110" t="s">
        <v>187</v>
      </c>
      <c r="B110" t="s">
        <v>1</v>
      </c>
      <c r="C110" s="14">
        <v>15.99</v>
      </c>
      <c r="D110">
        <v>10</v>
      </c>
      <c r="E110">
        <v>889</v>
      </c>
      <c r="F110" t="s">
        <v>588</v>
      </c>
      <c r="G110" t="s">
        <v>590</v>
      </c>
      <c r="H110">
        <v>21</v>
      </c>
      <c r="I110">
        <v>2024</v>
      </c>
      <c r="J110" s="7">
        <v>0.80569444444444449</v>
      </c>
      <c r="K110" t="s">
        <v>281</v>
      </c>
      <c r="L110" t="s">
        <v>282</v>
      </c>
      <c r="M110" t="s">
        <v>118</v>
      </c>
    </row>
    <row r="111" spans="1:13" x14ac:dyDescent="0.35">
      <c r="A111" t="s">
        <v>2</v>
      </c>
      <c r="B111" t="s">
        <v>1</v>
      </c>
      <c r="C111" s="14">
        <v>15.99</v>
      </c>
      <c r="D111">
        <v>9</v>
      </c>
      <c r="E111">
        <v>594</v>
      </c>
      <c r="F111" t="s">
        <v>588</v>
      </c>
      <c r="G111" t="s">
        <v>590</v>
      </c>
      <c r="H111">
        <v>24</v>
      </c>
      <c r="I111">
        <v>2024</v>
      </c>
      <c r="J111" s="7">
        <v>0.38349537037037035</v>
      </c>
      <c r="K111" t="s">
        <v>273</v>
      </c>
      <c r="L111" t="s">
        <v>274</v>
      </c>
      <c r="M111" t="s">
        <v>118</v>
      </c>
    </row>
    <row r="112" spans="1:13" x14ac:dyDescent="0.35">
      <c r="A112" t="s">
        <v>2</v>
      </c>
      <c r="B112" t="s">
        <v>1</v>
      </c>
      <c r="C112" s="14">
        <v>15.99</v>
      </c>
      <c r="D112">
        <v>8</v>
      </c>
      <c r="E112">
        <v>14</v>
      </c>
      <c r="F112" t="s">
        <v>588</v>
      </c>
      <c r="G112" t="s">
        <v>590</v>
      </c>
      <c r="H112">
        <v>24</v>
      </c>
      <c r="I112">
        <v>2024</v>
      </c>
      <c r="J112" s="7">
        <v>7.4016203703703709E-2</v>
      </c>
      <c r="K112" t="s">
        <v>273</v>
      </c>
      <c r="L112" t="s">
        <v>274</v>
      </c>
      <c r="M112" t="s">
        <v>118</v>
      </c>
    </row>
    <row r="113" spans="1:13" x14ac:dyDescent="0.35">
      <c r="A113" t="s">
        <v>2</v>
      </c>
      <c r="B113" t="s">
        <v>239</v>
      </c>
      <c r="C113" s="14">
        <v>15.99</v>
      </c>
      <c r="D113">
        <v>4</v>
      </c>
      <c r="E113">
        <v>62</v>
      </c>
      <c r="F113" t="s">
        <v>588</v>
      </c>
      <c r="G113" t="s">
        <v>590</v>
      </c>
      <c r="H113">
        <v>21</v>
      </c>
      <c r="I113">
        <v>2024</v>
      </c>
      <c r="J113" s="7">
        <v>0.81417824074074074</v>
      </c>
      <c r="K113" t="s">
        <v>335</v>
      </c>
      <c r="L113" t="s">
        <v>282</v>
      </c>
      <c r="M113" t="s">
        <v>118</v>
      </c>
    </row>
    <row r="114" spans="1:13" x14ac:dyDescent="0.35">
      <c r="A114" t="s">
        <v>4</v>
      </c>
      <c r="B114" t="s">
        <v>1</v>
      </c>
      <c r="C114" s="14">
        <v>15.99</v>
      </c>
      <c r="D114">
        <v>0</v>
      </c>
      <c r="E114">
        <v>20</v>
      </c>
      <c r="F114" t="s">
        <v>588</v>
      </c>
      <c r="G114" t="s">
        <v>239</v>
      </c>
      <c r="H114">
        <v>0</v>
      </c>
      <c r="I114">
        <v>0</v>
      </c>
      <c r="J114" s="7">
        <v>0</v>
      </c>
      <c r="K114" t="s">
        <v>370</v>
      </c>
      <c r="L114" t="s">
        <v>315</v>
      </c>
      <c r="M114" t="s">
        <v>118</v>
      </c>
    </row>
    <row r="115" spans="1:13" x14ac:dyDescent="0.35">
      <c r="A115" t="s">
        <v>70</v>
      </c>
      <c r="B115" t="s">
        <v>1</v>
      </c>
      <c r="C115" s="14">
        <v>15.99</v>
      </c>
      <c r="D115">
        <v>5</v>
      </c>
      <c r="E115">
        <v>655</v>
      </c>
      <c r="F115" t="s">
        <v>588</v>
      </c>
      <c r="G115" t="s">
        <v>590</v>
      </c>
      <c r="H115">
        <v>19</v>
      </c>
      <c r="I115">
        <v>2024</v>
      </c>
      <c r="J115" s="7">
        <v>0.35921296296296296</v>
      </c>
      <c r="K115" t="s">
        <v>506</v>
      </c>
      <c r="L115" t="s">
        <v>505</v>
      </c>
      <c r="M115" t="s">
        <v>118</v>
      </c>
    </row>
    <row r="116" spans="1:13" x14ac:dyDescent="0.35">
      <c r="A116" t="s">
        <v>2</v>
      </c>
      <c r="B116" t="s">
        <v>1</v>
      </c>
      <c r="C116" s="14">
        <v>15.99</v>
      </c>
      <c r="D116">
        <v>0</v>
      </c>
      <c r="E116">
        <v>7</v>
      </c>
      <c r="F116" t="s">
        <v>588</v>
      </c>
      <c r="G116" t="s">
        <v>590</v>
      </c>
      <c r="H116">
        <v>22</v>
      </c>
      <c r="I116">
        <v>2024</v>
      </c>
      <c r="J116" s="7">
        <v>0.79259259259259263</v>
      </c>
      <c r="K116" t="s">
        <v>273</v>
      </c>
      <c r="L116" t="s">
        <v>274</v>
      </c>
      <c r="M116" t="s">
        <v>118</v>
      </c>
    </row>
    <row r="117" spans="1:13" x14ac:dyDescent="0.35">
      <c r="A117" t="s">
        <v>2</v>
      </c>
      <c r="B117" t="s">
        <v>1</v>
      </c>
      <c r="C117" s="14">
        <v>15.99</v>
      </c>
      <c r="D117">
        <v>5</v>
      </c>
      <c r="E117">
        <v>136</v>
      </c>
      <c r="F117" t="s">
        <v>588</v>
      </c>
      <c r="G117" t="s">
        <v>590</v>
      </c>
      <c r="H117">
        <v>23</v>
      </c>
      <c r="I117">
        <v>2024</v>
      </c>
      <c r="J117" s="7">
        <v>0.61081018518518515</v>
      </c>
      <c r="K117" t="s">
        <v>273</v>
      </c>
      <c r="L117" t="s">
        <v>274</v>
      </c>
      <c r="M117" t="s">
        <v>118</v>
      </c>
    </row>
    <row r="118" spans="1:13" x14ac:dyDescent="0.35">
      <c r="A118" t="s">
        <v>114</v>
      </c>
      <c r="B118" t="s">
        <v>3</v>
      </c>
      <c r="C118" s="14">
        <v>15.99</v>
      </c>
      <c r="D118">
        <v>10</v>
      </c>
      <c r="E118">
        <v>78</v>
      </c>
      <c r="F118" t="s">
        <v>588</v>
      </c>
      <c r="G118" t="s">
        <v>590</v>
      </c>
      <c r="H118">
        <v>23</v>
      </c>
      <c r="I118">
        <v>2024</v>
      </c>
      <c r="J118" s="7">
        <v>0.73283564814814817</v>
      </c>
      <c r="K118" t="s">
        <v>506</v>
      </c>
      <c r="L118" t="s">
        <v>118</v>
      </c>
      <c r="M118" t="s">
        <v>333</v>
      </c>
    </row>
    <row r="119" spans="1:13" x14ac:dyDescent="0.35">
      <c r="A119" t="s">
        <v>231</v>
      </c>
      <c r="B119" t="s">
        <v>1</v>
      </c>
      <c r="C119" s="14">
        <v>15.99</v>
      </c>
      <c r="D119">
        <v>9</v>
      </c>
      <c r="E119">
        <v>91</v>
      </c>
      <c r="F119" t="s">
        <v>588</v>
      </c>
      <c r="G119" t="s">
        <v>590</v>
      </c>
      <c r="H119">
        <v>11</v>
      </c>
      <c r="I119">
        <v>2024</v>
      </c>
      <c r="J119" s="7">
        <v>0.40074074074074073</v>
      </c>
      <c r="K119" t="s">
        <v>506</v>
      </c>
      <c r="L119" t="s">
        <v>505</v>
      </c>
      <c r="M119" t="s">
        <v>118</v>
      </c>
    </row>
    <row r="120" spans="1:13" x14ac:dyDescent="0.35">
      <c r="A120" t="s">
        <v>8</v>
      </c>
      <c r="B120" t="s">
        <v>1</v>
      </c>
      <c r="C120" s="14">
        <v>15.99</v>
      </c>
      <c r="D120">
        <v>0</v>
      </c>
      <c r="E120">
        <v>196</v>
      </c>
      <c r="F120" t="s">
        <v>588</v>
      </c>
      <c r="G120" t="s">
        <v>590</v>
      </c>
      <c r="H120">
        <v>19</v>
      </c>
      <c r="I120">
        <v>2024</v>
      </c>
      <c r="J120" s="7">
        <v>0.6967592592592593</v>
      </c>
      <c r="K120" t="s">
        <v>527</v>
      </c>
      <c r="L120" t="s">
        <v>505</v>
      </c>
      <c r="M120" t="s">
        <v>118</v>
      </c>
    </row>
    <row r="121" spans="1:13" x14ac:dyDescent="0.35">
      <c r="A121" t="s">
        <v>2</v>
      </c>
      <c r="B121" t="s">
        <v>1</v>
      </c>
      <c r="C121" s="14">
        <v>15.99</v>
      </c>
      <c r="D121">
        <v>3</v>
      </c>
      <c r="E121">
        <v>65</v>
      </c>
      <c r="F121" t="s">
        <v>588</v>
      </c>
      <c r="G121" t="s">
        <v>590</v>
      </c>
      <c r="H121">
        <v>22</v>
      </c>
      <c r="I121">
        <v>2024</v>
      </c>
      <c r="J121" s="7">
        <v>0.58929398148148149</v>
      </c>
      <c r="K121" t="s">
        <v>273</v>
      </c>
      <c r="L121" t="s">
        <v>274</v>
      </c>
      <c r="M121" t="s">
        <v>118</v>
      </c>
    </row>
    <row r="122" spans="1:13" x14ac:dyDescent="0.35">
      <c r="A122" t="s">
        <v>2</v>
      </c>
      <c r="B122" t="s">
        <v>1</v>
      </c>
      <c r="C122" s="14">
        <v>15.99</v>
      </c>
      <c r="D122">
        <v>10</v>
      </c>
      <c r="E122">
        <v>45</v>
      </c>
      <c r="F122" t="s">
        <v>588</v>
      </c>
      <c r="G122" t="s">
        <v>590</v>
      </c>
      <c r="H122">
        <v>23</v>
      </c>
      <c r="I122">
        <v>2024</v>
      </c>
      <c r="J122" s="7">
        <v>0.82956018518518515</v>
      </c>
      <c r="K122" t="s">
        <v>273</v>
      </c>
      <c r="L122" t="s">
        <v>274</v>
      </c>
      <c r="M122" t="s">
        <v>118</v>
      </c>
    </row>
    <row r="123" spans="1:13" x14ac:dyDescent="0.35">
      <c r="A123" t="s">
        <v>2</v>
      </c>
      <c r="B123" t="s">
        <v>1</v>
      </c>
      <c r="C123" s="14">
        <v>15.99</v>
      </c>
      <c r="D123">
        <v>10</v>
      </c>
      <c r="E123">
        <v>81</v>
      </c>
      <c r="F123" t="s">
        <v>588</v>
      </c>
      <c r="G123" t="s">
        <v>590</v>
      </c>
      <c r="H123">
        <v>24</v>
      </c>
      <c r="I123">
        <v>2024</v>
      </c>
      <c r="J123" s="7">
        <v>0.37030092592592595</v>
      </c>
      <c r="K123" t="s">
        <v>273</v>
      </c>
      <c r="L123" t="s">
        <v>274</v>
      </c>
      <c r="M123" t="s">
        <v>118</v>
      </c>
    </row>
    <row r="124" spans="1:13" x14ac:dyDescent="0.35">
      <c r="A124" t="s">
        <v>17</v>
      </c>
      <c r="B124" t="s">
        <v>1</v>
      </c>
      <c r="C124" s="14">
        <v>16</v>
      </c>
      <c r="D124">
        <v>6</v>
      </c>
      <c r="E124">
        <v>41</v>
      </c>
      <c r="F124" t="s">
        <v>588</v>
      </c>
      <c r="G124" t="s">
        <v>239</v>
      </c>
      <c r="H124">
        <v>0</v>
      </c>
      <c r="I124">
        <v>0</v>
      </c>
      <c r="J124" s="7">
        <v>0</v>
      </c>
      <c r="K124" t="s">
        <v>514</v>
      </c>
      <c r="L124" t="s">
        <v>505</v>
      </c>
      <c r="M124" t="s">
        <v>118</v>
      </c>
    </row>
    <row r="125" spans="1:13" x14ac:dyDescent="0.35">
      <c r="A125" t="s">
        <v>244</v>
      </c>
      <c r="B125" t="s">
        <v>3</v>
      </c>
      <c r="C125" s="14">
        <v>16.04</v>
      </c>
      <c r="D125">
        <v>8</v>
      </c>
      <c r="E125">
        <v>2817</v>
      </c>
      <c r="F125" t="s">
        <v>589</v>
      </c>
      <c r="G125" t="s">
        <v>590</v>
      </c>
      <c r="H125">
        <v>22</v>
      </c>
      <c r="I125">
        <v>2024</v>
      </c>
      <c r="J125" s="7">
        <v>0.53487268518518516</v>
      </c>
      <c r="K125" t="s">
        <v>291</v>
      </c>
      <c r="L125" t="s">
        <v>274</v>
      </c>
      <c r="M125" t="s">
        <v>118</v>
      </c>
    </row>
    <row r="126" spans="1:13" x14ac:dyDescent="0.35">
      <c r="A126" t="s">
        <v>21</v>
      </c>
      <c r="B126" t="s">
        <v>3</v>
      </c>
      <c r="C126" s="14">
        <v>16.260000000000002</v>
      </c>
      <c r="D126">
        <v>10</v>
      </c>
      <c r="E126">
        <v>644</v>
      </c>
      <c r="F126" t="s">
        <v>588</v>
      </c>
      <c r="G126" t="s">
        <v>590</v>
      </c>
      <c r="H126">
        <v>20</v>
      </c>
      <c r="I126">
        <v>2024</v>
      </c>
      <c r="J126" s="7">
        <v>0.33285879629629628</v>
      </c>
      <c r="K126" t="s">
        <v>291</v>
      </c>
      <c r="L126" t="s">
        <v>274</v>
      </c>
      <c r="M126" t="s">
        <v>118</v>
      </c>
    </row>
    <row r="127" spans="1:13" x14ac:dyDescent="0.35">
      <c r="A127" t="s">
        <v>239</v>
      </c>
      <c r="B127" t="s">
        <v>239</v>
      </c>
      <c r="C127" s="14">
        <v>16.34</v>
      </c>
      <c r="D127">
        <v>10</v>
      </c>
      <c r="E127">
        <v>103</v>
      </c>
      <c r="F127" t="s">
        <v>588</v>
      </c>
      <c r="G127" t="s">
        <v>590</v>
      </c>
      <c r="H127">
        <v>23</v>
      </c>
      <c r="I127">
        <v>2024</v>
      </c>
      <c r="J127" s="7">
        <v>0.57388888888888889</v>
      </c>
      <c r="K127" t="s">
        <v>479</v>
      </c>
      <c r="L127" t="s">
        <v>274</v>
      </c>
      <c r="M127" t="s">
        <v>118</v>
      </c>
    </row>
    <row r="128" spans="1:13" x14ac:dyDescent="0.35">
      <c r="A128" t="s">
        <v>77</v>
      </c>
      <c r="B128" t="s">
        <v>3</v>
      </c>
      <c r="C128" s="14">
        <v>16.39</v>
      </c>
      <c r="D128">
        <v>9</v>
      </c>
      <c r="E128">
        <v>1630</v>
      </c>
      <c r="F128" t="s">
        <v>589</v>
      </c>
      <c r="G128" t="s">
        <v>590</v>
      </c>
      <c r="H128">
        <v>24</v>
      </c>
      <c r="I128">
        <v>2024</v>
      </c>
      <c r="J128" s="7">
        <v>0.42925925925925928</v>
      </c>
      <c r="K128" t="s">
        <v>291</v>
      </c>
      <c r="L128" t="s">
        <v>274</v>
      </c>
      <c r="M128" t="s">
        <v>118</v>
      </c>
    </row>
    <row r="129" spans="1:13" x14ac:dyDescent="0.35">
      <c r="A129" t="s">
        <v>13</v>
      </c>
      <c r="B129" t="s">
        <v>3</v>
      </c>
      <c r="C129" s="14">
        <v>16.48</v>
      </c>
      <c r="D129">
        <v>9</v>
      </c>
      <c r="E129">
        <v>16</v>
      </c>
      <c r="F129" t="s">
        <v>588</v>
      </c>
      <c r="G129" t="s">
        <v>590</v>
      </c>
      <c r="H129">
        <v>16</v>
      </c>
      <c r="I129">
        <v>2024</v>
      </c>
      <c r="J129" s="7">
        <v>0.68797453703703704</v>
      </c>
      <c r="K129" t="s">
        <v>385</v>
      </c>
      <c r="L129" t="s">
        <v>269</v>
      </c>
      <c r="M129" t="s">
        <v>118</v>
      </c>
    </row>
    <row r="130" spans="1:13" x14ac:dyDescent="0.35">
      <c r="A130" t="s">
        <v>53</v>
      </c>
      <c r="B130" t="s">
        <v>3</v>
      </c>
      <c r="C130" s="14">
        <v>16.48</v>
      </c>
      <c r="D130">
        <v>3</v>
      </c>
      <c r="E130">
        <v>24</v>
      </c>
      <c r="F130" t="s">
        <v>588</v>
      </c>
      <c r="G130" t="s">
        <v>590</v>
      </c>
      <c r="H130">
        <v>19</v>
      </c>
      <c r="I130">
        <v>2024</v>
      </c>
      <c r="J130" s="7">
        <v>0.76590277777777782</v>
      </c>
      <c r="K130" t="s">
        <v>385</v>
      </c>
      <c r="L130" t="s">
        <v>269</v>
      </c>
      <c r="M130" t="s">
        <v>118</v>
      </c>
    </row>
    <row r="131" spans="1:13" x14ac:dyDescent="0.35">
      <c r="A131" t="s">
        <v>127</v>
      </c>
      <c r="B131" t="s">
        <v>1</v>
      </c>
      <c r="C131" s="14">
        <v>16.489999999999998</v>
      </c>
      <c r="D131">
        <v>3</v>
      </c>
      <c r="E131">
        <v>77</v>
      </c>
      <c r="F131" t="s">
        <v>588</v>
      </c>
      <c r="G131" t="s">
        <v>590</v>
      </c>
      <c r="H131">
        <v>23</v>
      </c>
      <c r="I131">
        <v>2024</v>
      </c>
      <c r="J131" s="7">
        <v>0.47554398148148147</v>
      </c>
      <c r="K131" t="s">
        <v>285</v>
      </c>
      <c r="L131" t="s">
        <v>286</v>
      </c>
      <c r="M131" t="s">
        <v>118</v>
      </c>
    </row>
    <row r="132" spans="1:13" x14ac:dyDescent="0.35">
      <c r="A132" t="s">
        <v>250</v>
      </c>
      <c r="B132" t="s">
        <v>3</v>
      </c>
      <c r="C132" s="14">
        <v>16.5</v>
      </c>
      <c r="D132">
        <v>10</v>
      </c>
      <c r="E132">
        <v>67</v>
      </c>
      <c r="F132" t="s">
        <v>588</v>
      </c>
      <c r="G132" t="s">
        <v>590</v>
      </c>
      <c r="H132">
        <v>23</v>
      </c>
      <c r="I132">
        <v>2024</v>
      </c>
      <c r="J132" s="7">
        <v>0.50671296296296298</v>
      </c>
      <c r="K132" t="s">
        <v>491</v>
      </c>
      <c r="L132" t="s">
        <v>282</v>
      </c>
      <c r="M132" t="s">
        <v>118</v>
      </c>
    </row>
    <row r="133" spans="1:13" x14ac:dyDescent="0.35">
      <c r="A133" t="s">
        <v>73</v>
      </c>
      <c r="B133" t="s">
        <v>37</v>
      </c>
      <c r="C133" s="14">
        <v>16.71</v>
      </c>
      <c r="D133">
        <v>7</v>
      </c>
      <c r="E133">
        <v>7816</v>
      </c>
      <c r="F133" t="s">
        <v>589</v>
      </c>
      <c r="G133" t="s">
        <v>590</v>
      </c>
      <c r="H133">
        <v>24</v>
      </c>
      <c r="I133">
        <v>2024</v>
      </c>
      <c r="J133" s="7">
        <v>0.40422453703703703</v>
      </c>
      <c r="K133" t="s">
        <v>291</v>
      </c>
      <c r="L133" t="s">
        <v>274</v>
      </c>
      <c r="M133" t="s">
        <v>118</v>
      </c>
    </row>
    <row r="134" spans="1:13" x14ac:dyDescent="0.35">
      <c r="A134" t="s">
        <v>212</v>
      </c>
      <c r="B134" t="s">
        <v>37</v>
      </c>
      <c r="C134" s="14">
        <v>16.82</v>
      </c>
      <c r="D134">
        <v>2</v>
      </c>
      <c r="E134">
        <v>1992</v>
      </c>
      <c r="F134" t="s">
        <v>589</v>
      </c>
      <c r="G134" t="s">
        <v>590</v>
      </c>
      <c r="H134">
        <v>21</v>
      </c>
      <c r="I134">
        <v>2024</v>
      </c>
      <c r="J134" s="7">
        <v>0.93667824074074069</v>
      </c>
      <c r="K134" t="s">
        <v>290</v>
      </c>
      <c r="L134" t="s">
        <v>506</v>
      </c>
      <c r="M134" t="s">
        <v>118</v>
      </c>
    </row>
    <row r="135" spans="1:13" x14ac:dyDescent="0.35">
      <c r="A135" t="s">
        <v>208</v>
      </c>
      <c r="B135" t="s">
        <v>1</v>
      </c>
      <c r="C135" s="14">
        <v>16.850000000000001</v>
      </c>
      <c r="D135">
        <v>5</v>
      </c>
      <c r="E135">
        <v>16</v>
      </c>
      <c r="F135" t="s">
        <v>588</v>
      </c>
      <c r="G135" t="s">
        <v>590</v>
      </c>
      <c r="H135">
        <v>20</v>
      </c>
      <c r="I135">
        <v>2024</v>
      </c>
      <c r="J135" s="7">
        <v>0.27998842592592593</v>
      </c>
      <c r="K135" t="s">
        <v>409</v>
      </c>
      <c r="L135" t="s">
        <v>410</v>
      </c>
      <c r="M135" t="s">
        <v>118</v>
      </c>
    </row>
    <row r="136" spans="1:13" x14ac:dyDescent="0.35">
      <c r="A136" t="s">
        <v>242</v>
      </c>
      <c r="B136" t="s">
        <v>37</v>
      </c>
      <c r="C136" s="14">
        <v>16.899999999999999</v>
      </c>
      <c r="D136">
        <v>10</v>
      </c>
      <c r="E136">
        <v>34</v>
      </c>
      <c r="F136" t="s">
        <v>588</v>
      </c>
      <c r="G136" t="s">
        <v>590</v>
      </c>
      <c r="H136">
        <v>7</v>
      </c>
      <c r="I136">
        <v>2024</v>
      </c>
      <c r="J136" s="7">
        <v>0.46375</v>
      </c>
      <c r="K136" t="s">
        <v>517</v>
      </c>
      <c r="L136" t="s">
        <v>282</v>
      </c>
      <c r="M136" t="s">
        <v>118</v>
      </c>
    </row>
    <row r="137" spans="1:13" x14ac:dyDescent="0.35">
      <c r="A137" t="s">
        <v>5</v>
      </c>
      <c r="B137" t="s">
        <v>1</v>
      </c>
      <c r="C137" s="14">
        <v>16.899999999999999</v>
      </c>
      <c r="D137">
        <v>8</v>
      </c>
      <c r="E137">
        <v>127</v>
      </c>
      <c r="F137" t="s">
        <v>588</v>
      </c>
      <c r="G137" t="s">
        <v>590</v>
      </c>
      <c r="H137">
        <v>21</v>
      </c>
      <c r="I137">
        <v>2024</v>
      </c>
      <c r="J137" s="7">
        <v>0.36128472222222224</v>
      </c>
      <c r="K137" t="s">
        <v>290</v>
      </c>
      <c r="L137" t="s">
        <v>506</v>
      </c>
      <c r="M137" t="s">
        <v>118</v>
      </c>
    </row>
    <row r="138" spans="1:13" x14ac:dyDescent="0.35">
      <c r="A138" t="s">
        <v>5</v>
      </c>
      <c r="B138" t="s">
        <v>1</v>
      </c>
      <c r="C138" s="14">
        <v>16.91</v>
      </c>
      <c r="D138">
        <v>2</v>
      </c>
      <c r="E138">
        <v>156</v>
      </c>
      <c r="F138" t="s">
        <v>588</v>
      </c>
      <c r="G138" t="s">
        <v>590</v>
      </c>
      <c r="H138">
        <v>24</v>
      </c>
      <c r="I138">
        <v>2024</v>
      </c>
      <c r="J138" s="7">
        <v>0.33084490740740741</v>
      </c>
      <c r="K138" t="s">
        <v>509</v>
      </c>
      <c r="L138" t="s">
        <v>505</v>
      </c>
      <c r="M138" t="s">
        <v>118</v>
      </c>
    </row>
    <row r="139" spans="1:13" x14ac:dyDescent="0.35">
      <c r="A139" t="s">
        <v>57</v>
      </c>
      <c r="B139" t="s">
        <v>3</v>
      </c>
      <c r="C139" s="14">
        <v>16.91</v>
      </c>
      <c r="D139">
        <v>224</v>
      </c>
      <c r="E139">
        <v>825</v>
      </c>
      <c r="F139" t="s">
        <v>588</v>
      </c>
      <c r="G139" t="s">
        <v>592</v>
      </c>
      <c r="H139">
        <v>4</v>
      </c>
      <c r="I139">
        <v>2024</v>
      </c>
      <c r="J139" s="7">
        <v>0.75888888888888884</v>
      </c>
      <c r="K139" t="s">
        <v>301</v>
      </c>
      <c r="L139" t="s">
        <v>506</v>
      </c>
      <c r="M139" t="s">
        <v>118</v>
      </c>
    </row>
    <row r="140" spans="1:13" x14ac:dyDescent="0.35">
      <c r="A140" t="s">
        <v>231</v>
      </c>
      <c r="B140" t="s">
        <v>3</v>
      </c>
      <c r="C140" s="14">
        <v>16.95</v>
      </c>
      <c r="D140">
        <v>8</v>
      </c>
      <c r="E140">
        <v>69</v>
      </c>
      <c r="F140" t="s">
        <v>588</v>
      </c>
      <c r="G140" t="s">
        <v>595</v>
      </c>
      <c r="H140">
        <v>15</v>
      </c>
      <c r="I140">
        <v>2023</v>
      </c>
      <c r="J140" s="7">
        <v>0.2729050925925926</v>
      </c>
      <c r="K140" t="s">
        <v>372</v>
      </c>
      <c r="L140" t="s">
        <v>274</v>
      </c>
      <c r="M140" t="s">
        <v>118</v>
      </c>
    </row>
    <row r="141" spans="1:13" x14ac:dyDescent="0.35">
      <c r="A141" t="s">
        <v>25</v>
      </c>
      <c r="B141" t="s">
        <v>1</v>
      </c>
      <c r="C141" s="14">
        <v>16.97</v>
      </c>
      <c r="D141">
        <v>10</v>
      </c>
      <c r="E141">
        <v>16</v>
      </c>
      <c r="F141" t="s">
        <v>588</v>
      </c>
      <c r="G141" t="s">
        <v>590</v>
      </c>
      <c r="H141">
        <v>15</v>
      </c>
      <c r="I141">
        <v>2024</v>
      </c>
      <c r="J141" s="7">
        <v>0.77916666666666667</v>
      </c>
      <c r="K141" t="s">
        <v>389</v>
      </c>
      <c r="L141" t="s">
        <v>390</v>
      </c>
      <c r="M141" t="s">
        <v>118</v>
      </c>
    </row>
    <row r="142" spans="1:13" x14ac:dyDescent="0.35">
      <c r="A142" t="s">
        <v>228</v>
      </c>
      <c r="B142" t="s">
        <v>3</v>
      </c>
      <c r="C142" s="14">
        <v>16.98</v>
      </c>
      <c r="D142">
        <v>3</v>
      </c>
      <c r="E142">
        <v>2345</v>
      </c>
      <c r="F142" t="s">
        <v>589</v>
      </c>
      <c r="G142" t="s">
        <v>590</v>
      </c>
      <c r="H142">
        <v>23</v>
      </c>
      <c r="I142">
        <v>2024</v>
      </c>
      <c r="J142" s="7">
        <v>0.78151620370370367</v>
      </c>
      <c r="K142" t="s">
        <v>291</v>
      </c>
      <c r="L142" t="s">
        <v>274</v>
      </c>
      <c r="M142" t="s">
        <v>118</v>
      </c>
    </row>
    <row r="143" spans="1:13" x14ac:dyDescent="0.35">
      <c r="A143" t="s">
        <v>2</v>
      </c>
      <c r="B143" t="s">
        <v>1</v>
      </c>
      <c r="C143" s="14">
        <v>16.989999999999998</v>
      </c>
      <c r="D143">
        <v>6</v>
      </c>
      <c r="E143">
        <v>404</v>
      </c>
      <c r="F143" t="s">
        <v>588</v>
      </c>
      <c r="G143" t="s">
        <v>591</v>
      </c>
      <c r="H143">
        <v>29</v>
      </c>
      <c r="I143">
        <v>2024</v>
      </c>
      <c r="J143" s="7">
        <v>0.75140046296296292</v>
      </c>
      <c r="K143" t="s">
        <v>543</v>
      </c>
      <c r="L143" t="s">
        <v>267</v>
      </c>
      <c r="M143" t="s">
        <v>536</v>
      </c>
    </row>
    <row r="144" spans="1:13" x14ac:dyDescent="0.35">
      <c r="A144" t="s">
        <v>2</v>
      </c>
      <c r="B144" t="s">
        <v>1</v>
      </c>
      <c r="C144" s="14">
        <v>16.989999999999998</v>
      </c>
      <c r="D144">
        <v>10</v>
      </c>
      <c r="E144">
        <v>22</v>
      </c>
      <c r="F144" t="s">
        <v>588</v>
      </c>
      <c r="G144" t="s">
        <v>590</v>
      </c>
      <c r="H144">
        <v>22</v>
      </c>
      <c r="I144">
        <v>2024</v>
      </c>
      <c r="J144" s="7">
        <v>0.77670138888888884</v>
      </c>
      <c r="K144" t="s">
        <v>344</v>
      </c>
      <c r="L144" t="s">
        <v>277</v>
      </c>
      <c r="M144" t="s">
        <v>118</v>
      </c>
    </row>
    <row r="145" spans="1:13" x14ac:dyDescent="0.35">
      <c r="A145" t="s">
        <v>43</v>
      </c>
      <c r="B145" t="s">
        <v>3</v>
      </c>
      <c r="C145" s="14">
        <v>16.989999999999998</v>
      </c>
      <c r="D145">
        <v>4</v>
      </c>
      <c r="E145">
        <v>28</v>
      </c>
      <c r="F145" t="s">
        <v>588</v>
      </c>
      <c r="G145" t="s">
        <v>591</v>
      </c>
      <c r="H145">
        <v>8</v>
      </c>
      <c r="I145">
        <v>2024</v>
      </c>
      <c r="J145" s="7">
        <v>0.21012731481481481</v>
      </c>
      <c r="K145" t="s">
        <v>352</v>
      </c>
      <c r="L145" t="s">
        <v>353</v>
      </c>
      <c r="M145" t="s">
        <v>118</v>
      </c>
    </row>
    <row r="146" spans="1:13" x14ac:dyDescent="0.35">
      <c r="A146" t="s">
        <v>2</v>
      </c>
      <c r="B146" t="s">
        <v>1</v>
      </c>
      <c r="C146" s="14">
        <v>16.989999999999998</v>
      </c>
      <c r="D146">
        <v>86</v>
      </c>
      <c r="E146">
        <v>84</v>
      </c>
      <c r="F146" t="s">
        <v>588</v>
      </c>
      <c r="G146" t="s">
        <v>590</v>
      </c>
      <c r="H146">
        <v>24</v>
      </c>
      <c r="I146">
        <v>2024</v>
      </c>
      <c r="J146" s="7">
        <v>9.5138888888888894E-3</v>
      </c>
      <c r="K146" t="s">
        <v>333</v>
      </c>
      <c r="L146" t="s">
        <v>277</v>
      </c>
      <c r="M146" t="s">
        <v>118</v>
      </c>
    </row>
    <row r="147" spans="1:13" x14ac:dyDescent="0.35">
      <c r="A147" t="s">
        <v>147</v>
      </c>
      <c r="B147" t="s">
        <v>3</v>
      </c>
      <c r="C147" s="14">
        <v>16.989999999999998</v>
      </c>
      <c r="D147">
        <v>0</v>
      </c>
      <c r="E147">
        <v>3</v>
      </c>
      <c r="F147" t="s">
        <v>588</v>
      </c>
      <c r="G147" t="s">
        <v>590</v>
      </c>
      <c r="H147">
        <v>17</v>
      </c>
      <c r="I147">
        <v>2024</v>
      </c>
      <c r="J147" s="7">
        <v>0.82260416666666669</v>
      </c>
      <c r="K147" t="s">
        <v>556</v>
      </c>
      <c r="L147" t="s">
        <v>267</v>
      </c>
      <c r="M147" t="s">
        <v>118</v>
      </c>
    </row>
    <row r="148" spans="1:13" x14ac:dyDescent="0.35">
      <c r="A148" t="s">
        <v>43</v>
      </c>
      <c r="B148" t="s">
        <v>3</v>
      </c>
      <c r="C148" s="14">
        <v>17</v>
      </c>
      <c r="D148">
        <v>6</v>
      </c>
      <c r="E148">
        <v>147</v>
      </c>
      <c r="F148" t="s">
        <v>588</v>
      </c>
      <c r="G148" t="s">
        <v>590</v>
      </c>
      <c r="H148">
        <v>18</v>
      </c>
      <c r="I148">
        <v>2024</v>
      </c>
      <c r="J148" s="7">
        <v>0.87241898148148145</v>
      </c>
      <c r="K148" t="s">
        <v>291</v>
      </c>
      <c r="L148" t="s">
        <v>274</v>
      </c>
      <c r="M148" t="s">
        <v>118</v>
      </c>
    </row>
    <row r="149" spans="1:13" x14ac:dyDescent="0.35">
      <c r="A149" t="s">
        <v>73</v>
      </c>
      <c r="B149" t="s">
        <v>3</v>
      </c>
      <c r="C149" s="14">
        <v>17.02</v>
      </c>
      <c r="D149">
        <v>0</v>
      </c>
      <c r="E149">
        <v>3823</v>
      </c>
      <c r="F149" t="s">
        <v>589</v>
      </c>
      <c r="G149" t="s">
        <v>590</v>
      </c>
      <c r="H149">
        <v>9</v>
      </c>
      <c r="I149">
        <v>2024</v>
      </c>
      <c r="J149" s="7">
        <v>0.66869212962962965</v>
      </c>
      <c r="K149" t="s">
        <v>291</v>
      </c>
      <c r="L149" t="s">
        <v>274</v>
      </c>
      <c r="M149" t="s">
        <v>118</v>
      </c>
    </row>
    <row r="150" spans="1:13" x14ac:dyDescent="0.35">
      <c r="A150" t="s">
        <v>64</v>
      </c>
      <c r="B150" t="s">
        <v>37</v>
      </c>
      <c r="C150" s="14">
        <v>17.12</v>
      </c>
      <c r="D150">
        <v>10</v>
      </c>
      <c r="E150">
        <v>597</v>
      </c>
      <c r="F150" t="s">
        <v>588</v>
      </c>
      <c r="G150" t="s">
        <v>590</v>
      </c>
      <c r="H150">
        <v>24</v>
      </c>
      <c r="I150">
        <v>2024</v>
      </c>
      <c r="J150" s="7">
        <v>0.39734953703703701</v>
      </c>
      <c r="K150" t="s">
        <v>291</v>
      </c>
      <c r="L150" t="s">
        <v>274</v>
      </c>
      <c r="M150" t="s">
        <v>118</v>
      </c>
    </row>
    <row r="151" spans="1:13" x14ac:dyDescent="0.35">
      <c r="A151" t="s">
        <v>257</v>
      </c>
      <c r="B151" t="s">
        <v>37</v>
      </c>
      <c r="C151" s="14">
        <v>17.170000000000002</v>
      </c>
      <c r="D151">
        <v>0</v>
      </c>
      <c r="E151">
        <v>4</v>
      </c>
      <c r="F151" t="s">
        <v>588</v>
      </c>
      <c r="G151" t="s">
        <v>590</v>
      </c>
      <c r="H151">
        <v>24</v>
      </c>
      <c r="I151">
        <v>2024</v>
      </c>
      <c r="J151" s="7">
        <v>0.30265046296296294</v>
      </c>
      <c r="K151" t="s">
        <v>348</v>
      </c>
      <c r="L151" t="s">
        <v>282</v>
      </c>
      <c r="M151" t="s">
        <v>118</v>
      </c>
    </row>
    <row r="152" spans="1:13" x14ac:dyDescent="0.35">
      <c r="A152" t="s">
        <v>5</v>
      </c>
      <c r="B152" t="s">
        <v>1</v>
      </c>
      <c r="C152" s="14">
        <v>17.18</v>
      </c>
      <c r="D152">
        <v>8</v>
      </c>
      <c r="E152">
        <v>65</v>
      </c>
      <c r="F152" t="s">
        <v>588</v>
      </c>
      <c r="G152" t="s">
        <v>590</v>
      </c>
      <c r="H152">
        <v>22</v>
      </c>
      <c r="I152">
        <v>2024</v>
      </c>
      <c r="J152" s="7">
        <v>0.49854166666666666</v>
      </c>
      <c r="K152" t="s">
        <v>290</v>
      </c>
      <c r="L152" t="s">
        <v>506</v>
      </c>
      <c r="M152" t="s">
        <v>118</v>
      </c>
    </row>
    <row r="153" spans="1:13" x14ac:dyDescent="0.35">
      <c r="A153" t="s">
        <v>73</v>
      </c>
      <c r="B153" t="s">
        <v>37</v>
      </c>
      <c r="C153" s="14">
        <v>17.29</v>
      </c>
      <c r="D153">
        <v>3</v>
      </c>
      <c r="E153">
        <v>1370</v>
      </c>
      <c r="F153" t="s">
        <v>589</v>
      </c>
      <c r="G153" t="s">
        <v>590</v>
      </c>
      <c r="H153">
        <v>24</v>
      </c>
      <c r="I153">
        <v>2024</v>
      </c>
      <c r="J153" s="7">
        <v>0.30634259259259261</v>
      </c>
      <c r="K153" t="s">
        <v>291</v>
      </c>
      <c r="L153" t="s">
        <v>274</v>
      </c>
      <c r="M153" t="s">
        <v>118</v>
      </c>
    </row>
    <row r="154" spans="1:13" x14ac:dyDescent="0.35">
      <c r="A154" t="s">
        <v>9</v>
      </c>
      <c r="B154" t="s">
        <v>3</v>
      </c>
      <c r="C154" s="14">
        <v>17.34</v>
      </c>
      <c r="D154">
        <v>6</v>
      </c>
      <c r="E154">
        <v>460</v>
      </c>
      <c r="F154" t="s">
        <v>588</v>
      </c>
      <c r="G154" t="s">
        <v>590</v>
      </c>
      <c r="H154">
        <v>19</v>
      </c>
      <c r="I154">
        <v>2024</v>
      </c>
      <c r="J154" s="7">
        <v>0.38406249999999997</v>
      </c>
      <c r="K154" t="s">
        <v>290</v>
      </c>
      <c r="L154" t="s">
        <v>506</v>
      </c>
      <c r="M154" t="s">
        <v>118</v>
      </c>
    </row>
    <row r="155" spans="1:13" x14ac:dyDescent="0.35">
      <c r="A155" t="s">
        <v>167</v>
      </c>
      <c r="B155" t="s">
        <v>37</v>
      </c>
      <c r="C155" s="14">
        <v>17.489999999999998</v>
      </c>
      <c r="D155">
        <v>0</v>
      </c>
      <c r="E155">
        <v>24</v>
      </c>
      <c r="F155" t="s">
        <v>588</v>
      </c>
      <c r="G155" t="s">
        <v>593</v>
      </c>
      <c r="H155">
        <v>28</v>
      </c>
      <c r="I155">
        <v>2024</v>
      </c>
      <c r="J155" s="7">
        <v>0.31042824074074077</v>
      </c>
      <c r="K155" t="s">
        <v>524</v>
      </c>
      <c r="L155" t="s">
        <v>506</v>
      </c>
      <c r="M155" t="s">
        <v>118</v>
      </c>
    </row>
    <row r="156" spans="1:13" x14ac:dyDescent="0.35">
      <c r="A156" t="s">
        <v>56</v>
      </c>
      <c r="B156" t="s">
        <v>1</v>
      </c>
      <c r="C156" s="14">
        <v>17.850000000000001</v>
      </c>
      <c r="D156">
        <v>2</v>
      </c>
      <c r="E156">
        <v>29</v>
      </c>
      <c r="F156" t="s">
        <v>588</v>
      </c>
      <c r="G156" t="s">
        <v>590</v>
      </c>
      <c r="H156">
        <v>24</v>
      </c>
      <c r="I156">
        <v>2024</v>
      </c>
      <c r="J156" s="7">
        <v>0.37274305555555554</v>
      </c>
      <c r="K156" t="s">
        <v>509</v>
      </c>
      <c r="L156" t="s">
        <v>505</v>
      </c>
      <c r="M156" t="s">
        <v>118</v>
      </c>
    </row>
    <row r="157" spans="1:13" x14ac:dyDescent="0.35">
      <c r="A157" t="s">
        <v>108</v>
      </c>
      <c r="B157" t="s">
        <v>1</v>
      </c>
      <c r="C157" s="14">
        <v>17.850000000000001</v>
      </c>
      <c r="D157">
        <v>10</v>
      </c>
      <c r="E157">
        <v>6</v>
      </c>
      <c r="F157" t="s">
        <v>588</v>
      </c>
      <c r="G157" t="s">
        <v>590</v>
      </c>
      <c r="H157">
        <v>23</v>
      </c>
      <c r="I157">
        <v>2024</v>
      </c>
      <c r="J157" s="7">
        <v>0.84332175925925923</v>
      </c>
      <c r="K157" t="s">
        <v>509</v>
      </c>
      <c r="L157" t="s">
        <v>505</v>
      </c>
      <c r="M157" t="s">
        <v>118</v>
      </c>
    </row>
    <row r="158" spans="1:13" x14ac:dyDescent="0.35">
      <c r="A158" t="s">
        <v>87</v>
      </c>
      <c r="B158" t="s">
        <v>37</v>
      </c>
      <c r="C158" s="14">
        <v>17.89</v>
      </c>
      <c r="D158">
        <v>10</v>
      </c>
      <c r="E158">
        <v>2256</v>
      </c>
      <c r="F158" t="s">
        <v>589</v>
      </c>
      <c r="G158" t="s">
        <v>590</v>
      </c>
      <c r="H158">
        <v>12</v>
      </c>
      <c r="I158">
        <v>2024</v>
      </c>
      <c r="J158" s="7">
        <v>0.75458333333333338</v>
      </c>
      <c r="K158" t="s">
        <v>386</v>
      </c>
      <c r="L158" t="s">
        <v>286</v>
      </c>
      <c r="M158" t="s">
        <v>118</v>
      </c>
    </row>
    <row r="159" spans="1:13" x14ac:dyDescent="0.35">
      <c r="A159" t="s">
        <v>33</v>
      </c>
      <c r="B159" t="s">
        <v>37</v>
      </c>
      <c r="C159" s="14">
        <v>17.89</v>
      </c>
      <c r="D159">
        <v>10</v>
      </c>
      <c r="E159">
        <v>68</v>
      </c>
      <c r="F159" t="s">
        <v>588</v>
      </c>
      <c r="G159" t="s">
        <v>590</v>
      </c>
      <c r="H159">
        <v>22</v>
      </c>
      <c r="I159">
        <v>2024</v>
      </c>
      <c r="J159" s="7">
        <v>9.4074074074074074E-2</v>
      </c>
      <c r="K159" t="s">
        <v>363</v>
      </c>
      <c r="L159" t="s">
        <v>506</v>
      </c>
      <c r="M159" t="s">
        <v>118</v>
      </c>
    </row>
    <row r="160" spans="1:13" x14ac:dyDescent="0.35">
      <c r="A160" t="s">
        <v>133</v>
      </c>
      <c r="B160" t="s">
        <v>3</v>
      </c>
      <c r="C160" s="14">
        <v>17.95</v>
      </c>
      <c r="D160">
        <v>310</v>
      </c>
      <c r="E160">
        <v>75</v>
      </c>
      <c r="F160" t="s">
        <v>588</v>
      </c>
      <c r="G160" t="s">
        <v>591</v>
      </c>
      <c r="H160">
        <v>2</v>
      </c>
      <c r="I160">
        <v>2024</v>
      </c>
      <c r="J160" s="7">
        <v>0.47541666666666665</v>
      </c>
      <c r="K160" t="s">
        <v>352</v>
      </c>
      <c r="L160" t="s">
        <v>353</v>
      </c>
      <c r="M160" t="s">
        <v>118</v>
      </c>
    </row>
    <row r="161" spans="1:13" x14ac:dyDescent="0.35">
      <c r="A161" t="s">
        <v>1</v>
      </c>
      <c r="B161" t="s">
        <v>1</v>
      </c>
      <c r="C161" s="14">
        <v>17.95</v>
      </c>
      <c r="D161">
        <v>0</v>
      </c>
      <c r="E161">
        <v>4</v>
      </c>
      <c r="F161" t="s">
        <v>588</v>
      </c>
      <c r="G161" t="s">
        <v>590</v>
      </c>
      <c r="H161">
        <v>9</v>
      </c>
      <c r="I161">
        <v>2024</v>
      </c>
      <c r="J161" s="7">
        <v>0.72065972222222219</v>
      </c>
      <c r="K161" t="s">
        <v>528</v>
      </c>
      <c r="L161" t="s">
        <v>286</v>
      </c>
      <c r="M161" t="s">
        <v>118</v>
      </c>
    </row>
    <row r="162" spans="1:13" x14ac:dyDescent="0.35">
      <c r="A162" t="s">
        <v>85</v>
      </c>
      <c r="B162" t="s">
        <v>3</v>
      </c>
      <c r="C162" s="14">
        <v>17.98</v>
      </c>
      <c r="D162">
        <v>8</v>
      </c>
      <c r="E162">
        <v>66</v>
      </c>
      <c r="F162" t="s">
        <v>588</v>
      </c>
      <c r="G162" t="s">
        <v>590</v>
      </c>
      <c r="H162">
        <v>20</v>
      </c>
      <c r="I162">
        <v>2024</v>
      </c>
      <c r="J162" s="7">
        <v>0.83984953703703702</v>
      </c>
      <c r="K162" t="s">
        <v>385</v>
      </c>
      <c r="L162" t="s">
        <v>269</v>
      </c>
      <c r="M162" t="s">
        <v>118</v>
      </c>
    </row>
    <row r="163" spans="1:13" x14ac:dyDescent="0.35">
      <c r="A163" t="s">
        <v>13</v>
      </c>
      <c r="B163" t="s">
        <v>1</v>
      </c>
      <c r="C163" s="14">
        <v>17.98</v>
      </c>
      <c r="D163">
        <v>10</v>
      </c>
      <c r="E163">
        <v>50</v>
      </c>
      <c r="F163" t="s">
        <v>588</v>
      </c>
      <c r="G163" t="s">
        <v>590</v>
      </c>
      <c r="H163">
        <v>22</v>
      </c>
      <c r="I163">
        <v>2024</v>
      </c>
      <c r="J163" s="7">
        <v>0.54858796296296297</v>
      </c>
      <c r="K163" t="s">
        <v>385</v>
      </c>
      <c r="L163" t="s">
        <v>269</v>
      </c>
      <c r="M163" t="s">
        <v>118</v>
      </c>
    </row>
    <row r="164" spans="1:13" x14ac:dyDescent="0.35">
      <c r="A164" t="s">
        <v>97</v>
      </c>
      <c r="B164" t="s">
        <v>1</v>
      </c>
      <c r="C164" s="14">
        <v>17.98</v>
      </c>
      <c r="D164">
        <v>8</v>
      </c>
      <c r="E164">
        <v>12</v>
      </c>
      <c r="F164" t="s">
        <v>588</v>
      </c>
      <c r="G164" t="s">
        <v>590</v>
      </c>
      <c r="H164">
        <v>16</v>
      </c>
      <c r="I164">
        <v>2024</v>
      </c>
      <c r="J164" s="7">
        <v>0.52142361111111113</v>
      </c>
      <c r="K164" t="s">
        <v>385</v>
      </c>
      <c r="L164" t="s">
        <v>269</v>
      </c>
      <c r="M164" t="s">
        <v>118</v>
      </c>
    </row>
    <row r="165" spans="1:13" x14ac:dyDescent="0.35">
      <c r="A165" t="s">
        <v>13</v>
      </c>
      <c r="B165" t="s">
        <v>3</v>
      </c>
      <c r="C165" s="14">
        <v>17.98</v>
      </c>
      <c r="D165">
        <v>5</v>
      </c>
      <c r="E165">
        <v>4</v>
      </c>
      <c r="F165" t="s">
        <v>588</v>
      </c>
      <c r="G165" t="s">
        <v>590</v>
      </c>
      <c r="H165">
        <v>15</v>
      </c>
      <c r="I165">
        <v>2024</v>
      </c>
      <c r="J165" s="7">
        <v>0.73017361111111112</v>
      </c>
      <c r="K165" t="s">
        <v>385</v>
      </c>
      <c r="L165" t="s">
        <v>269</v>
      </c>
      <c r="M165" t="s">
        <v>118</v>
      </c>
    </row>
    <row r="166" spans="1:13" x14ac:dyDescent="0.35">
      <c r="A166" t="s">
        <v>18</v>
      </c>
      <c r="B166" t="s">
        <v>1</v>
      </c>
      <c r="C166" s="14">
        <v>17.98</v>
      </c>
      <c r="D166">
        <v>10</v>
      </c>
      <c r="E166">
        <v>40</v>
      </c>
      <c r="F166" t="s">
        <v>588</v>
      </c>
      <c r="G166" t="s">
        <v>590</v>
      </c>
      <c r="H166">
        <v>16</v>
      </c>
      <c r="I166">
        <v>2024</v>
      </c>
      <c r="J166" s="7">
        <v>0.52120370370370372</v>
      </c>
      <c r="K166" t="s">
        <v>385</v>
      </c>
      <c r="L166" t="s">
        <v>269</v>
      </c>
      <c r="M166" t="s">
        <v>118</v>
      </c>
    </row>
    <row r="167" spans="1:13" x14ac:dyDescent="0.35">
      <c r="A167" t="s">
        <v>73</v>
      </c>
      <c r="B167" t="s">
        <v>37</v>
      </c>
      <c r="C167" s="14">
        <v>17.98</v>
      </c>
      <c r="D167">
        <v>0</v>
      </c>
      <c r="E167">
        <v>150</v>
      </c>
      <c r="F167" t="s">
        <v>588</v>
      </c>
      <c r="G167" t="s">
        <v>590</v>
      </c>
      <c r="H167">
        <v>24</v>
      </c>
      <c r="I167">
        <v>2024</v>
      </c>
      <c r="J167" s="7">
        <v>0.30211805555555554</v>
      </c>
      <c r="K167" t="s">
        <v>301</v>
      </c>
      <c r="L167" t="s">
        <v>506</v>
      </c>
      <c r="M167" t="s">
        <v>118</v>
      </c>
    </row>
    <row r="168" spans="1:13" x14ac:dyDescent="0.35">
      <c r="A168" t="s">
        <v>97</v>
      </c>
      <c r="B168" t="s">
        <v>1</v>
      </c>
      <c r="C168" s="14">
        <v>17.98</v>
      </c>
      <c r="D168">
        <v>3</v>
      </c>
      <c r="E168">
        <v>9</v>
      </c>
      <c r="F168" t="s">
        <v>588</v>
      </c>
      <c r="G168" t="s">
        <v>590</v>
      </c>
      <c r="H168">
        <v>16</v>
      </c>
      <c r="I168">
        <v>2024</v>
      </c>
      <c r="J168" s="7">
        <v>0.52151620370370366</v>
      </c>
      <c r="K168" t="s">
        <v>385</v>
      </c>
      <c r="L168" t="s">
        <v>269</v>
      </c>
      <c r="M168" t="s">
        <v>118</v>
      </c>
    </row>
    <row r="169" spans="1:13" x14ac:dyDescent="0.35">
      <c r="A169" t="s">
        <v>30</v>
      </c>
      <c r="B169" t="s">
        <v>3</v>
      </c>
      <c r="C169" s="14">
        <v>17.989999999999998</v>
      </c>
      <c r="D169">
        <v>2</v>
      </c>
      <c r="E169">
        <v>324</v>
      </c>
      <c r="F169" t="s">
        <v>588</v>
      </c>
      <c r="G169" t="s">
        <v>590</v>
      </c>
      <c r="H169">
        <v>20</v>
      </c>
      <c r="I169">
        <v>2024</v>
      </c>
      <c r="J169" s="7">
        <v>0.43931712962962965</v>
      </c>
      <c r="K169" t="s">
        <v>325</v>
      </c>
      <c r="L169" t="s">
        <v>266</v>
      </c>
      <c r="M169" t="s">
        <v>118</v>
      </c>
    </row>
    <row r="170" spans="1:13" x14ac:dyDescent="0.35">
      <c r="A170" t="s">
        <v>2</v>
      </c>
      <c r="B170" t="s">
        <v>1</v>
      </c>
      <c r="C170" s="14">
        <v>17.989999999999998</v>
      </c>
      <c r="D170">
        <v>6</v>
      </c>
      <c r="E170">
        <v>3</v>
      </c>
      <c r="F170" t="s">
        <v>588</v>
      </c>
      <c r="G170" t="s">
        <v>590</v>
      </c>
      <c r="H170">
        <v>23</v>
      </c>
      <c r="I170">
        <v>2024</v>
      </c>
      <c r="J170" s="7">
        <v>0.71253472222222225</v>
      </c>
      <c r="K170" t="s">
        <v>344</v>
      </c>
      <c r="L170" t="s">
        <v>277</v>
      </c>
      <c r="M170" t="s">
        <v>333</v>
      </c>
    </row>
    <row r="171" spans="1:13" x14ac:dyDescent="0.35">
      <c r="A171" t="s">
        <v>82</v>
      </c>
      <c r="B171" t="s">
        <v>3</v>
      </c>
      <c r="C171" s="14">
        <v>17.989999999999998</v>
      </c>
      <c r="D171">
        <v>0</v>
      </c>
      <c r="E171">
        <v>1955</v>
      </c>
      <c r="F171" t="s">
        <v>589</v>
      </c>
      <c r="G171" t="s">
        <v>590</v>
      </c>
      <c r="H171">
        <v>24</v>
      </c>
      <c r="I171">
        <v>2024</v>
      </c>
      <c r="J171" s="7">
        <v>0.38215277777777779</v>
      </c>
      <c r="K171" t="s">
        <v>291</v>
      </c>
      <c r="L171" t="s">
        <v>274</v>
      </c>
      <c r="M171" t="s">
        <v>118</v>
      </c>
    </row>
    <row r="172" spans="1:13" x14ac:dyDescent="0.35">
      <c r="A172" t="s">
        <v>113</v>
      </c>
      <c r="B172" t="s">
        <v>1</v>
      </c>
      <c r="C172" s="14">
        <v>17.989999999999998</v>
      </c>
      <c r="D172">
        <v>0</v>
      </c>
      <c r="E172">
        <v>1</v>
      </c>
      <c r="F172" t="s">
        <v>588</v>
      </c>
      <c r="G172" t="s">
        <v>239</v>
      </c>
      <c r="H172">
        <v>0</v>
      </c>
      <c r="I172">
        <v>0</v>
      </c>
      <c r="J172" s="7">
        <v>0</v>
      </c>
      <c r="K172" t="s">
        <v>423</v>
      </c>
      <c r="L172" t="s">
        <v>267</v>
      </c>
      <c r="M172" t="s">
        <v>118</v>
      </c>
    </row>
    <row r="173" spans="1:13" x14ac:dyDescent="0.35">
      <c r="A173" t="s">
        <v>26</v>
      </c>
      <c r="B173" t="s">
        <v>3</v>
      </c>
      <c r="C173" s="14">
        <v>17.989999999999998</v>
      </c>
      <c r="D173">
        <v>28</v>
      </c>
      <c r="E173">
        <v>3</v>
      </c>
      <c r="F173" t="s">
        <v>588</v>
      </c>
      <c r="G173" t="s">
        <v>590</v>
      </c>
      <c r="H173">
        <v>23</v>
      </c>
      <c r="I173">
        <v>2024</v>
      </c>
      <c r="J173" s="7">
        <v>0.78050925925925929</v>
      </c>
      <c r="K173" t="s">
        <v>459</v>
      </c>
      <c r="L173" t="s">
        <v>460</v>
      </c>
      <c r="M173" t="s">
        <v>118</v>
      </c>
    </row>
    <row r="174" spans="1:13" x14ac:dyDescent="0.35">
      <c r="A174" t="s">
        <v>2</v>
      </c>
      <c r="B174" t="s">
        <v>37</v>
      </c>
      <c r="C174" s="14">
        <v>18</v>
      </c>
      <c r="D174">
        <v>3</v>
      </c>
      <c r="E174">
        <v>3</v>
      </c>
      <c r="F174" t="s">
        <v>588</v>
      </c>
      <c r="G174" t="s">
        <v>239</v>
      </c>
      <c r="H174">
        <v>0</v>
      </c>
      <c r="I174">
        <v>0</v>
      </c>
      <c r="J174" s="7">
        <v>0</v>
      </c>
      <c r="K174" t="s">
        <v>521</v>
      </c>
      <c r="L174" t="s">
        <v>347</v>
      </c>
      <c r="M174" t="s">
        <v>118</v>
      </c>
    </row>
    <row r="175" spans="1:13" x14ac:dyDescent="0.35">
      <c r="A175" t="s">
        <v>21</v>
      </c>
      <c r="B175" t="s">
        <v>3</v>
      </c>
      <c r="C175" s="14">
        <v>18.100000000000001</v>
      </c>
      <c r="D175">
        <v>31</v>
      </c>
      <c r="E175">
        <v>210</v>
      </c>
      <c r="F175" t="s">
        <v>588</v>
      </c>
      <c r="G175" t="s">
        <v>590</v>
      </c>
      <c r="H175">
        <v>21</v>
      </c>
      <c r="I175">
        <v>2024</v>
      </c>
      <c r="J175" s="7">
        <v>0.40284722222222225</v>
      </c>
      <c r="K175" t="s">
        <v>291</v>
      </c>
      <c r="L175" t="s">
        <v>274</v>
      </c>
      <c r="M175" t="s">
        <v>118</v>
      </c>
    </row>
    <row r="176" spans="1:13" x14ac:dyDescent="0.35">
      <c r="A176" t="s">
        <v>21</v>
      </c>
      <c r="B176" t="s">
        <v>3</v>
      </c>
      <c r="C176" s="14">
        <v>18.11</v>
      </c>
      <c r="D176">
        <v>10</v>
      </c>
      <c r="E176">
        <v>12</v>
      </c>
      <c r="F176" t="s">
        <v>588</v>
      </c>
      <c r="G176" t="s">
        <v>590</v>
      </c>
      <c r="H176">
        <v>21</v>
      </c>
      <c r="I176">
        <v>2024</v>
      </c>
      <c r="J176" s="7">
        <v>0.14922453703703703</v>
      </c>
      <c r="K176" t="s">
        <v>382</v>
      </c>
      <c r="L176" t="s">
        <v>286</v>
      </c>
      <c r="M176" t="s">
        <v>118</v>
      </c>
    </row>
    <row r="177" spans="1:13" x14ac:dyDescent="0.35">
      <c r="A177" t="s">
        <v>73</v>
      </c>
      <c r="B177" t="s">
        <v>3</v>
      </c>
      <c r="C177" s="14">
        <v>18.32</v>
      </c>
      <c r="D177">
        <v>10</v>
      </c>
      <c r="E177">
        <v>211</v>
      </c>
      <c r="F177" t="s">
        <v>588</v>
      </c>
      <c r="G177" t="s">
        <v>590</v>
      </c>
      <c r="H177">
        <v>22</v>
      </c>
      <c r="I177">
        <v>2024</v>
      </c>
      <c r="J177" s="7">
        <v>0.71870370370370373</v>
      </c>
      <c r="K177" t="s">
        <v>290</v>
      </c>
      <c r="L177" t="s">
        <v>506</v>
      </c>
      <c r="M177" t="s">
        <v>118</v>
      </c>
    </row>
    <row r="178" spans="1:13" x14ac:dyDescent="0.35">
      <c r="A178" t="s">
        <v>30</v>
      </c>
      <c r="B178" t="s">
        <v>3</v>
      </c>
      <c r="C178" s="14">
        <v>18.329999999999998</v>
      </c>
      <c r="D178">
        <v>26</v>
      </c>
      <c r="E178">
        <v>1332</v>
      </c>
      <c r="F178" t="s">
        <v>589</v>
      </c>
      <c r="G178" t="s">
        <v>590</v>
      </c>
      <c r="H178">
        <v>22</v>
      </c>
      <c r="I178">
        <v>2024</v>
      </c>
      <c r="J178" s="7">
        <v>0.40778935185185183</v>
      </c>
      <c r="K178" t="s">
        <v>290</v>
      </c>
      <c r="L178" t="s">
        <v>506</v>
      </c>
      <c r="M178" t="s">
        <v>118</v>
      </c>
    </row>
    <row r="179" spans="1:13" x14ac:dyDescent="0.35">
      <c r="A179" t="s">
        <v>32</v>
      </c>
      <c r="B179" t="s">
        <v>3</v>
      </c>
      <c r="C179" s="14">
        <v>18.66</v>
      </c>
      <c r="D179">
        <v>10</v>
      </c>
      <c r="E179">
        <v>58</v>
      </c>
      <c r="F179" t="s">
        <v>588</v>
      </c>
      <c r="G179" t="s">
        <v>590</v>
      </c>
      <c r="H179">
        <v>6</v>
      </c>
      <c r="I179">
        <v>2024</v>
      </c>
      <c r="J179" s="7">
        <v>0.97793981481481485</v>
      </c>
      <c r="K179" t="s">
        <v>291</v>
      </c>
      <c r="L179" t="s">
        <v>274</v>
      </c>
      <c r="M179" t="s">
        <v>118</v>
      </c>
    </row>
    <row r="180" spans="1:13" x14ac:dyDescent="0.35">
      <c r="A180" t="s">
        <v>102</v>
      </c>
      <c r="B180" t="s">
        <v>3</v>
      </c>
      <c r="C180" s="14">
        <v>18.760000000000002</v>
      </c>
      <c r="D180">
        <v>45</v>
      </c>
      <c r="E180">
        <v>227</v>
      </c>
      <c r="F180" t="s">
        <v>588</v>
      </c>
      <c r="G180" t="s">
        <v>590</v>
      </c>
      <c r="H180">
        <v>20</v>
      </c>
      <c r="I180">
        <v>2024</v>
      </c>
      <c r="J180" s="7">
        <v>0.8604398148148148</v>
      </c>
      <c r="K180" t="s">
        <v>290</v>
      </c>
      <c r="L180" t="s">
        <v>506</v>
      </c>
      <c r="M180" t="s">
        <v>118</v>
      </c>
    </row>
    <row r="181" spans="1:13" x14ac:dyDescent="0.35">
      <c r="A181" t="s">
        <v>108</v>
      </c>
      <c r="B181" t="s">
        <v>1</v>
      </c>
      <c r="C181" s="14">
        <v>18.79</v>
      </c>
      <c r="D181">
        <v>4</v>
      </c>
      <c r="E181">
        <v>9</v>
      </c>
      <c r="F181" t="s">
        <v>588</v>
      </c>
      <c r="G181" t="s">
        <v>590</v>
      </c>
      <c r="H181">
        <v>23</v>
      </c>
      <c r="I181">
        <v>2024</v>
      </c>
      <c r="J181" s="7">
        <v>0.91457175925925926</v>
      </c>
      <c r="K181" t="s">
        <v>509</v>
      </c>
      <c r="L181" t="s">
        <v>505</v>
      </c>
      <c r="M181" t="s">
        <v>118</v>
      </c>
    </row>
    <row r="182" spans="1:13" x14ac:dyDescent="0.35">
      <c r="A182" t="s">
        <v>247</v>
      </c>
      <c r="B182" t="s">
        <v>3</v>
      </c>
      <c r="C182" s="14">
        <v>18.84</v>
      </c>
      <c r="D182">
        <v>0</v>
      </c>
      <c r="E182">
        <v>674</v>
      </c>
      <c r="F182" t="s">
        <v>588</v>
      </c>
      <c r="G182" t="s">
        <v>590</v>
      </c>
      <c r="H182">
        <v>21</v>
      </c>
      <c r="I182">
        <v>2024</v>
      </c>
      <c r="J182" s="7">
        <v>0.31050925925925926</v>
      </c>
      <c r="K182" t="s">
        <v>291</v>
      </c>
      <c r="L182" t="s">
        <v>274</v>
      </c>
      <c r="M182" t="s">
        <v>118</v>
      </c>
    </row>
    <row r="183" spans="1:13" x14ac:dyDescent="0.35">
      <c r="A183" t="s">
        <v>10</v>
      </c>
      <c r="B183" t="s">
        <v>1</v>
      </c>
      <c r="C183" s="14">
        <v>18.89</v>
      </c>
      <c r="D183">
        <v>0</v>
      </c>
      <c r="E183">
        <v>125</v>
      </c>
      <c r="F183" t="s">
        <v>588</v>
      </c>
      <c r="G183" t="s">
        <v>590</v>
      </c>
      <c r="H183">
        <v>24</v>
      </c>
      <c r="I183">
        <v>2024</v>
      </c>
      <c r="J183" s="7">
        <v>0.3681828703703704</v>
      </c>
      <c r="K183" t="s">
        <v>506</v>
      </c>
      <c r="L183" t="s">
        <v>505</v>
      </c>
      <c r="M183" t="s">
        <v>118</v>
      </c>
    </row>
    <row r="184" spans="1:13" x14ac:dyDescent="0.35">
      <c r="A184" t="s">
        <v>228</v>
      </c>
      <c r="B184" t="s">
        <v>3</v>
      </c>
      <c r="C184" s="14">
        <v>18.91</v>
      </c>
      <c r="D184">
        <v>10</v>
      </c>
      <c r="E184">
        <v>5500</v>
      </c>
      <c r="F184" t="s">
        <v>589</v>
      </c>
      <c r="G184" t="s">
        <v>590</v>
      </c>
      <c r="H184">
        <v>23</v>
      </c>
      <c r="I184">
        <v>2024</v>
      </c>
      <c r="J184" s="7">
        <v>0.89935185185185185</v>
      </c>
      <c r="K184" t="s">
        <v>290</v>
      </c>
      <c r="L184" t="s">
        <v>506</v>
      </c>
      <c r="M184" t="s">
        <v>118</v>
      </c>
    </row>
    <row r="185" spans="1:13" x14ac:dyDescent="0.35">
      <c r="A185" t="s">
        <v>69</v>
      </c>
      <c r="B185" t="s">
        <v>1</v>
      </c>
      <c r="C185" s="14">
        <v>18.95</v>
      </c>
      <c r="D185">
        <v>2</v>
      </c>
      <c r="E185">
        <v>624</v>
      </c>
      <c r="F185" t="s">
        <v>588</v>
      </c>
      <c r="G185" t="s">
        <v>590</v>
      </c>
      <c r="H185">
        <v>15</v>
      </c>
      <c r="I185">
        <v>2024</v>
      </c>
      <c r="J185" s="7">
        <v>0.72162037037037041</v>
      </c>
      <c r="K185" t="s">
        <v>358</v>
      </c>
      <c r="L185" t="s">
        <v>274</v>
      </c>
      <c r="M185" t="s">
        <v>118</v>
      </c>
    </row>
    <row r="186" spans="1:13" x14ac:dyDescent="0.35">
      <c r="A186" t="s">
        <v>21</v>
      </c>
      <c r="B186" t="s">
        <v>3</v>
      </c>
      <c r="C186" s="14">
        <v>18.96</v>
      </c>
      <c r="D186">
        <v>0</v>
      </c>
      <c r="E186">
        <v>1034</v>
      </c>
      <c r="F186" t="s">
        <v>589</v>
      </c>
      <c r="G186" t="s">
        <v>590</v>
      </c>
      <c r="H186">
        <v>20</v>
      </c>
      <c r="I186">
        <v>2024</v>
      </c>
      <c r="J186" s="7">
        <v>0.95333333333333337</v>
      </c>
      <c r="K186" t="s">
        <v>291</v>
      </c>
      <c r="L186" t="s">
        <v>274</v>
      </c>
      <c r="M186" t="s">
        <v>118</v>
      </c>
    </row>
    <row r="187" spans="1:13" x14ac:dyDescent="0.35">
      <c r="A187" t="s">
        <v>23</v>
      </c>
      <c r="B187" t="s">
        <v>1</v>
      </c>
      <c r="C187" s="14">
        <v>18.989999999999998</v>
      </c>
      <c r="D187">
        <v>3</v>
      </c>
      <c r="E187">
        <v>8</v>
      </c>
      <c r="F187" t="s">
        <v>588</v>
      </c>
      <c r="G187" t="s">
        <v>590</v>
      </c>
      <c r="H187">
        <v>20</v>
      </c>
      <c r="I187">
        <v>2024</v>
      </c>
      <c r="J187" s="7">
        <v>0.60357638888888887</v>
      </c>
      <c r="K187" t="s">
        <v>285</v>
      </c>
      <c r="L187" t="s">
        <v>286</v>
      </c>
      <c r="M187" t="s">
        <v>118</v>
      </c>
    </row>
    <row r="188" spans="1:13" x14ac:dyDescent="0.35">
      <c r="A188" t="s">
        <v>5</v>
      </c>
      <c r="B188" t="s">
        <v>1</v>
      </c>
      <c r="C188" s="14">
        <v>18.989999999999998</v>
      </c>
      <c r="D188">
        <v>10</v>
      </c>
      <c r="E188">
        <v>139</v>
      </c>
      <c r="F188" t="s">
        <v>588</v>
      </c>
      <c r="G188" t="s">
        <v>590</v>
      </c>
      <c r="H188">
        <v>22</v>
      </c>
      <c r="I188">
        <v>2024</v>
      </c>
      <c r="J188" s="7">
        <v>0.52204861111111112</v>
      </c>
      <c r="K188" t="s">
        <v>373</v>
      </c>
      <c r="L188" t="s">
        <v>315</v>
      </c>
      <c r="M188" t="s">
        <v>118</v>
      </c>
    </row>
    <row r="189" spans="1:13" x14ac:dyDescent="0.35">
      <c r="A189" t="s">
        <v>13</v>
      </c>
      <c r="B189" t="s">
        <v>3</v>
      </c>
      <c r="C189" s="14">
        <v>18.989999999999998</v>
      </c>
      <c r="D189">
        <v>10</v>
      </c>
      <c r="E189">
        <v>38</v>
      </c>
      <c r="F189" t="s">
        <v>588</v>
      </c>
      <c r="G189" t="s">
        <v>590</v>
      </c>
      <c r="H189">
        <v>1</v>
      </c>
      <c r="I189">
        <v>2024</v>
      </c>
      <c r="J189" s="7">
        <v>0.48627314814814815</v>
      </c>
      <c r="K189" t="s">
        <v>509</v>
      </c>
      <c r="L189" t="s">
        <v>505</v>
      </c>
      <c r="M189" t="s">
        <v>118</v>
      </c>
    </row>
    <row r="190" spans="1:13" x14ac:dyDescent="0.35">
      <c r="A190" t="s">
        <v>46</v>
      </c>
      <c r="B190" t="s">
        <v>3</v>
      </c>
      <c r="C190" s="14">
        <v>18.989999999999998</v>
      </c>
      <c r="D190">
        <v>10</v>
      </c>
      <c r="E190">
        <v>14</v>
      </c>
      <c r="F190" t="s">
        <v>588</v>
      </c>
      <c r="G190" t="s">
        <v>590</v>
      </c>
      <c r="H190">
        <v>17</v>
      </c>
      <c r="I190">
        <v>2024</v>
      </c>
      <c r="J190" s="7">
        <v>0.48449074074074072</v>
      </c>
      <c r="K190" t="s">
        <v>367</v>
      </c>
      <c r="L190" t="s">
        <v>506</v>
      </c>
      <c r="M190" t="s">
        <v>118</v>
      </c>
    </row>
    <row r="191" spans="1:13" x14ac:dyDescent="0.35">
      <c r="A191" t="s">
        <v>26</v>
      </c>
      <c r="B191" t="s">
        <v>3</v>
      </c>
      <c r="C191" s="14">
        <v>19.16</v>
      </c>
      <c r="D191">
        <v>3</v>
      </c>
      <c r="E191">
        <v>348</v>
      </c>
      <c r="F191" t="s">
        <v>588</v>
      </c>
      <c r="G191" t="s">
        <v>590</v>
      </c>
      <c r="H191">
        <v>24</v>
      </c>
      <c r="I191">
        <v>2024</v>
      </c>
      <c r="J191" s="7">
        <v>7.1759259259259259E-2</v>
      </c>
      <c r="K191" t="s">
        <v>291</v>
      </c>
      <c r="L191" t="s">
        <v>274</v>
      </c>
      <c r="M191" t="s">
        <v>118</v>
      </c>
    </row>
    <row r="192" spans="1:13" x14ac:dyDescent="0.35">
      <c r="A192" t="s">
        <v>15</v>
      </c>
      <c r="B192" t="s">
        <v>1</v>
      </c>
      <c r="C192" s="14">
        <v>19.41</v>
      </c>
      <c r="D192">
        <v>3</v>
      </c>
      <c r="E192">
        <v>501</v>
      </c>
      <c r="F192" t="s">
        <v>588</v>
      </c>
      <c r="G192" t="s">
        <v>590</v>
      </c>
      <c r="H192">
        <v>24</v>
      </c>
      <c r="I192">
        <v>2024</v>
      </c>
      <c r="J192" s="7">
        <v>0.42581018518518521</v>
      </c>
      <c r="K192" t="s">
        <v>291</v>
      </c>
      <c r="L192" t="s">
        <v>274</v>
      </c>
      <c r="M192" t="s">
        <v>118</v>
      </c>
    </row>
    <row r="193" spans="1:13" x14ac:dyDescent="0.35">
      <c r="A193" t="s">
        <v>7</v>
      </c>
      <c r="B193" t="s">
        <v>1</v>
      </c>
      <c r="C193" s="14">
        <v>19.73</v>
      </c>
      <c r="D193">
        <v>452</v>
      </c>
      <c r="E193">
        <v>55</v>
      </c>
      <c r="F193" t="s">
        <v>588</v>
      </c>
      <c r="G193" t="s">
        <v>590</v>
      </c>
      <c r="H193">
        <v>24</v>
      </c>
      <c r="I193">
        <v>2024</v>
      </c>
      <c r="J193" s="7">
        <v>0.29344907407407406</v>
      </c>
      <c r="K193" t="s">
        <v>509</v>
      </c>
      <c r="L193" t="s">
        <v>505</v>
      </c>
      <c r="M193" t="s">
        <v>118</v>
      </c>
    </row>
    <row r="194" spans="1:13" x14ac:dyDescent="0.35">
      <c r="A194" t="s">
        <v>71</v>
      </c>
      <c r="B194" t="s">
        <v>1</v>
      </c>
      <c r="C194" s="14">
        <v>19.73</v>
      </c>
      <c r="D194">
        <v>2</v>
      </c>
      <c r="E194">
        <v>20</v>
      </c>
      <c r="F194" t="s">
        <v>588</v>
      </c>
      <c r="G194" t="s">
        <v>590</v>
      </c>
      <c r="H194">
        <v>24</v>
      </c>
      <c r="I194">
        <v>2024</v>
      </c>
      <c r="J194" s="7">
        <v>0.2600810185185185</v>
      </c>
      <c r="K194" t="s">
        <v>509</v>
      </c>
      <c r="L194" t="s">
        <v>505</v>
      </c>
      <c r="M194" t="s">
        <v>118</v>
      </c>
    </row>
    <row r="195" spans="1:13" x14ac:dyDescent="0.35">
      <c r="A195" t="s">
        <v>7</v>
      </c>
      <c r="B195" t="s">
        <v>1</v>
      </c>
      <c r="C195" s="14">
        <v>19.73</v>
      </c>
      <c r="D195">
        <v>4</v>
      </c>
      <c r="E195">
        <v>18</v>
      </c>
      <c r="F195" t="s">
        <v>588</v>
      </c>
      <c r="G195" t="s">
        <v>590</v>
      </c>
      <c r="H195">
        <v>24</v>
      </c>
      <c r="I195">
        <v>2024</v>
      </c>
      <c r="J195" s="7">
        <v>0.23924768518518519</v>
      </c>
      <c r="K195" t="s">
        <v>509</v>
      </c>
      <c r="L195" t="s">
        <v>505</v>
      </c>
      <c r="M195" t="s">
        <v>118</v>
      </c>
    </row>
    <row r="196" spans="1:13" x14ac:dyDescent="0.35">
      <c r="A196" t="s">
        <v>20</v>
      </c>
      <c r="B196" t="s">
        <v>1</v>
      </c>
      <c r="C196" s="14">
        <v>19.73</v>
      </c>
      <c r="D196">
        <v>3</v>
      </c>
      <c r="E196">
        <v>5</v>
      </c>
      <c r="F196" t="s">
        <v>588</v>
      </c>
      <c r="G196" t="s">
        <v>590</v>
      </c>
      <c r="H196">
        <v>23</v>
      </c>
      <c r="I196">
        <v>2024</v>
      </c>
      <c r="J196" s="7">
        <v>0.2270949074074074</v>
      </c>
      <c r="K196" t="s">
        <v>509</v>
      </c>
      <c r="L196" t="s">
        <v>505</v>
      </c>
      <c r="M196" t="s">
        <v>118</v>
      </c>
    </row>
    <row r="197" spans="1:13" x14ac:dyDescent="0.35">
      <c r="A197" t="s">
        <v>12</v>
      </c>
      <c r="B197" t="s">
        <v>3</v>
      </c>
      <c r="C197" s="14">
        <v>19.73</v>
      </c>
      <c r="D197">
        <v>2</v>
      </c>
      <c r="E197">
        <v>7</v>
      </c>
      <c r="F197" t="s">
        <v>588</v>
      </c>
      <c r="G197" t="s">
        <v>590</v>
      </c>
      <c r="H197">
        <v>23</v>
      </c>
      <c r="I197">
        <v>2024</v>
      </c>
      <c r="J197" s="7">
        <v>0.86414351851851856</v>
      </c>
      <c r="K197" t="s">
        <v>509</v>
      </c>
      <c r="L197" t="s">
        <v>505</v>
      </c>
      <c r="M197" t="s">
        <v>118</v>
      </c>
    </row>
    <row r="198" spans="1:13" x14ac:dyDescent="0.35">
      <c r="A198" t="s">
        <v>247</v>
      </c>
      <c r="B198" t="s">
        <v>3</v>
      </c>
      <c r="C198" s="14">
        <v>19.75</v>
      </c>
      <c r="D198">
        <v>10</v>
      </c>
      <c r="E198">
        <v>7253</v>
      </c>
      <c r="F198" t="s">
        <v>589</v>
      </c>
      <c r="G198" t="s">
        <v>590</v>
      </c>
      <c r="H198">
        <v>21</v>
      </c>
      <c r="I198">
        <v>2024</v>
      </c>
      <c r="J198" s="7">
        <v>0.41813657407407406</v>
      </c>
      <c r="K198" t="s">
        <v>291</v>
      </c>
      <c r="L198" t="s">
        <v>274</v>
      </c>
      <c r="M198" t="s">
        <v>118</v>
      </c>
    </row>
    <row r="199" spans="1:13" x14ac:dyDescent="0.35">
      <c r="A199" t="s">
        <v>106</v>
      </c>
      <c r="B199" t="s">
        <v>1</v>
      </c>
      <c r="C199" s="14">
        <v>19.89</v>
      </c>
      <c r="D199">
        <v>47</v>
      </c>
      <c r="E199">
        <v>21</v>
      </c>
      <c r="F199" t="s">
        <v>588</v>
      </c>
      <c r="G199" t="s">
        <v>590</v>
      </c>
      <c r="H199">
        <v>24</v>
      </c>
      <c r="I199">
        <v>2024</v>
      </c>
      <c r="J199" s="7">
        <v>0.4258912037037037</v>
      </c>
      <c r="K199" t="s">
        <v>285</v>
      </c>
      <c r="L199" t="s">
        <v>286</v>
      </c>
      <c r="M199" t="s">
        <v>118</v>
      </c>
    </row>
    <row r="200" spans="1:13" x14ac:dyDescent="0.35">
      <c r="A200" t="s">
        <v>37</v>
      </c>
      <c r="B200" t="s">
        <v>3</v>
      </c>
      <c r="C200" s="14">
        <v>19.899999999999999</v>
      </c>
      <c r="D200">
        <v>10</v>
      </c>
      <c r="E200">
        <v>294</v>
      </c>
      <c r="F200" t="s">
        <v>588</v>
      </c>
      <c r="G200" t="s">
        <v>590</v>
      </c>
      <c r="H200">
        <v>2</v>
      </c>
      <c r="I200">
        <v>2024</v>
      </c>
      <c r="J200" s="7">
        <v>0.57510416666666664</v>
      </c>
      <c r="K200" t="s">
        <v>380</v>
      </c>
      <c r="L200" t="s">
        <v>505</v>
      </c>
      <c r="M200" t="s">
        <v>118</v>
      </c>
    </row>
    <row r="201" spans="1:13" x14ac:dyDescent="0.35">
      <c r="A201" t="s">
        <v>37</v>
      </c>
      <c r="B201" t="s">
        <v>1</v>
      </c>
      <c r="C201" s="14">
        <v>19.899999999999999</v>
      </c>
      <c r="D201">
        <v>0</v>
      </c>
      <c r="E201">
        <v>331</v>
      </c>
      <c r="F201" t="s">
        <v>588</v>
      </c>
      <c r="G201" t="s">
        <v>596</v>
      </c>
      <c r="H201">
        <v>21</v>
      </c>
      <c r="I201">
        <v>2023</v>
      </c>
      <c r="J201" s="7">
        <v>0.35619212962962965</v>
      </c>
      <c r="K201" t="s">
        <v>533</v>
      </c>
      <c r="L201" t="s">
        <v>505</v>
      </c>
      <c r="M201" t="s">
        <v>118</v>
      </c>
    </row>
    <row r="202" spans="1:13" x14ac:dyDescent="0.35">
      <c r="A202" t="s">
        <v>4</v>
      </c>
      <c r="B202" t="s">
        <v>1</v>
      </c>
      <c r="C202" s="14">
        <v>19.95</v>
      </c>
      <c r="D202">
        <v>10</v>
      </c>
      <c r="E202">
        <v>6</v>
      </c>
      <c r="F202" t="s">
        <v>588</v>
      </c>
      <c r="G202" t="s">
        <v>239</v>
      </c>
      <c r="H202">
        <v>0</v>
      </c>
      <c r="I202">
        <v>0</v>
      </c>
      <c r="J202" s="7">
        <v>0</v>
      </c>
      <c r="K202" t="s">
        <v>372</v>
      </c>
      <c r="L202" t="s">
        <v>274</v>
      </c>
      <c r="M202" t="s">
        <v>118</v>
      </c>
    </row>
    <row r="203" spans="1:13" x14ac:dyDescent="0.35">
      <c r="A203" t="s">
        <v>101</v>
      </c>
      <c r="B203" t="s">
        <v>146</v>
      </c>
      <c r="C203" s="14">
        <v>19.97</v>
      </c>
      <c r="D203">
        <v>21</v>
      </c>
      <c r="E203">
        <v>15</v>
      </c>
      <c r="F203" t="s">
        <v>588</v>
      </c>
      <c r="G203" t="s">
        <v>590</v>
      </c>
      <c r="H203">
        <v>20</v>
      </c>
      <c r="I203">
        <v>2024</v>
      </c>
      <c r="J203" s="7">
        <v>0.88961805555555551</v>
      </c>
      <c r="K203" t="s">
        <v>387</v>
      </c>
      <c r="L203" t="s">
        <v>282</v>
      </c>
      <c r="M203" t="s">
        <v>118</v>
      </c>
    </row>
    <row r="204" spans="1:13" x14ac:dyDescent="0.35">
      <c r="A204" t="s">
        <v>49</v>
      </c>
      <c r="B204" t="s">
        <v>3</v>
      </c>
      <c r="C204" s="14">
        <v>19.989999999999998</v>
      </c>
      <c r="D204">
        <v>4</v>
      </c>
      <c r="E204">
        <v>8</v>
      </c>
      <c r="F204" t="s">
        <v>588</v>
      </c>
      <c r="G204" t="s">
        <v>590</v>
      </c>
      <c r="H204">
        <v>21</v>
      </c>
      <c r="I204">
        <v>2024</v>
      </c>
      <c r="J204" s="7">
        <v>0.79353009259259255</v>
      </c>
      <c r="K204" t="s">
        <v>375</v>
      </c>
      <c r="L204" t="s">
        <v>376</v>
      </c>
      <c r="M204" t="s">
        <v>118</v>
      </c>
    </row>
    <row r="205" spans="1:13" x14ac:dyDescent="0.35">
      <c r="A205" t="s">
        <v>201</v>
      </c>
      <c r="B205" t="s">
        <v>1</v>
      </c>
      <c r="C205" s="14">
        <v>19.989999999999998</v>
      </c>
      <c r="D205">
        <v>10</v>
      </c>
      <c r="E205">
        <v>122</v>
      </c>
      <c r="F205" t="s">
        <v>588</v>
      </c>
      <c r="G205" t="s">
        <v>591</v>
      </c>
      <c r="H205">
        <v>28</v>
      </c>
      <c r="I205">
        <v>2024</v>
      </c>
      <c r="J205" s="7">
        <v>0.39374999999999999</v>
      </c>
      <c r="K205" t="s">
        <v>369</v>
      </c>
      <c r="L205" t="s">
        <v>506</v>
      </c>
      <c r="M205" t="s">
        <v>118</v>
      </c>
    </row>
    <row r="206" spans="1:13" x14ac:dyDescent="0.35">
      <c r="A206" t="s">
        <v>26</v>
      </c>
      <c r="B206" t="s">
        <v>3</v>
      </c>
      <c r="C206" s="14">
        <v>19.989999999999998</v>
      </c>
      <c r="D206">
        <v>8</v>
      </c>
      <c r="E206">
        <v>4</v>
      </c>
      <c r="F206" t="s">
        <v>588</v>
      </c>
      <c r="G206" t="s">
        <v>590</v>
      </c>
      <c r="H206">
        <v>23</v>
      </c>
      <c r="I206">
        <v>2024</v>
      </c>
      <c r="J206" s="7">
        <v>0.16582175925925927</v>
      </c>
      <c r="K206" t="s">
        <v>308</v>
      </c>
      <c r="L206" t="s">
        <v>309</v>
      </c>
      <c r="M206" t="s">
        <v>118</v>
      </c>
    </row>
    <row r="207" spans="1:13" x14ac:dyDescent="0.35">
      <c r="A207" t="s">
        <v>115</v>
      </c>
      <c r="B207" t="s">
        <v>37</v>
      </c>
      <c r="C207" s="14">
        <v>19.989999999999998</v>
      </c>
      <c r="D207">
        <v>7</v>
      </c>
      <c r="E207">
        <v>132</v>
      </c>
      <c r="F207" t="s">
        <v>588</v>
      </c>
      <c r="G207" t="s">
        <v>590</v>
      </c>
      <c r="H207">
        <v>23</v>
      </c>
      <c r="I207">
        <v>2024</v>
      </c>
      <c r="J207" s="7">
        <v>0.73508101851851848</v>
      </c>
      <c r="K207" t="s">
        <v>372</v>
      </c>
      <c r="L207" t="s">
        <v>274</v>
      </c>
      <c r="M207" t="s">
        <v>118</v>
      </c>
    </row>
    <row r="208" spans="1:13" x14ac:dyDescent="0.35">
      <c r="A208" t="s">
        <v>124</v>
      </c>
      <c r="B208" t="s">
        <v>37</v>
      </c>
      <c r="C208" s="14">
        <v>19.989999999999998</v>
      </c>
      <c r="D208">
        <v>5</v>
      </c>
      <c r="E208">
        <v>10</v>
      </c>
      <c r="F208" t="s">
        <v>588</v>
      </c>
      <c r="G208" t="s">
        <v>590</v>
      </c>
      <c r="H208">
        <v>3</v>
      </c>
      <c r="I208">
        <v>2024</v>
      </c>
      <c r="J208" s="7">
        <v>0.74746527777777783</v>
      </c>
      <c r="K208" t="s">
        <v>506</v>
      </c>
      <c r="L208" t="s">
        <v>505</v>
      </c>
      <c r="M208" t="s">
        <v>118</v>
      </c>
    </row>
    <row r="209" spans="1:13" x14ac:dyDescent="0.35">
      <c r="A209" t="s">
        <v>93</v>
      </c>
      <c r="B209" t="s">
        <v>3</v>
      </c>
      <c r="C209" s="14">
        <v>19.989999999999998</v>
      </c>
      <c r="D209">
        <v>10</v>
      </c>
      <c r="E209">
        <v>26</v>
      </c>
      <c r="F209" t="s">
        <v>588</v>
      </c>
      <c r="G209" t="s">
        <v>590</v>
      </c>
      <c r="H209">
        <v>19</v>
      </c>
      <c r="I209">
        <v>2024</v>
      </c>
      <c r="J209" s="7">
        <v>0.95560185185185187</v>
      </c>
      <c r="K209" t="s">
        <v>444</v>
      </c>
      <c r="L209" t="s">
        <v>445</v>
      </c>
      <c r="M209" t="s">
        <v>118</v>
      </c>
    </row>
    <row r="210" spans="1:13" x14ac:dyDescent="0.35">
      <c r="A210" t="s">
        <v>233</v>
      </c>
      <c r="B210" t="s">
        <v>1</v>
      </c>
      <c r="C210" s="14">
        <v>19.989999999999998</v>
      </c>
      <c r="D210">
        <v>3</v>
      </c>
      <c r="E210">
        <v>6</v>
      </c>
      <c r="F210" t="s">
        <v>588</v>
      </c>
      <c r="G210" t="s">
        <v>239</v>
      </c>
      <c r="H210">
        <v>0</v>
      </c>
      <c r="I210">
        <v>0</v>
      </c>
      <c r="J210" s="7">
        <v>0</v>
      </c>
      <c r="K210" t="s">
        <v>509</v>
      </c>
      <c r="L210" t="s">
        <v>505</v>
      </c>
      <c r="M210" t="s">
        <v>118</v>
      </c>
    </row>
    <row r="211" spans="1:13" x14ac:dyDescent="0.35">
      <c r="A211" t="s">
        <v>228</v>
      </c>
      <c r="B211" t="s">
        <v>3</v>
      </c>
      <c r="C211" s="14">
        <v>19.989999999999998</v>
      </c>
      <c r="D211">
        <v>0</v>
      </c>
      <c r="E211">
        <v>58</v>
      </c>
      <c r="F211" t="s">
        <v>588</v>
      </c>
      <c r="G211" t="s">
        <v>590</v>
      </c>
      <c r="H211">
        <v>4</v>
      </c>
      <c r="I211">
        <v>2024</v>
      </c>
      <c r="J211" s="7">
        <v>0.25903935185185184</v>
      </c>
      <c r="K211" t="s">
        <v>468</v>
      </c>
      <c r="L211" t="s">
        <v>505</v>
      </c>
      <c r="M211" t="s">
        <v>118</v>
      </c>
    </row>
    <row r="212" spans="1:13" x14ac:dyDescent="0.35">
      <c r="A212" t="s">
        <v>46</v>
      </c>
      <c r="B212" t="s">
        <v>1</v>
      </c>
      <c r="C212" s="14">
        <v>20</v>
      </c>
      <c r="D212">
        <v>5</v>
      </c>
      <c r="E212">
        <v>23</v>
      </c>
      <c r="F212" t="s">
        <v>588</v>
      </c>
      <c r="G212" t="s">
        <v>600</v>
      </c>
      <c r="H212">
        <v>0</v>
      </c>
      <c r="I212">
        <v>0</v>
      </c>
      <c r="J212" s="7">
        <v>0</v>
      </c>
      <c r="K212" t="s">
        <v>335</v>
      </c>
      <c r="L212" t="s">
        <v>282</v>
      </c>
      <c r="M212" t="s">
        <v>118</v>
      </c>
    </row>
    <row r="213" spans="1:13" x14ac:dyDescent="0.35">
      <c r="A213" t="s">
        <v>46</v>
      </c>
      <c r="B213" t="s">
        <v>1</v>
      </c>
      <c r="C213" s="14">
        <v>20</v>
      </c>
      <c r="D213">
        <v>8</v>
      </c>
      <c r="E213">
        <v>0</v>
      </c>
      <c r="F213" t="s">
        <v>589</v>
      </c>
      <c r="G213" t="s">
        <v>239</v>
      </c>
      <c r="H213">
        <v>0</v>
      </c>
      <c r="I213">
        <v>0</v>
      </c>
      <c r="J213" s="7">
        <v>0</v>
      </c>
      <c r="K213" t="s">
        <v>335</v>
      </c>
      <c r="L213" t="s">
        <v>282</v>
      </c>
      <c r="M213" t="s">
        <v>118</v>
      </c>
    </row>
    <row r="214" spans="1:13" x14ac:dyDescent="0.35">
      <c r="A214" t="s">
        <v>46</v>
      </c>
      <c r="B214" t="s">
        <v>1</v>
      </c>
      <c r="C214" s="14">
        <v>20</v>
      </c>
      <c r="D214">
        <v>8</v>
      </c>
      <c r="E214">
        <v>16</v>
      </c>
      <c r="F214" t="s">
        <v>588</v>
      </c>
      <c r="G214" t="s">
        <v>591</v>
      </c>
      <c r="H214">
        <v>12</v>
      </c>
      <c r="I214">
        <v>2024</v>
      </c>
      <c r="J214" s="7">
        <v>0.89311342592592591</v>
      </c>
      <c r="K214" t="s">
        <v>335</v>
      </c>
      <c r="L214" t="s">
        <v>282</v>
      </c>
      <c r="M214" t="s">
        <v>118</v>
      </c>
    </row>
    <row r="215" spans="1:13" x14ac:dyDescent="0.35">
      <c r="A215" t="s">
        <v>13</v>
      </c>
      <c r="B215" t="s">
        <v>137</v>
      </c>
      <c r="C215" s="14">
        <v>20</v>
      </c>
      <c r="D215">
        <v>3</v>
      </c>
      <c r="E215">
        <v>2</v>
      </c>
      <c r="F215" t="s">
        <v>588</v>
      </c>
      <c r="G215" t="s">
        <v>590</v>
      </c>
      <c r="H215">
        <v>22</v>
      </c>
      <c r="I215">
        <v>2024</v>
      </c>
      <c r="J215" s="7">
        <v>0.41688657407407409</v>
      </c>
      <c r="K215" t="s">
        <v>456</v>
      </c>
      <c r="L215" t="s">
        <v>506</v>
      </c>
      <c r="M215" t="s">
        <v>118</v>
      </c>
    </row>
    <row r="216" spans="1:13" x14ac:dyDescent="0.35">
      <c r="A216" t="s">
        <v>46</v>
      </c>
      <c r="B216" t="s">
        <v>1</v>
      </c>
      <c r="C216" s="14">
        <v>20</v>
      </c>
      <c r="D216">
        <v>5</v>
      </c>
      <c r="E216">
        <v>16</v>
      </c>
      <c r="F216" t="s">
        <v>588</v>
      </c>
      <c r="G216" t="s">
        <v>590</v>
      </c>
      <c r="H216">
        <v>5</v>
      </c>
      <c r="I216">
        <v>2024</v>
      </c>
      <c r="J216" s="7">
        <v>0.97059027777777773</v>
      </c>
      <c r="K216" t="s">
        <v>335</v>
      </c>
      <c r="L216" t="s">
        <v>282</v>
      </c>
      <c r="M216" t="s">
        <v>118</v>
      </c>
    </row>
    <row r="217" spans="1:13" x14ac:dyDescent="0.35">
      <c r="A217" t="s">
        <v>128</v>
      </c>
      <c r="B217" t="s">
        <v>3</v>
      </c>
      <c r="C217" s="14">
        <v>20.079999999999998</v>
      </c>
      <c r="D217">
        <v>7</v>
      </c>
      <c r="E217">
        <v>518</v>
      </c>
      <c r="F217" t="s">
        <v>588</v>
      </c>
      <c r="G217" t="s">
        <v>591</v>
      </c>
      <c r="H217">
        <v>23</v>
      </c>
      <c r="I217">
        <v>2024</v>
      </c>
      <c r="J217" s="7">
        <v>0.16483796296296296</v>
      </c>
      <c r="K217" t="s">
        <v>291</v>
      </c>
      <c r="L217" t="s">
        <v>274</v>
      </c>
      <c r="M217" t="s">
        <v>118</v>
      </c>
    </row>
    <row r="218" spans="1:13" x14ac:dyDescent="0.35">
      <c r="A218" t="s">
        <v>248</v>
      </c>
      <c r="B218" t="s">
        <v>3</v>
      </c>
      <c r="C218" s="14">
        <v>20.25</v>
      </c>
      <c r="D218">
        <v>16</v>
      </c>
      <c r="E218">
        <v>6633</v>
      </c>
      <c r="F218" t="s">
        <v>589</v>
      </c>
      <c r="G218" t="s">
        <v>590</v>
      </c>
      <c r="H218">
        <v>23</v>
      </c>
      <c r="I218">
        <v>2024</v>
      </c>
      <c r="J218" s="7">
        <v>0.60978009259259258</v>
      </c>
      <c r="K218" t="s">
        <v>291</v>
      </c>
      <c r="L218" t="s">
        <v>274</v>
      </c>
      <c r="M218" t="s">
        <v>118</v>
      </c>
    </row>
    <row r="219" spans="1:13" x14ac:dyDescent="0.35">
      <c r="A219" t="s">
        <v>128</v>
      </c>
      <c r="B219" t="s">
        <v>3</v>
      </c>
      <c r="C219" s="14">
        <v>20.25</v>
      </c>
      <c r="D219">
        <v>10</v>
      </c>
      <c r="E219">
        <v>24</v>
      </c>
      <c r="F219" t="s">
        <v>588</v>
      </c>
      <c r="G219" t="s">
        <v>590</v>
      </c>
      <c r="H219">
        <v>22</v>
      </c>
      <c r="I219">
        <v>2024</v>
      </c>
      <c r="J219" s="7">
        <v>0.22101851851851853</v>
      </c>
      <c r="K219" t="s">
        <v>506</v>
      </c>
      <c r="L219" t="s">
        <v>505</v>
      </c>
      <c r="M219" t="s">
        <v>118</v>
      </c>
    </row>
    <row r="220" spans="1:13" x14ac:dyDescent="0.35">
      <c r="A220" t="s">
        <v>223</v>
      </c>
      <c r="B220" t="s">
        <v>3</v>
      </c>
      <c r="C220" s="14">
        <v>20.28</v>
      </c>
      <c r="D220">
        <v>0</v>
      </c>
      <c r="E220">
        <v>1613</v>
      </c>
      <c r="F220" t="s">
        <v>589</v>
      </c>
      <c r="G220" t="s">
        <v>590</v>
      </c>
      <c r="H220">
        <v>24</v>
      </c>
      <c r="I220">
        <v>2024</v>
      </c>
      <c r="J220" s="7">
        <v>0.34313657407407405</v>
      </c>
      <c r="K220" t="s">
        <v>291</v>
      </c>
      <c r="L220" t="s">
        <v>274</v>
      </c>
      <c r="M220" t="s">
        <v>118</v>
      </c>
    </row>
    <row r="221" spans="1:13" x14ac:dyDescent="0.35">
      <c r="A221" t="s">
        <v>12</v>
      </c>
      <c r="B221" t="s">
        <v>3</v>
      </c>
      <c r="C221" s="14">
        <v>20.37</v>
      </c>
      <c r="D221">
        <v>0</v>
      </c>
      <c r="E221">
        <v>4569</v>
      </c>
      <c r="F221" t="s">
        <v>589</v>
      </c>
      <c r="G221" t="s">
        <v>590</v>
      </c>
      <c r="H221">
        <v>24</v>
      </c>
      <c r="I221">
        <v>2024</v>
      </c>
      <c r="J221" s="7">
        <v>0.43540509259259258</v>
      </c>
      <c r="K221" t="s">
        <v>290</v>
      </c>
      <c r="L221" t="s">
        <v>506</v>
      </c>
      <c r="M221" t="s">
        <v>118</v>
      </c>
    </row>
    <row r="222" spans="1:13" x14ac:dyDescent="0.35">
      <c r="A222" t="s">
        <v>138</v>
      </c>
      <c r="B222" t="s">
        <v>37</v>
      </c>
      <c r="C222" s="14">
        <v>20.48</v>
      </c>
      <c r="D222">
        <v>0</v>
      </c>
      <c r="E222">
        <v>2624</v>
      </c>
      <c r="F222" t="s">
        <v>589</v>
      </c>
      <c r="G222" t="s">
        <v>590</v>
      </c>
      <c r="H222">
        <v>22</v>
      </c>
      <c r="I222">
        <v>2024</v>
      </c>
      <c r="J222" s="7">
        <v>0.90357638888888892</v>
      </c>
      <c r="K222" t="s">
        <v>290</v>
      </c>
      <c r="L222" t="s">
        <v>506</v>
      </c>
      <c r="M222" t="s">
        <v>118</v>
      </c>
    </row>
    <row r="223" spans="1:13" x14ac:dyDescent="0.35">
      <c r="A223" t="s">
        <v>55</v>
      </c>
      <c r="B223" t="s">
        <v>3</v>
      </c>
      <c r="C223" s="14">
        <v>21</v>
      </c>
      <c r="D223">
        <v>10</v>
      </c>
      <c r="E223">
        <v>785</v>
      </c>
      <c r="F223" t="s">
        <v>588</v>
      </c>
      <c r="G223" t="s">
        <v>590</v>
      </c>
      <c r="H223">
        <v>24</v>
      </c>
      <c r="I223">
        <v>2024</v>
      </c>
      <c r="J223" s="7">
        <v>0.30634259259259261</v>
      </c>
      <c r="K223" t="s">
        <v>291</v>
      </c>
      <c r="L223" t="s">
        <v>274</v>
      </c>
      <c r="M223" t="s">
        <v>118</v>
      </c>
    </row>
    <row r="224" spans="1:13" x14ac:dyDescent="0.35">
      <c r="A224" t="s">
        <v>49</v>
      </c>
      <c r="B224" t="s">
        <v>3</v>
      </c>
      <c r="C224" s="14">
        <v>21.01</v>
      </c>
      <c r="D224">
        <v>10</v>
      </c>
      <c r="E224">
        <v>2486</v>
      </c>
      <c r="F224" t="s">
        <v>589</v>
      </c>
      <c r="G224" t="s">
        <v>590</v>
      </c>
      <c r="H224">
        <v>21</v>
      </c>
      <c r="I224">
        <v>2024</v>
      </c>
      <c r="J224" s="7">
        <v>0.8028819444444445</v>
      </c>
      <c r="K224" t="s">
        <v>291</v>
      </c>
      <c r="L224" t="s">
        <v>274</v>
      </c>
      <c r="M224" t="s">
        <v>118</v>
      </c>
    </row>
    <row r="225" spans="1:13" x14ac:dyDescent="0.35">
      <c r="A225" t="s">
        <v>15</v>
      </c>
      <c r="B225" t="s">
        <v>3</v>
      </c>
      <c r="C225" s="14">
        <v>21.15</v>
      </c>
      <c r="D225">
        <v>10</v>
      </c>
      <c r="E225">
        <v>739</v>
      </c>
      <c r="F225" t="s">
        <v>588</v>
      </c>
      <c r="G225" t="s">
        <v>590</v>
      </c>
      <c r="H225">
        <v>15</v>
      </c>
      <c r="I225">
        <v>2024</v>
      </c>
      <c r="J225" s="7">
        <v>0.79565972222222225</v>
      </c>
      <c r="K225" t="s">
        <v>291</v>
      </c>
      <c r="L225" t="s">
        <v>274</v>
      </c>
      <c r="M225" t="s">
        <v>118</v>
      </c>
    </row>
    <row r="226" spans="1:13" x14ac:dyDescent="0.35">
      <c r="A226" t="s">
        <v>162</v>
      </c>
      <c r="B226" t="s">
        <v>3</v>
      </c>
      <c r="C226" s="14">
        <v>21.21</v>
      </c>
      <c r="D226">
        <v>9</v>
      </c>
      <c r="E226">
        <v>300</v>
      </c>
      <c r="F226" t="s">
        <v>588</v>
      </c>
      <c r="G226" t="s">
        <v>590</v>
      </c>
      <c r="H226">
        <v>14</v>
      </c>
      <c r="I226">
        <v>2024</v>
      </c>
      <c r="J226" s="7">
        <v>0.67502314814814812</v>
      </c>
      <c r="K226" t="s">
        <v>290</v>
      </c>
      <c r="L226" t="s">
        <v>506</v>
      </c>
      <c r="M226" t="s">
        <v>118</v>
      </c>
    </row>
    <row r="227" spans="1:13" x14ac:dyDescent="0.35">
      <c r="A227" t="s">
        <v>152</v>
      </c>
      <c r="B227" t="s">
        <v>3</v>
      </c>
      <c r="C227" s="14">
        <v>21.25</v>
      </c>
      <c r="D227">
        <v>10</v>
      </c>
      <c r="E227">
        <v>504</v>
      </c>
      <c r="F227" t="s">
        <v>588</v>
      </c>
      <c r="G227" t="s">
        <v>590</v>
      </c>
      <c r="H227">
        <v>17</v>
      </c>
      <c r="I227">
        <v>2024</v>
      </c>
      <c r="J227" s="7">
        <v>0.39775462962962965</v>
      </c>
      <c r="K227" t="s">
        <v>516</v>
      </c>
      <c r="L227" t="s">
        <v>282</v>
      </c>
      <c r="M227" t="s">
        <v>118</v>
      </c>
    </row>
    <row r="228" spans="1:13" x14ac:dyDescent="0.35">
      <c r="A228" t="s">
        <v>26</v>
      </c>
      <c r="B228" t="s">
        <v>1</v>
      </c>
      <c r="C228" s="14">
        <v>21.27</v>
      </c>
      <c r="D228">
        <v>10</v>
      </c>
      <c r="E228">
        <v>30</v>
      </c>
      <c r="F228" t="s">
        <v>588</v>
      </c>
      <c r="G228" t="s">
        <v>590</v>
      </c>
      <c r="H228">
        <v>9</v>
      </c>
      <c r="I228">
        <v>2024</v>
      </c>
      <c r="J228" s="7">
        <v>0.86680555555555561</v>
      </c>
      <c r="K228" t="s">
        <v>405</v>
      </c>
      <c r="L228" t="s">
        <v>282</v>
      </c>
      <c r="M228" t="s">
        <v>118</v>
      </c>
    </row>
    <row r="229" spans="1:13" x14ac:dyDescent="0.35">
      <c r="A229" t="s">
        <v>26</v>
      </c>
      <c r="B229" t="s">
        <v>1</v>
      </c>
      <c r="C229" s="14">
        <v>21.27</v>
      </c>
      <c r="D229">
        <v>10</v>
      </c>
      <c r="E229">
        <v>112</v>
      </c>
      <c r="F229" t="s">
        <v>588</v>
      </c>
      <c r="G229" t="s">
        <v>590</v>
      </c>
      <c r="H229">
        <v>23</v>
      </c>
      <c r="I229">
        <v>2024</v>
      </c>
      <c r="J229" s="7">
        <v>0.36074074074074075</v>
      </c>
      <c r="K229" t="s">
        <v>118</v>
      </c>
      <c r="L229" t="s">
        <v>356</v>
      </c>
      <c r="M229" t="s">
        <v>118</v>
      </c>
    </row>
    <row r="230" spans="1:13" x14ac:dyDescent="0.35">
      <c r="A230" t="s">
        <v>5</v>
      </c>
      <c r="B230" t="s">
        <v>1</v>
      </c>
      <c r="C230" s="14">
        <v>21.54</v>
      </c>
      <c r="D230">
        <v>8</v>
      </c>
      <c r="E230">
        <v>989</v>
      </c>
      <c r="F230" t="s">
        <v>588</v>
      </c>
      <c r="G230" t="s">
        <v>590</v>
      </c>
      <c r="H230">
        <v>24</v>
      </c>
      <c r="I230">
        <v>2024</v>
      </c>
      <c r="J230" s="7">
        <v>0.26481481481481484</v>
      </c>
      <c r="K230" t="s">
        <v>291</v>
      </c>
      <c r="L230" t="s">
        <v>274</v>
      </c>
      <c r="M230" t="s">
        <v>118</v>
      </c>
    </row>
    <row r="231" spans="1:13" x14ac:dyDescent="0.35">
      <c r="A231" t="s">
        <v>138</v>
      </c>
      <c r="B231" t="s">
        <v>37</v>
      </c>
      <c r="C231" s="14">
        <v>21.79</v>
      </c>
      <c r="D231">
        <v>10</v>
      </c>
      <c r="E231">
        <v>488</v>
      </c>
      <c r="F231" t="s">
        <v>588</v>
      </c>
      <c r="G231" t="s">
        <v>590</v>
      </c>
      <c r="H231">
        <v>24</v>
      </c>
      <c r="I231">
        <v>2024</v>
      </c>
      <c r="J231" s="7">
        <v>0.41877314814814814</v>
      </c>
      <c r="K231" t="s">
        <v>290</v>
      </c>
      <c r="L231" t="s">
        <v>506</v>
      </c>
      <c r="M231" t="s">
        <v>118</v>
      </c>
    </row>
    <row r="232" spans="1:13" x14ac:dyDescent="0.35">
      <c r="A232" t="s">
        <v>240</v>
      </c>
      <c r="B232" t="s">
        <v>1</v>
      </c>
      <c r="C232" s="14">
        <v>21.8</v>
      </c>
      <c r="D232">
        <v>9</v>
      </c>
      <c r="E232">
        <v>7</v>
      </c>
      <c r="F232" t="s">
        <v>588</v>
      </c>
      <c r="G232" t="s">
        <v>591</v>
      </c>
      <c r="H232">
        <v>16</v>
      </c>
      <c r="I232">
        <v>2024</v>
      </c>
      <c r="J232" s="7">
        <v>0.57594907407407403</v>
      </c>
      <c r="K232" t="s">
        <v>506</v>
      </c>
      <c r="L232" t="s">
        <v>505</v>
      </c>
      <c r="M232" t="s">
        <v>118</v>
      </c>
    </row>
    <row r="233" spans="1:13" x14ac:dyDescent="0.35">
      <c r="A233" t="s">
        <v>255</v>
      </c>
      <c r="B233" t="s">
        <v>3</v>
      </c>
      <c r="C233" s="14">
        <v>21.91</v>
      </c>
      <c r="D233">
        <v>3</v>
      </c>
      <c r="E233">
        <v>1831</v>
      </c>
      <c r="F233" t="s">
        <v>589</v>
      </c>
      <c r="G233" t="s">
        <v>590</v>
      </c>
      <c r="H233">
        <v>24</v>
      </c>
      <c r="I233">
        <v>2024</v>
      </c>
      <c r="J233" s="7">
        <v>0.3792476851851852</v>
      </c>
      <c r="K233" t="s">
        <v>291</v>
      </c>
      <c r="L233" t="s">
        <v>274</v>
      </c>
      <c r="M233" t="s">
        <v>118</v>
      </c>
    </row>
    <row r="234" spans="1:13" x14ac:dyDescent="0.35">
      <c r="A234" t="s">
        <v>69</v>
      </c>
      <c r="B234" t="s">
        <v>1</v>
      </c>
      <c r="C234" s="14">
        <v>21.95</v>
      </c>
      <c r="D234">
        <v>10</v>
      </c>
      <c r="E234">
        <v>448</v>
      </c>
      <c r="F234" t="s">
        <v>588</v>
      </c>
      <c r="G234" t="s">
        <v>590</v>
      </c>
      <c r="H234">
        <v>23</v>
      </c>
      <c r="I234">
        <v>2024</v>
      </c>
      <c r="J234" s="7">
        <v>0.94133101851851853</v>
      </c>
      <c r="K234" t="s">
        <v>358</v>
      </c>
      <c r="L234" t="s">
        <v>274</v>
      </c>
      <c r="M234" t="s">
        <v>118</v>
      </c>
    </row>
    <row r="235" spans="1:13" x14ac:dyDescent="0.35">
      <c r="A235" t="s">
        <v>26</v>
      </c>
      <c r="B235" t="s">
        <v>3</v>
      </c>
      <c r="C235" s="14">
        <v>21.95</v>
      </c>
      <c r="D235">
        <v>0</v>
      </c>
      <c r="E235">
        <v>189</v>
      </c>
      <c r="F235" t="s">
        <v>588</v>
      </c>
      <c r="G235" t="s">
        <v>591</v>
      </c>
      <c r="H235">
        <v>23</v>
      </c>
      <c r="I235">
        <v>2024</v>
      </c>
      <c r="J235" s="7">
        <v>0.81630787037037034</v>
      </c>
      <c r="K235" t="s">
        <v>506</v>
      </c>
      <c r="L235" t="s">
        <v>505</v>
      </c>
      <c r="M235" t="s">
        <v>118</v>
      </c>
    </row>
    <row r="236" spans="1:13" x14ac:dyDescent="0.35">
      <c r="A236" t="s">
        <v>18</v>
      </c>
      <c r="B236" t="s">
        <v>3</v>
      </c>
      <c r="C236" s="14">
        <v>21.99</v>
      </c>
      <c r="D236">
        <v>10</v>
      </c>
      <c r="E236">
        <v>86</v>
      </c>
      <c r="F236" t="s">
        <v>588</v>
      </c>
      <c r="G236" t="s">
        <v>590</v>
      </c>
      <c r="H236">
        <v>21</v>
      </c>
      <c r="I236">
        <v>2024</v>
      </c>
      <c r="J236" s="7">
        <v>0.60304398148148153</v>
      </c>
      <c r="K236" t="s">
        <v>285</v>
      </c>
      <c r="L236" t="s">
        <v>286</v>
      </c>
      <c r="M236" t="s">
        <v>118</v>
      </c>
    </row>
    <row r="237" spans="1:13" x14ac:dyDescent="0.35">
      <c r="A237" t="s">
        <v>2</v>
      </c>
      <c r="B237" t="s">
        <v>1</v>
      </c>
      <c r="C237" s="14">
        <v>21.99</v>
      </c>
      <c r="D237">
        <v>3</v>
      </c>
      <c r="E237">
        <v>2</v>
      </c>
      <c r="F237" t="s">
        <v>588</v>
      </c>
      <c r="G237" t="s">
        <v>590</v>
      </c>
      <c r="H237">
        <v>23</v>
      </c>
      <c r="I237">
        <v>2024</v>
      </c>
      <c r="J237" s="7">
        <v>0.8370023148148148</v>
      </c>
      <c r="K237" t="s">
        <v>344</v>
      </c>
      <c r="L237" t="s">
        <v>277</v>
      </c>
      <c r="M237" t="s">
        <v>536</v>
      </c>
    </row>
    <row r="238" spans="1:13" x14ac:dyDescent="0.35">
      <c r="A238" t="s">
        <v>204</v>
      </c>
      <c r="B238" t="s">
        <v>3</v>
      </c>
      <c r="C238" s="14">
        <v>22</v>
      </c>
      <c r="D238">
        <v>2</v>
      </c>
      <c r="E238">
        <v>1</v>
      </c>
      <c r="F238" t="s">
        <v>588</v>
      </c>
      <c r="G238" t="s">
        <v>239</v>
      </c>
      <c r="H238">
        <v>0</v>
      </c>
      <c r="I238">
        <v>0</v>
      </c>
      <c r="J238" s="7">
        <v>0</v>
      </c>
      <c r="K238" t="s">
        <v>285</v>
      </c>
      <c r="L238" t="s">
        <v>286</v>
      </c>
      <c r="M238" t="s">
        <v>118</v>
      </c>
    </row>
    <row r="239" spans="1:13" x14ac:dyDescent="0.35">
      <c r="A239" t="s">
        <v>94</v>
      </c>
      <c r="B239" t="s">
        <v>3</v>
      </c>
      <c r="C239" s="14">
        <v>22</v>
      </c>
      <c r="D239">
        <v>10</v>
      </c>
      <c r="E239">
        <v>286</v>
      </c>
      <c r="F239" t="s">
        <v>588</v>
      </c>
      <c r="G239" t="s">
        <v>594</v>
      </c>
      <c r="H239">
        <v>10</v>
      </c>
      <c r="I239">
        <v>2024</v>
      </c>
      <c r="J239" s="7">
        <v>0.59666666666666668</v>
      </c>
      <c r="K239" t="s">
        <v>514</v>
      </c>
      <c r="L239" t="s">
        <v>505</v>
      </c>
      <c r="M239" t="s">
        <v>118</v>
      </c>
    </row>
    <row r="240" spans="1:13" x14ac:dyDescent="0.35">
      <c r="A240" t="s">
        <v>20</v>
      </c>
      <c r="B240" t="s">
        <v>1</v>
      </c>
      <c r="C240" s="14">
        <v>22.15</v>
      </c>
      <c r="D240">
        <v>0</v>
      </c>
      <c r="E240">
        <v>196</v>
      </c>
      <c r="F240" t="s">
        <v>588</v>
      </c>
      <c r="G240" t="s">
        <v>590</v>
      </c>
      <c r="H240">
        <v>23</v>
      </c>
      <c r="I240">
        <v>2024</v>
      </c>
      <c r="J240" s="7">
        <v>0.28151620370370373</v>
      </c>
      <c r="K240" t="s">
        <v>291</v>
      </c>
      <c r="L240" t="s">
        <v>274</v>
      </c>
      <c r="M240" t="s">
        <v>118</v>
      </c>
    </row>
    <row r="241" spans="1:13" x14ac:dyDescent="0.35">
      <c r="A241" t="s">
        <v>63</v>
      </c>
      <c r="B241" t="s">
        <v>3</v>
      </c>
      <c r="C241" s="14">
        <v>22.24</v>
      </c>
      <c r="D241">
        <v>10</v>
      </c>
      <c r="E241">
        <v>1424</v>
      </c>
      <c r="F241" t="s">
        <v>589</v>
      </c>
      <c r="G241" t="s">
        <v>590</v>
      </c>
      <c r="H241">
        <v>24</v>
      </c>
      <c r="I241">
        <v>2024</v>
      </c>
      <c r="J241" s="7">
        <v>0.29655092592592591</v>
      </c>
      <c r="K241" t="s">
        <v>290</v>
      </c>
      <c r="L241" t="s">
        <v>506</v>
      </c>
      <c r="M241" t="s">
        <v>118</v>
      </c>
    </row>
    <row r="242" spans="1:13" x14ac:dyDescent="0.35">
      <c r="A242" t="s">
        <v>9</v>
      </c>
      <c r="B242" t="s">
        <v>3</v>
      </c>
      <c r="C242" s="14">
        <v>22.5</v>
      </c>
      <c r="D242">
        <v>2</v>
      </c>
      <c r="E242">
        <v>2</v>
      </c>
      <c r="F242" t="s">
        <v>588</v>
      </c>
      <c r="G242" t="s">
        <v>239</v>
      </c>
      <c r="H242">
        <v>0</v>
      </c>
      <c r="I242">
        <v>0</v>
      </c>
      <c r="J242" s="7">
        <v>0</v>
      </c>
      <c r="K242" t="s">
        <v>312</v>
      </c>
      <c r="L242" t="s">
        <v>299</v>
      </c>
      <c r="M242" t="s">
        <v>118</v>
      </c>
    </row>
    <row r="243" spans="1:13" x14ac:dyDescent="0.35">
      <c r="A243" t="s">
        <v>260</v>
      </c>
      <c r="B243" t="s">
        <v>3</v>
      </c>
      <c r="C243" s="14">
        <v>22.6</v>
      </c>
      <c r="D243">
        <v>10</v>
      </c>
      <c r="E243">
        <v>541</v>
      </c>
      <c r="F243" t="s">
        <v>588</v>
      </c>
      <c r="G243" t="s">
        <v>590</v>
      </c>
      <c r="H243">
        <v>24</v>
      </c>
      <c r="I243">
        <v>2024</v>
      </c>
      <c r="J243" s="7">
        <v>0.29864583333333333</v>
      </c>
      <c r="K243" t="s">
        <v>290</v>
      </c>
      <c r="L243" t="s">
        <v>506</v>
      </c>
      <c r="M243" t="s">
        <v>118</v>
      </c>
    </row>
    <row r="244" spans="1:13" x14ac:dyDescent="0.35">
      <c r="A244" t="s">
        <v>15</v>
      </c>
      <c r="B244" t="s">
        <v>1</v>
      </c>
      <c r="C244" s="14">
        <v>22.61</v>
      </c>
      <c r="D244">
        <v>0</v>
      </c>
      <c r="E244">
        <v>619</v>
      </c>
      <c r="F244" t="s">
        <v>588</v>
      </c>
      <c r="G244" t="s">
        <v>590</v>
      </c>
      <c r="H244">
        <v>24</v>
      </c>
      <c r="I244">
        <v>2024</v>
      </c>
      <c r="J244" s="7">
        <v>0.27372685185185186</v>
      </c>
      <c r="K244" t="s">
        <v>291</v>
      </c>
      <c r="L244" t="s">
        <v>274</v>
      </c>
      <c r="M244" t="s">
        <v>118</v>
      </c>
    </row>
    <row r="245" spans="1:13" x14ac:dyDescent="0.35">
      <c r="A245" t="s">
        <v>16</v>
      </c>
      <c r="B245" t="s">
        <v>1</v>
      </c>
      <c r="C245" s="14">
        <v>22.79</v>
      </c>
      <c r="D245">
        <v>52</v>
      </c>
      <c r="E245">
        <v>7</v>
      </c>
      <c r="F245" t="s">
        <v>588</v>
      </c>
      <c r="G245" t="s">
        <v>590</v>
      </c>
      <c r="H245">
        <v>24</v>
      </c>
      <c r="I245">
        <v>2024</v>
      </c>
      <c r="J245" s="7">
        <v>0.33048611111111109</v>
      </c>
      <c r="K245" t="s">
        <v>301</v>
      </c>
      <c r="L245" t="s">
        <v>506</v>
      </c>
      <c r="M245" t="s">
        <v>118</v>
      </c>
    </row>
    <row r="246" spans="1:13" x14ac:dyDescent="0.35">
      <c r="A246" t="s">
        <v>38</v>
      </c>
      <c r="B246" t="s">
        <v>3</v>
      </c>
      <c r="C246" s="14">
        <v>22.87</v>
      </c>
      <c r="D246">
        <v>6</v>
      </c>
      <c r="E246">
        <v>440</v>
      </c>
      <c r="F246" t="s">
        <v>588</v>
      </c>
      <c r="G246" t="s">
        <v>590</v>
      </c>
      <c r="H246">
        <v>22</v>
      </c>
      <c r="I246">
        <v>2024</v>
      </c>
      <c r="J246" s="7">
        <v>0.38136574074074076</v>
      </c>
      <c r="K246" t="s">
        <v>291</v>
      </c>
      <c r="L246" t="s">
        <v>274</v>
      </c>
      <c r="M246" t="s">
        <v>118</v>
      </c>
    </row>
    <row r="247" spans="1:13" x14ac:dyDescent="0.35">
      <c r="A247" t="s">
        <v>69</v>
      </c>
      <c r="B247" t="s">
        <v>1</v>
      </c>
      <c r="C247" s="14">
        <v>22.95</v>
      </c>
      <c r="D247">
        <v>6</v>
      </c>
      <c r="E247">
        <v>647</v>
      </c>
      <c r="F247" t="s">
        <v>588</v>
      </c>
      <c r="G247" t="s">
        <v>591</v>
      </c>
      <c r="H247">
        <v>21</v>
      </c>
      <c r="I247">
        <v>2024</v>
      </c>
      <c r="J247" s="7">
        <v>0.89006944444444447</v>
      </c>
      <c r="K247" t="s">
        <v>358</v>
      </c>
      <c r="L247" t="s">
        <v>274</v>
      </c>
      <c r="M247" t="s">
        <v>118</v>
      </c>
    </row>
    <row r="248" spans="1:13" x14ac:dyDescent="0.35">
      <c r="A248" t="s">
        <v>237</v>
      </c>
      <c r="B248" t="s">
        <v>37</v>
      </c>
      <c r="C248" s="14">
        <v>22.98</v>
      </c>
      <c r="D248">
        <v>10</v>
      </c>
      <c r="E248">
        <v>18</v>
      </c>
      <c r="F248" t="s">
        <v>588</v>
      </c>
      <c r="G248" t="s">
        <v>590</v>
      </c>
      <c r="H248">
        <v>23</v>
      </c>
      <c r="I248">
        <v>2024</v>
      </c>
      <c r="J248" s="7">
        <v>0.92388888888888887</v>
      </c>
      <c r="K248" t="s">
        <v>509</v>
      </c>
      <c r="L248" t="s">
        <v>505</v>
      </c>
      <c r="M248" t="s">
        <v>118</v>
      </c>
    </row>
    <row r="249" spans="1:13" x14ac:dyDescent="0.35">
      <c r="A249" t="s">
        <v>46</v>
      </c>
      <c r="B249" t="s">
        <v>1</v>
      </c>
      <c r="C249" s="14">
        <v>22.99</v>
      </c>
      <c r="D249">
        <v>10</v>
      </c>
      <c r="E249">
        <v>52</v>
      </c>
      <c r="F249" t="s">
        <v>588</v>
      </c>
      <c r="G249" t="s">
        <v>590</v>
      </c>
      <c r="H249">
        <v>17</v>
      </c>
      <c r="I249">
        <v>2024</v>
      </c>
      <c r="J249" s="7">
        <v>0.48550925925925925</v>
      </c>
      <c r="K249" t="s">
        <v>367</v>
      </c>
      <c r="L249" t="s">
        <v>506</v>
      </c>
      <c r="M249" t="s">
        <v>118</v>
      </c>
    </row>
    <row r="250" spans="1:13" x14ac:dyDescent="0.35">
      <c r="A250" t="s">
        <v>9</v>
      </c>
      <c r="B250" t="s">
        <v>3</v>
      </c>
      <c r="C250" s="14">
        <v>22.99</v>
      </c>
      <c r="D250">
        <v>3</v>
      </c>
      <c r="E250">
        <v>14</v>
      </c>
      <c r="F250" t="s">
        <v>588</v>
      </c>
      <c r="G250" t="s">
        <v>590</v>
      </c>
      <c r="H250">
        <v>12</v>
      </c>
      <c r="I250">
        <v>2024</v>
      </c>
      <c r="J250" s="7">
        <v>0.71278935185185188</v>
      </c>
      <c r="K250" t="s">
        <v>509</v>
      </c>
      <c r="L250" t="s">
        <v>505</v>
      </c>
      <c r="M250" t="s">
        <v>118</v>
      </c>
    </row>
    <row r="251" spans="1:13" x14ac:dyDescent="0.35">
      <c r="A251" t="s">
        <v>96</v>
      </c>
      <c r="B251" t="s">
        <v>3</v>
      </c>
      <c r="C251" s="14">
        <v>22.99</v>
      </c>
      <c r="D251">
        <v>8</v>
      </c>
      <c r="E251">
        <v>31</v>
      </c>
      <c r="F251" t="s">
        <v>588</v>
      </c>
      <c r="G251" t="s">
        <v>590</v>
      </c>
      <c r="H251">
        <v>17</v>
      </c>
      <c r="I251">
        <v>2024</v>
      </c>
      <c r="J251" s="7">
        <v>0.4853587962962963</v>
      </c>
      <c r="K251" t="s">
        <v>367</v>
      </c>
      <c r="L251" t="s">
        <v>506</v>
      </c>
      <c r="M251" t="s">
        <v>118</v>
      </c>
    </row>
    <row r="252" spans="1:13" x14ac:dyDescent="0.35">
      <c r="A252" t="s">
        <v>243</v>
      </c>
      <c r="B252" t="s">
        <v>3</v>
      </c>
      <c r="C252" s="14">
        <v>22.99</v>
      </c>
      <c r="D252">
        <v>0</v>
      </c>
      <c r="E252">
        <v>12</v>
      </c>
      <c r="F252" t="s">
        <v>588</v>
      </c>
      <c r="G252" t="s">
        <v>590</v>
      </c>
      <c r="H252">
        <v>21</v>
      </c>
      <c r="I252">
        <v>2024</v>
      </c>
      <c r="J252" s="7">
        <v>0.7033449074074074</v>
      </c>
      <c r="K252" t="s">
        <v>506</v>
      </c>
      <c r="L252" t="s">
        <v>505</v>
      </c>
      <c r="M252" t="s">
        <v>118</v>
      </c>
    </row>
    <row r="253" spans="1:13" x14ac:dyDescent="0.35">
      <c r="A253" t="s">
        <v>62</v>
      </c>
      <c r="B253" t="s">
        <v>1</v>
      </c>
      <c r="C253" s="14">
        <v>22.99</v>
      </c>
      <c r="D253">
        <v>2</v>
      </c>
      <c r="E253">
        <v>1</v>
      </c>
      <c r="F253" t="s">
        <v>588</v>
      </c>
      <c r="G253" t="s">
        <v>239</v>
      </c>
      <c r="H253">
        <v>0</v>
      </c>
      <c r="I253">
        <v>0</v>
      </c>
      <c r="J253" s="7">
        <v>0</v>
      </c>
      <c r="K253" t="s">
        <v>359</v>
      </c>
      <c r="L253" t="s">
        <v>360</v>
      </c>
      <c r="M253" t="s">
        <v>118</v>
      </c>
    </row>
    <row r="254" spans="1:13" x14ac:dyDescent="0.35">
      <c r="A254" t="s">
        <v>55</v>
      </c>
      <c r="B254" t="s">
        <v>3</v>
      </c>
      <c r="C254" s="14">
        <v>23</v>
      </c>
      <c r="D254">
        <v>10</v>
      </c>
      <c r="E254">
        <v>9</v>
      </c>
      <c r="F254" t="s">
        <v>588</v>
      </c>
      <c r="G254" t="s">
        <v>590</v>
      </c>
      <c r="H254">
        <v>13</v>
      </c>
      <c r="I254">
        <v>2024</v>
      </c>
      <c r="J254" s="7">
        <v>0.4007060185185185</v>
      </c>
      <c r="K254" t="s">
        <v>381</v>
      </c>
      <c r="L254" t="s">
        <v>282</v>
      </c>
      <c r="M254" t="s">
        <v>118</v>
      </c>
    </row>
    <row r="255" spans="1:13" x14ac:dyDescent="0.35">
      <c r="A255" t="s">
        <v>255</v>
      </c>
      <c r="B255" t="s">
        <v>3</v>
      </c>
      <c r="C255" s="14">
        <v>23.01</v>
      </c>
      <c r="D255">
        <v>2</v>
      </c>
      <c r="E255">
        <v>2611</v>
      </c>
      <c r="F255" t="s">
        <v>589</v>
      </c>
      <c r="G255" t="s">
        <v>590</v>
      </c>
      <c r="H255">
        <v>24</v>
      </c>
      <c r="I255">
        <v>2024</v>
      </c>
      <c r="J255" s="7">
        <v>0.41391203703703705</v>
      </c>
      <c r="K255" t="s">
        <v>290</v>
      </c>
      <c r="L255" t="s">
        <v>506</v>
      </c>
      <c r="M255" t="s">
        <v>118</v>
      </c>
    </row>
    <row r="256" spans="1:13" x14ac:dyDescent="0.35">
      <c r="A256" t="s">
        <v>9</v>
      </c>
      <c r="B256" t="s">
        <v>3</v>
      </c>
      <c r="C256" s="14">
        <v>23.34</v>
      </c>
      <c r="D256">
        <v>4</v>
      </c>
      <c r="E256">
        <v>972</v>
      </c>
      <c r="F256" t="s">
        <v>588</v>
      </c>
      <c r="G256" t="s">
        <v>590</v>
      </c>
      <c r="H256">
        <v>24</v>
      </c>
      <c r="I256">
        <v>2024</v>
      </c>
      <c r="J256" s="7">
        <v>0.33969907407407407</v>
      </c>
      <c r="K256" t="s">
        <v>291</v>
      </c>
      <c r="L256" t="s">
        <v>274</v>
      </c>
      <c r="M256" t="s">
        <v>118</v>
      </c>
    </row>
    <row r="257" spans="1:13" x14ac:dyDescent="0.35">
      <c r="A257" t="s">
        <v>20</v>
      </c>
      <c r="B257" t="s">
        <v>1</v>
      </c>
      <c r="C257" s="14">
        <v>23.49</v>
      </c>
      <c r="D257">
        <v>13</v>
      </c>
      <c r="E257">
        <v>14</v>
      </c>
      <c r="F257" t="s">
        <v>588</v>
      </c>
      <c r="G257" t="s">
        <v>590</v>
      </c>
      <c r="H257">
        <v>23</v>
      </c>
      <c r="I257">
        <v>2024</v>
      </c>
      <c r="J257" s="7">
        <v>0.9099652777777778</v>
      </c>
      <c r="K257" t="s">
        <v>509</v>
      </c>
      <c r="L257" t="s">
        <v>505</v>
      </c>
      <c r="M257" t="s">
        <v>118</v>
      </c>
    </row>
    <row r="258" spans="1:13" x14ac:dyDescent="0.35">
      <c r="A258" t="s">
        <v>74</v>
      </c>
      <c r="B258" t="s">
        <v>1</v>
      </c>
      <c r="C258" s="14">
        <v>23.49</v>
      </c>
      <c r="D258">
        <v>0</v>
      </c>
      <c r="E258">
        <v>29</v>
      </c>
      <c r="F258" t="s">
        <v>588</v>
      </c>
      <c r="G258" t="s">
        <v>590</v>
      </c>
      <c r="H258">
        <v>22</v>
      </c>
      <c r="I258">
        <v>2024</v>
      </c>
      <c r="J258" s="7">
        <v>0.56052083333333336</v>
      </c>
      <c r="K258" t="s">
        <v>509</v>
      </c>
      <c r="L258" t="s">
        <v>505</v>
      </c>
      <c r="M258" t="s">
        <v>118</v>
      </c>
    </row>
    <row r="259" spans="1:13" x14ac:dyDescent="0.35">
      <c r="A259" t="s">
        <v>12</v>
      </c>
      <c r="B259" t="s">
        <v>3</v>
      </c>
      <c r="C259" s="14">
        <v>23.49</v>
      </c>
      <c r="D259">
        <v>5</v>
      </c>
      <c r="E259">
        <v>25</v>
      </c>
      <c r="F259" t="s">
        <v>588</v>
      </c>
      <c r="G259" t="s">
        <v>590</v>
      </c>
      <c r="H259">
        <v>23</v>
      </c>
      <c r="I259">
        <v>2024</v>
      </c>
      <c r="J259" s="7">
        <v>0.50621527777777775</v>
      </c>
      <c r="K259" t="s">
        <v>509</v>
      </c>
      <c r="L259" t="s">
        <v>505</v>
      </c>
      <c r="M259" t="s">
        <v>118</v>
      </c>
    </row>
    <row r="260" spans="1:13" x14ac:dyDescent="0.35">
      <c r="A260" t="s">
        <v>241</v>
      </c>
      <c r="B260" t="s">
        <v>1</v>
      </c>
      <c r="C260" s="14">
        <v>23.49</v>
      </c>
      <c r="D260">
        <v>0</v>
      </c>
      <c r="E260">
        <v>6</v>
      </c>
      <c r="F260" t="s">
        <v>588</v>
      </c>
      <c r="G260" t="s">
        <v>590</v>
      </c>
      <c r="H260">
        <v>22</v>
      </c>
      <c r="I260">
        <v>2024</v>
      </c>
      <c r="J260" s="7">
        <v>0.80606481481481485</v>
      </c>
      <c r="K260" t="s">
        <v>509</v>
      </c>
      <c r="L260" t="s">
        <v>505</v>
      </c>
      <c r="M260" t="s">
        <v>118</v>
      </c>
    </row>
    <row r="261" spans="1:13" x14ac:dyDescent="0.35">
      <c r="A261" t="s">
        <v>26</v>
      </c>
      <c r="B261" t="s">
        <v>3</v>
      </c>
      <c r="C261" s="14">
        <v>23.56</v>
      </c>
      <c r="D261">
        <v>10</v>
      </c>
      <c r="E261">
        <v>24048</v>
      </c>
      <c r="F261" t="s">
        <v>589</v>
      </c>
      <c r="G261" t="s">
        <v>590</v>
      </c>
      <c r="H261">
        <v>23</v>
      </c>
      <c r="I261">
        <v>2024</v>
      </c>
      <c r="J261" s="7">
        <v>0.36563657407407407</v>
      </c>
      <c r="K261" t="s">
        <v>291</v>
      </c>
      <c r="L261" t="s">
        <v>274</v>
      </c>
      <c r="M261" t="s">
        <v>118</v>
      </c>
    </row>
    <row r="262" spans="1:13" x14ac:dyDescent="0.35">
      <c r="A262" t="s">
        <v>15</v>
      </c>
      <c r="B262" t="s">
        <v>1</v>
      </c>
      <c r="C262" s="14">
        <v>23.62</v>
      </c>
      <c r="D262">
        <v>10</v>
      </c>
      <c r="E262">
        <v>415</v>
      </c>
      <c r="F262" t="s">
        <v>588</v>
      </c>
      <c r="G262" t="s">
        <v>590</v>
      </c>
      <c r="H262">
        <v>22</v>
      </c>
      <c r="I262">
        <v>2024</v>
      </c>
      <c r="J262" s="7">
        <v>0.39128472222222221</v>
      </c>
      <c r="K262" t="s">
        <v>291</v>
      </c>
      <c r="L262" t="s">
        <v>274</v>
      </c>
      <c r="M262" t="s">
        <v>118</v>
      </c>
    </row>
    <row r="263" spans="1:13" x14ac:dyDescent="0.35">
      <c r="A263" t="s">
        <v>26</v>
      </c>
      <c r="B263" t="s">
        <v>3</v>
      </c>
      <c r="C263" s="14">
        <v>23.79</v>
      </c>
      <c r="D263">
        <v>3</v>
      </c>
      <c r="E263">
        <v>83</v>
      </c>
      <c r="F263" t="s">
        <v>588</v>
      </c>
      <c r="G263" t="s">
        <v>590</v>
      </c>
      <c r="H263">
        <v>23</v>
      </c>
      <c r="I263">
        <v>2024</v>
      </c>
      <c r="J263" s="7">
        <v>0.65688657407407403</v>
      </c>
      <c r="K263" t="s">
        <v>301</v>
      </c>
      <c r="L263" t="s">
        <v>506</v>
      </c>
      <c r="M263" t="s">
        <v>118</v>
      </c>
    </row>
    <row r="264" spans="1:13" x14ac:dyDescent="0.35">
      <c r="A264" t="s">
        <v>26</v>
      </c>
      <c r="B264" t="s">
        <v>1</v>
      </c>
      <c r="C264" s="14">
        <v>23.89</v>
      </c>
      <c r="D264">
        <v>6</v>
      </c>
      <c r="E264">
        <v>54052</v>
      </c>
      <c r="F264" t="s">
        <v>589</v>
      </c>
      <c r="G264" t="s">
        <v>590</v>
      </c>
      <c r="H264">
        <v>24</v>
      </c>
      <c r="I264">
        <v>2024</v>
      </c>
      <c r="J264" s="7">
        <v>0.16642361111111112</v>
      </c>
      <c r="K264" t="s">
        <v>290</v>
      </c>
      <c r="L264" t="s">
        <v>506</v>
      </c>
      <c r="M264" t="s">
        <v>118</v>
      </c>
    </row>
    <row r="265" spans="1:13" x14ac:dyDescent="0.35">
      <c r="A265" t="s">
        <v>5</v>
      </c>
      <c r="B265" t="s">
        <v>1</v>
      </c>
      <c r="C265" s="14">
        <v>23.89</v>
      </c>
      <c r="D265">
        <v>0</v>
      </c>
      <c r="E265">
        <v>14</v>
      </c>
      <c r="F265" t="s">
        <v>588</v>
      </c>
      <c r="G265" t="s">
        <v>590</v>
      </c>
      <c r="H265">
        <v>16</v>
      </c>
      <c r="I265">
        <v>2024</v>
      </c>
      <c r="J265" s="7">
        <v>0.61583333333333334</v>
      </c>
      <c r="K265" t="s">
        <v>362</v>
      </c>
      <c r="L265" t="s">
        <v>505</v>
      </c>
      <c r="M265" t="s">
        <v>118</v>
      </c>
    </row>
    <row r="266" spans="1:13" x14ac:dyDescent="0.35">
      <c r="A266" t="s">
        <v>205</v>
      </c>
      <c r="B266" t="s">
        <v>37</v>
      </c>
      <c r="C266" s="14">
        <v>23.95</v>
      </c>
      <c r="D266">
        <v>0</v>
      </c>
      <c r="E266">
        <v>78</v>
      </c>
      <c r="F266" t="s">
        <v>588</v>
      </c>
      <c r="G266" t="s">
        <v>590</v>
      </c>
      <c r="H266">
        <v>22</v>
      </c>
      <c r="I266">
        <v>2024</v>
      </c>
      <c r="J266" s="7">
        <v>0.16498842592592591</v>
      </c>
      <c r="K266" t="s">
        <v>358</v>
      </c>
      <c r="L266" t="s">
        <v>274</v>
      </c>
      <c r="M266" t="s">
        <v>118</v>
      </c>
    </row>
    <row r="267" spans="1:13" x14ac:dyDescent="0.35">
      <c r="A267" t="s">
        <v>5</v>
      </c>
      <c r="B267" t="s">
        <v>1</v>
      </c>
      <c r="C267" s="14">
        <v>23.99</v>
      </c>
      <c r="D267">
        <v>10</v>
      </c>
      <c r="E267">
        <v>10</v>
      </c>
      <c r="F267" t="s">
        <v>588</v>
      </c>
      <c r="G267" t="s">
        <v>590</v>
      </c>
      <c r="H267">
        <v>23</v>
      </c>
      <c r="I267">
        <v>2024</v>
      </c>
      <c r="J267" s="7">
        <v>0.75550925925925927</v>
      </c>
      <c r="K267" t="s">
        <v>506</v>
      </c>
      <c r="L267" t="s">
        <v>505</v>
      </c>
      <c r="M267" t="s">
        <v>118</v>
      </c>
    </row>
    <row r="268" spans="1:13" x14ac:dyDescent="0.35">
      <c r="A268" t="s">
        <v>4</v>
      </c>
      <c r="B268" t="s">
        <v>1</v>
      </c>
      <c r="C268" s="14">
        <v>24</v>
      </c>
      <c r="D268">
        <v>2</v>
      </c>
      <c r="E268">
        <v>2</v>
      </c>
      <c r="F268" t="s">
        <v>588</v>
      </c>
      <c r="G268" t="s">
        <v>239</v>
      </c>
      <c r="H268">
        <v>0</v>
      </c>
      <c r="I268">
        <v>0</v>
      </c>
      <c r="J268" s="7">
        <v>0</v>
      </c>
      <c r="K268" t="s">
        <v>497</v>
      </c>
      <c r="L268" t="s">
        <v>356</v>
      </c>
      <c r="M268" t="s">
        <v>118</v>
      </c>
    </row>
    <row r="269" spans="1:13" x14ac:dyDescent="0.35">
      <c r="A269" t="s">
        <v>32</v>
      </c>
      <c r="B269" t="s">
        <v>3</v>
      </c>
      <c r="C269" s="14">
        <v>24.14</v>
      </c>
      <c r="D269">
        <v>10</v>
      </c>
      <c r="E269">
        <v>9265</v>
      </c>
      <c r="F269" t="s">
        <v>589</v>
      </c>
      <c r="G269" t="s">
        <v>590</v>
      </c>
      <c r="H269">
        <v>24</v>
      </c>
      <c r="I269">
        <v>2024</v>
      </c>
      <c r="J269" s="7">
        <v>0.34458333333333335</v>
      </c>
      <c r="K269" t="s">
        <v>290</v>
      </c>
      <c r="L269" t="s">
        <v>506</v>
      </c>
      <c r="M269" t="s">
        <v>118</v>
      </c>
    </row>
    <row r="270" spans="1:13" x14ac:dyDescent="0.35">
      <c r="A270" t="s">
        <v>32</v>
      </c>
      <c r="B270" t="s">
        <v>3</v>
      </c>
      <c r="C270" s="14">
        <v>24.15</v>
      </c>
      <c r="D270">
        <v>8</v>
      </c>
      <c r="E270">
        <v>14</v>
      </c>
      <c r="F270" t="s">
        <v>588</v>
      </c>
      <c r="G270" t="s">
        <v>239</v>
      </c>
      <c r="H270">
        <v>0</v>
      </c>
      <c r="I270">
        <v>0</v>
      </c>
      <c r="J270" s="7">
        <v>0</v>
      </c>
      <c r="K270" t="s">
        <v>285</v>
      </c>
      <c r="L270" t="s">
        <v>286</v>
      </c>
      <c r="M270" t="s">
        <v>118</v>
      </c>
    </row>
    <row r="271" spans="1:13" x14ac:dyDescent="0.35">
      <c r="A271" t="s">
        <v>254</v>
      </c>
      <c r="B271" t="s">
        <v>1</v>
      </c>
      <c r="C271" s="14">
        <v>24.19</v>
      </c>
      <c r="D271">
        <v>2</v>
      </c>
      <c r="E271">
        <v>73</v>
      </c>
      <c r="F271" t="s">
        <v>588</v>
      </c>
      <c r="G271" t="s">
        <v>590</v>
      </c>
      <c r="H271">
        <v>9</v>
      </c>
      <c r="I271">
        <v>2024</v>
      </c>
      <c r="J271" s="7">
        <v>0.34393518518518518</v>
      </c>
      <c r="K271" t="s">
        <v>474</v>
      </c>
      <c r="L271" t="s">
        <v>274</v>
      </c>
      <c r="M271" t="s">
        <v>118</v>
      </c>
    </row>
    <row r="272" spans="1:13" x14ac:dyDescent="0.35">
      <c r="A272" t="s">
        <v>108</v>
      </c>
      <c r="B272" t="s">
        <v>3</v>
      </c>
      <c r="C272" s="14">
        <v>24.25</v>
      </c>
      <c r="D272">
        <v>0</v>
      </c>
      <c r="E272">
        <v>177</v>
      </c>
      <c r="F272" t="s">
        <v>588</v>
      </c>
      <c r="G272" t="s">
        <v>590</v>
      </c>
      <c r="H272">
        <v>22</v>
      </c>
      <c r="I272">
        <v>2024</v>
      </c>
      <c r="J272" s="7">
        <v>0.52975694444444443</v>
      </c>
      <c r="K272" t="s">
        <v>369</v>
      </c>
      <c r="L272" t="s">
        <v>506</v>
      </c>
      <c r="M272" t="s">
        <v>118</v>
      </c>
    </row>
    <row r="273" spans="1:13" x14ac:dyDescent="0.35">
      <c r="A273" t="s">
        <v>236</v>
      </c>
      <c r="B273" t="s">
        <v>45</v>
      </c>
      <c r="C273" s="14">
        <v>24.35</v>
      </c>
      <c r="D273">
        <v>5</v>
      </c>
      <c r="E273">
        <v>88</v>
      </c>
      <c r="F273" t="s">
        <v>588</v>
      </c>
      <c r="G273" t="s">
        <v>590</v>
      </c>
      <c r="H273">
        <v>24</v>
      </c>
      <c r="I273">
        <v>2024</v>
      </c>
      <c r="J273" s="7">
        <v>0.43151620370370369</v>
      </c>
      <c r="K273" t="s">
        <v>301</v>
      </c>
      <c r="L273" t="s">
        <v>506</v>
      </c>
      <c r="M273" t="s">
        <v>118</v>
      </c>
    </row>
    <row r="274" spans="1:13" x14ac:dyDescent="0.35">
      <c r="A274" t="s">
        <v>20</v>
      </c>
      <c r="B274" t="s">
        <v>1</v>
      </c>
      <c r="C274" s="14">
        <v>24.35</v>
      </c>
      <c r="D274">
        <v>10</v>
      </c>
      <c r="E274">
        <v>692</v>
      </c>
      <c r="F274" t="s">
        <v>588</v>
      </c>
      <c r="G274" t="s">
        <v>590</v>
      </c>
      <c r="H274">
        <v>21</v>
      </c>
      <c r="I274">
        <v>2024</v>
      </c>
      <c r="J274" s="7">
        <v>0.97093750000000001</v>
      </c>
      <c r="K274" t="s">
        <v>291</v>
      </c>
      <c r="L274" t="s">
        <v>274</v>
      </c>
      <c r="M274" t="s">
        <v>118</v>
      </c>
    </row>
    <row r="275" spans="1:13" x14ac:dyDescent="0.35">
      <c r="A275" t="s">
        <v>5</v>
      </c>
      <c r="B275" t="s">
        <v>1</v>
      </c>
      <c r="C275" s="14">
        <v>24.4</v>
      </c>
      <c r="D275">
        <v>5</v>
      </c>
      <c r="E275">
        <v>14</v>
      </c>
      <c r="F275" t="s">
        <v>588</v>
      </c>
      <c r="G275" t="s">
        <v>590</v>
      </c>
      <c r="H275">
        <v>23</v>
      </c>
      <c r="I275">
        <v>2024</v>
      </c>
      <c r="J275" s="7">
        <v>0.72351851851851856</v>
      </c>
      <c r="K275" t="s">
        <v>388</v>
      </c>
      <c r="L275" t="s">
        <v>505</v>
      </c>
      <c r="M275" t="s">
        <v>118</v>
      </c>
    </row>
    <row r="276" spans="1:13" x14ac:dyDescent="0.35">
      <c r="A276" t="s">
        <v>15</v>
      </c>
      <c r="B276" t="s">
        <v>1</v>
      </c>
      <c r="C276" s="14">
        <v>24.43</v>
      </c>
      <c r="D276">
        <v>323</v>
      </c>
      <c r="E276">
        <v>110</v>
      </c>
      <c r="F276" t="s">
        <v>588</v>
      </c>
      <c r="G276" t="s">
        <v>590</v>
      </c>
      <c r="H276">
        <v>23</v>
      </c>
      <c r="I276">
        <v>2024</v>
      </c>
      <c r="J276" s="7">
        <v>0.69778935185185187</v>
      </c>
      <c r="K276" t="s">
        <v>509</v>
      </c>
      <c r="L276" t="s">
        <v>505</v>
      </c>
      <c r="M276" t="s">
        <v>118</v>
      </c>
    </row>
    <row r="277" spans="1:13" x14ac:dyDescent="0.35">
      <c r="A277" t="s">
        <v>20</v>
      </c>
      <c r="B277" t="s">
        <v>1</v>
      </c>
      <c r="C277" s="14">
        <v>24.43</v>
      </c>
      <c r="D277">
        <v>3</v>
      </c>
      <c r="E277">
        <v>16</v>
      </c>
      <c r="F277" t="s">
        <v>588</v>
      </c>
      <c r="G277" t="s">
        <v>590</v>
      </c>
      <c r="H277">
        <v>23</v>
      </c>
      <c r="I277">
        <v>2024</v>
      </c>
      <c r="J277" s="7">
        <v>0.38114583333333335</v>
      </c>
      <c r="K277" t="s">
        <v>509</v>
      </c>
      <c r="L277" t="s">
        <v>505</v>
      </c>
      <c r="M277" t="s">
        <v>118</v>
      </c>
    </row>
    <row r="278" spans="1:13" x14ac:dyDescent="0.35">
      <c r="A278" t="s">
        <v>250</v>
      </c>
      <c r="B278" t="s">
        <v>3</v>
      </c>
      <c r="C278" s="14">
        <v>24.43</v>
      </c>
      <c r="D278">
        <v>12</v>
      </c>
      <c r="E278">
        <v>4</v>
      </c>
      <c r="F278" t="s">
        <v>588</v>
      </c>
      <c r="G278" t="s">
        <v>590</v>
      </c>
      <c r="H278">
        <v>21</v>
      </c>
      <c r="I278">
        <v>2024</v>
      </c>
      <c r="J278" s="7">
        <v>0.85995370370370372</v>
      </c>
      <c r="K278" t="s">
        <v>509</v>
      </c>
      <c r="L278" t="s">
        <v>505</v>
      </c>
      <c r="M278" t="s">
        <v>118</v>
      </c>
    </row>
    <row r="279" spans="1:13" x14ac:dyDescent="0.35">
      <c r="A279" t="s">
        <v>21</v>
      </c>
      <c r="B279" t="s">
        <v>3</v>
      </c>
      <c r="C279" s="14">
        <v>24.45</v>
      </c>
      <c r="D279">
        <v>8</v>
      </c>
      <c r="E279">
        <v>1691</v>
      </c>
      <c r="F279" t="s">
        <v>589</v>
      </c>
      <c r="G279" t="s">
        <v>590</v>
      </c>
      <c r="H279">
        <v>22</v>
      </c>
      <c r="I279">
        <v>2024</v>
      </c>
      <c r="J279" s="7">
        <v>0.94936342592592593</v>
      </c>
      <c r="K279" t="s">
        <v>291</v>
      </c>
      <c r="L279" t="s">
        <v>274</v>
      </c>
      <c r="M279" t="s">
        <v>118</v>
      </c>
    </row>
    <row r="280" spans="1:13" x14ac:dyDescent="0.35">
      <c r="A280" t="s">
        <v>51</v>
      </c>
      <c r="B280" t="s">
        <v>3</v>
      </c>
      <c r="C280" s="14">
        <v>24.49</v>
      </c>
      <c r="D280">
        <v>10</v>
      </c>
      <c r="E280">
        <v>71</v>
      </c>
      <c r="F280" t="s">
        <v>588</v>
      </c>
      <c r="G280" t="s">
        <v>590</v>
      </c>
      <c r="H280">
        <v>24</v>
      </c>
      <c r="I280">
        <v>2024</v>
      </c>
      <c r="J280" s="7">
        <v>0.15057870370370371</v>
      </c>
      <c r="K280" t="s">
        <v>308</v>
      </c>
      <c r="L280" t="s">
        <v>309</v>
      </c>
      <c r="M280" t="s">
        <v>118</v>
      </c>
    </row>
    <row r="281" spans="1:13" x14ac:dyDescent="0.35">
      <c r="A281" t="s">
        <v>27</v>
      </c>
      <c r="B281" t="s">
        <v>3</v>
      </c>
      <c r="C281" s="14">
        <v>24.5</v>
      </c>
      <c r="D281">
        <v>116</v>
      </c>
      <c r="E281">
        <v>4</v>
      </c>
      <c r="F281" t="s">
        <v>588</v>
      </c>
      <c r="G281" t="s">
        <v>590</v>
      </c>
      <c r="H281">
        <v>22</v>
      </c>
      <c r="I281">
        <v>2024</v>
      </c>
      <c r="J281" s="7">
        <v>0.7622916666666667</v>
      </c>
      <c r="K281" t="s">
        <v>314</v>
      </c>
      <c r="L281" t="s">
        <v>315</v>
      </c>
      <c r="M281" t="s">
        <v>118</v>
      </c>
    </row>
    <row r="282" spans="1:13" x14ac:dyDescent="0.35">
      <c r="A282" t="s">
        <v>32</v>
      </c>
      <c r="B282" t="s">
        <v>3</v>
      </c>
      <c r="C282" s="14">
        <v>24.5</v>
      </c>
      <c r="D282">
        <v>10</v>
      </c>
      <c r="E282">
        <v>415</v>
      </c>
      <c r="F282" t="s">
        <v>588</v>
      </c>
      <c r="G282" t="s">
        <v>590</v>
      </c>
      <c r="H282">
        <v>7</v>
      </c>
      <c r="I282">
        <v>2024</v>
      </c>
      <c r="J282" s="7">
        <v>0.32526620370370368</v>
      </c>
      <c r="K282" t="s">
        <v>382</v>
      </c>
      <c r="L282" t="s">
        <v>286</v>
      </c>
      <c r="M282" t="s">
        <v>118</v>
      </c>
    </row>
    <row r="283" spans="1:13" x14ac:dyDescent="0.35">
      <c r="A283" t="s">
        <v>86</v>
      </c>
      <c r="B283" t="s">
        <v>3</v>
      </c>
      <c r="C283" s="14">
        <v>24.55</v>
      </c>
      <c r="D283">
        <v>10</v>
      </c>
      <c r="E283">
        <v>433</v>
      </c>
      <c r="F283" t="s">
        <v>588</v>
      </c>
      <c r="G283" t="s">
        <v>590</v>
      </c>
      <c r="H283">
        <v>2</v>
      </c>
      <c r="I283">
        <v>2024</v>
      </c>
      <c r="J283" s="7">
        <v>6.2893518518518515E-2</v>
      </c>
      <c r="K283" t="s">
        <v>291</v>
      </c>
      <c r="L283" t="s">
        <v>274</v>
      </c>
      <c r="M283" t="s">
        <v>118</v>
      </c>
    </row>
    <row r="284" spans="1:13" x14ac:dyDescent="0.35">
      <c r="A284" t="s">
        <v>32</v>
      </c>
      <c r="B284" t="s">
        <v>3</v>
      </c>
      <c r="C284" s="14">
        <v>24.7</v>
      </c>
      <c r="D284">
        <v>484</v>
      </c>
      <c r="E284">
        <v>12865</v>
      </c>
      <c r="F284" t="s">
        <v>589</v>
      </c>
      <c r="G284" t="s">
        <v>590</v>
      </c>
      <c r="H284">
        <v>23</v>
      </c>
      <c r="I284">
        <v>2024</v>
      </c>
      <c r="J284" s="7">
        <v>1.7349537037037038E-2</v>
      </c>
      <c r="K284" t="s">
        <v>291</v>
      </c>
      <c r="L284" t="s">
        <v>274</v>
      </c>
      <c r="M284" t="s">
        <v>118</v>
      </c>
    </row>
    <row r="285" spans="1:13" x14ac:dyDescent="0.35">
      <c r="A285" t="s">
        <v>26</v>
      </c>
      <c r="B285" t="s">
        <v>3</v>
      </c>
      <c r="C285" s="14">
        <v>24.95</v>
      </c>
      <c r="D285">
        <v>3</v>
      </c>
      <c r="E285">
        <v>8</v>
      </c>
      <c r="F285" t="s">
        <v>588</v>
      </c>
      <c r="G285" t="s">
        <v>239</v>
      </c>
      <c r="H285">
        <v>0</v>
      </c>
      <c r="I285">
        <v>0</v>
      </c>
      <c r="J285" s="7">
        <v>0</v>
      </c>
      <c r="K285" t="s">
        <v>375</v>
      </c>
      <c r="L285" t="s">
        <v>376</v>
      </c>
      <c r="M285" t="s">
        <v>118</v>
      </c>
    </row>
    <row r="286" spans="1:13" x14ac:dyDescent="0.35">
      <c r="A286" t="s">
        <v>85</v>
      </c>
      <c r="B286" t="s">
        <v>3</v>
      </c>
      <c r="C286" s="14">
        <v>24.98</v>
      </c>
      <c r="D286">
        <v>6</v>
      </c>
      <c r="E286">
        <v>8</v>
      </c>
      <c r="F286" t="s">
        <v>588</v>
      </c>
      <c r="G286" t="s">
        <v>590</v>
      </c>
      <c r="H286">
        <v>24</v>
      </c>
      <c r="I286">
        <v>2024</v>
      </c>
      <c r="J286" s="7">
        <v>0.37148148148148147</v>
      </c>
      <c r="K286" t="s">
        <v>506</v>
      </c>
      <c r="L286" t="s">
        <v>505</v>
      </c>
      <c r="M286" t="s">
        <v>118</v>
      </c>
    </row>
    <row r="287" spans="1:13" x14ac:dyDescent="0.35">
      <c r="A287" t="s">
        <v>231</v>
      </c>
      <c r="B287" t="s">
        <v>1</v>
      </c>
      <c r="C287" s="14">
        <v>24.99</v>
      </c>
      <c r="D287">
        <v>10</v>
      </c>
      <c r="E287">
        <v>6</v>
      </c>
      <c r="F287" t="s">
        <v>588</v>
      </c>
      <c r="G287" t="s">
        <v>590</v>
      </c>
      <c r="H287">
        <v>23</v>
      </c>
      <c r="I287">
        <v>2024</v>
      </c>
      <c r="J287" s="7">
        <v>0.63145833333333334</v>
      </c>
      <c r="K287" t="s">
        <v>395</v>
      </c>
      <c r="L287" t="s">
        <v>396</v>
      </c>
      <c r="M287" t="s">
        <v>118</v>
      </c>
    </row>
    <row r="288" spans="1:13" x14ac:dyDescent="0.35">
      <c r="A288" t="s">
        <v>36</v>
      </c>
      <c r="B288" t="s">
        <v>37</v>
      </c>
      <c r="C288" s="14">
        <v>24.99</v>
      </c>
      <c r="D288">
        <v>0</v>
      </c>
      <c r="E288">
        <v>18</v>
      </c>
      <c r="F288" t="s">
        <v>588</v>
      </c>
      <c r="G288" t="s">
        <v>590</v>
      </c>
      <c r="H288">
        <v>14</v>
      </c>
      <c r="I288">
        <v>2024</v>
      </c>
      <c r="J288" s="7">
        <v>0.55494212962962963</v>
      </c>
      <c r="K288" t="s">
        <v>518</v>
      </c>
      <c r="L288" t="s">
        <v>505</v>
      </c>
      <c r="M288" t="s">
        <v>118</v>
      </c>
    </row>
    <row r="289" spans="1:13" x14ac:dyDescent="0.35">
      <c r="A289" t="s">
        <v>59</v>
      </c>
      <c r="B289" t="s">
        <v>3</v>
      </c>
      <c r="C289" s="14">
        <v>24.99</v>
      </c>
      <c r="D289">
        <v>10</v>
      </c>
      <c r="E289">
        <v>116</v>
      </c>
      <c r="F289" t="s">
        <v>588</v>
      </c>
      <c r="G289" t="s">
        <v>590</v>
      </c>
      <c r="H289">
        <v>24</v>
      </c>
      <c r="I289">
        <v>2024</v>
      </c>
      <c r="J289" s="7">
        <v>0.18699074074074074</v>
      </c>
      <c r="K289" t="s">
        <v>285</v>
      </c>
      <c r="L289" t="s">
        <v>286</v>
      </c>
      <c r="M289" t="s">
        <v>118</v>
      </c>
    </row>
    <row r="290" spans="1:13" x14ac:dyDescent="0.35">
      <c r="A290" t="s">
        <v>37</v>
      </c>
      <c r="B290" t="s">
        <v>1</v>
      </c>
      <c r="C290" s="14">
        <v>24.99</v>
      </c>
      <c r="D290">
        <v>0</v>
      </c>
      <c r="E290">
        <v>2</v>
      </c>
      <c r="F290" t="s">
        <v>588</v>
      </c>
      <c r="G290" t="s">
        <v>239</v>
      </c>
      <c r="H290">
        <v>0</v>
      </c>
      <c r="I290">
        <v>0</v>
      </c>
      <c r="J290" s="7">
        <v>0</v>
      </c>
      <c r="K290" t="s">
        <v>530</v>
      </c>
      <c r="L290" t="s">
        <v>396</v>
      </c>
      <c r="M290" t="s">
        <v>118</v>
      </c>
    </row>
    <row r="291" spans="1:13" x14ac:dyDescent="0.35">
      <c r="A291" t="s">
        <v>200</v>
      </c>
      <c r="B291" t="s">
        <v>37</v>
      </c>
      <c r="C291" s="14">
        <v>25</v>
      </c>
      <c r="D291">
        <v>4</v>
      </c>
      <c r="E291">
        <v>22</v>
      </c>
      <c r="F291" t="s">
        <v>588</v>
      </c>
      <c r="G291" t="s">
        <v>590</v>
      </c>
      <c r="H291">
        <v>24</v>
      </c>
      <c r="I291">
        <v>2024</v>
      </c>
      <c r="J291" s="7">
        <v>0.10775462962962963</v>
      </c>
      <c r="K291" t="s">
        <v>350</v>
      </c>
      <c r="L291" t="s">
        <v>315</v>
      </c>
      <c r="M291" t="s">
        <v>118</v>
      </c>
    </row>
    <row r="292" spans="1:13" x14ac:dyDescent="0.35">
      <c r="A292" t="s">
        <v>9</v>
      </c>
      <c r="B292" t="s">
        <v>3</v>
      </c>
      <c r="C292" s="14">
        <v>25</v>
      </c>
      <c r="D292">
        <v>3</v>
      </c>
      <c r="E292">
        <v>8</v>
      </c>
      <c r="F292" t="s">
        <v>588</v>
      </c>
      <c r="G292" t="s">
        <v>591</v>
      </c>
      <c r="H292">
        <v>11</v>
      </c>
      <c r="I292">
        <v>2024</v>
      </c>
      <c r="J292" s="7">
        <v>0.19005787037037036</v>
      </c>
      <c r="K292" t="s">
        <v>475</v>
      </c>
      <c r="L292" t="s">
        <v>396</v>
      </c>
      <c r="M292" t="s">
        <v>118</v>
      </c>
    </row>
    <row r="293" spans="1:13" x14ac:dyDescent="0.35">
      <c r="A293" t="s">
        <v>57</v>
      </c>
      <c r="B293" t="s">
        <v>3</v>
      </c>
      <c r="C293" s="14">
        <v>25.1</v>
      </c>
      <c r="D293">
        <v>0</v>
      </c>
      <c r="E293">
        <v>5076</v>
      </c>
      <c r="F293" t="s">
        <v>589</v>
      </c>
      <c r="G293" t="s">
        <v>590</v>
      </c>
      <c r="H293">
        <v>22</v>
      </c>
      <c r="I293">
        <v>2024</v>
      </c>
      <c r="J293" s="7">
        <v>0.7638773148148148</v>
      </c>
      <c r="K293" t="s">
        <v>290</v>
      </c>
      <c r="L293" t="s">
        <v>506</v>
      </c>
      <c r="M293" t="s">
        <v>118</v>
      </c>
    </row>
    <row r="294" spans="1:13" x14ac:dyDescent="0.35">
      <c r="A294" t="s">
        <v>51</v>
      </c>
      <c r="B294" t="s">
        <v>3</v>
      </c>
      <c r="C294" s="14">
        <v>25.23</v>
      </c>
      <c r="D294">
        <v>0</v>
      </c>
      <c r="E294">
        <v>40130</v>
      </c>
      <c r="F294" t="s">
        <v>589</v>
      </c>
      <c r="G294" t="s">
        <v>590</v>
      </c>
      <c r="H294">
        <v>24</v>
      </c>
      <c r="I294">
        <v>2024</v>
      </c>
      <c r="J294" s="7">
        <v>0.22100694444444444</v>
      </c>
      <c r="K294" t="s">
        <v>290</v>
      </c>
      <c r="L294" t="s">
        <v>506</v>
      </c>
      <c r="M294" t="s">
        <v>118</v>
      </c>
    </row>
    <row r="295" spans="1:13" x14ac:dyDescent="0.35">
      <c r="A295" t="s">
        <v>41</v>
      </c>
      <c r="B295" t="s">
        <v>3</v>
      </c>
      <c r="C295" s="14">
        <v>25.43</v>
      </c>
      <c r="D295">
        <v>3</v>
      </c>
      <c r="E295">
        <v>1925</v>
      </c>
      <c r="F295" t="s">
        <v>589</v>
      </c>
      <c r="G295" t="s">
        <v>590</v>
      </c>
      <c r="H295">
        <v>24</v>
      </c>
      <c r="I295">
        <v>2024</v>
      </c>
      <c r="J295" s="7">
        <v>0.33480324074074075</v>
      </c>
      <c r="K295" t="s">
        <v>291</v>
      </c>
      <c r="L295" t="s">
        <v>274</v>
      </c>
      <c r="M295" t="s">
        <v>118</v>
      </c>
    </row>
    <row r="296" spans="1:13" x14ac:dyDescent="0.35">
      <c r="A296" t="s">
        <v>37</v>
      </c>
      <c r="B296" t="s">
        <v>3</v>
      </c>
      <c r="C296" s="14">
        <v>25.46</v>
      </c>
      <c r="D296">
        <v>10</v>
      </c>
      <c r="E296">
        <v>410</v>
      </c>
      <c r="F296" t="s">
        <v>588</v>
      </c>
      <c r="G296" t="s">
        <v>590</v>
      </c>
      <c r="H296">
        <v>23</v>
      </c>
      <c r="I296">
        <v>2024</v>
      </c>
      <c r="J296" s="7">
        <v>0.78472222222222221</v>
      </c>
      <c r="K296" t="s">
        <v>506</v>
      </c>
      <c r="L296" t="s">
        <v>267</v>
      </c>
      <c r="M296" t="s">
        <v>118</v>
      </c>
    </row>
    <row r="297" spans="1:13" x14ac:dyDescent="0.35">
      <c r="A297" t="s">
        <v>51</v>
      </c>
      <c r="B297" t="s">
        <v>3</v>
      </c>
      <c r="C297" s="14">
        <v>25.49</v>
      </c>
      <c r="D297">
        <v>10</v>
      </c>
      <c r="E297">
        <v>64</v>
      </c>
      <c r="F297" t="s">
        <v>588</v>
      </c>
      <c r="G297" t="s">
        <v>590</v>
      </c>
      <c r="H297">
        <v>24</v>
      </c>
      <c r="I297">
        <v>2024</v>
      </c>
      <c r="J297" s="7">
        <v>0.15836805555555555</v>
      </c>
      <c r="K297" t="s">
        <v>341</v>
      </c>
      <c r="L297" t="s">
        <v>535</v>
      </c>
      <c r="M297" t="s">
        <v>118</v>
      </c>
    </row>
    <row r="298" spans="1:13" x14ac:dyDescent="0.35">
      <c r="A298" t="s">
        <v>103</v>
      </c>
      <c r="B298" t="s">
        <v>3</v>
      </c>
      <c r="C298" s="14">
        <v>25.49</v>
      </c>
      <c r="D298">
        <v>4</v>
      </c>
      <c r="E298">
        <v>2093</v>
      </c>
      <c r="F298" t="s">
        <v>589</v>
      </c>
      <c r="G298" t="s">
        <v>590</v>
      </c>
      <c r="H298">
        <v>13</v>
      </c>
      <c r="I298">
        <v>2024</v>
      </c>
      <c r="J298" s="7">
        <v>0.79246527777777775</v>
      </c>
      <c r="K298" t="s">
        <v>291</v>
      </c>
      <c r="L298" t="s">
        <v>274</v>
      </c>
      <c r="M298" t="s">
        <v>118</v>
      </c>
    </row>
    <row r="299" spans="1:13" x14ac:dyDescent="0.35">
      <c r="A299" t="s">
        <v>240</v>
      </c>
      <c r="B299" t="s">
        <v>1</v>
      </c>
      <c r="C299" s="14">
        <v>25.7</v>
      </c>
      <c r="D299">
        <v>10</v>
      </c>
      <c r="E299">
        <v>72</v>
      </c>
      <c r="F299" t="s">
        <v>588</v>
      </c>
      <c r="G299" t="s">
        <v>591</v>
      </c>
      <c r="H299">
        <v>12</v>
      </c>
      <c r="I299">
        <v>2024</v>
      </c>
      <c r="J299" s="7">
        <v>0.32216435185185183</v>
      </c>
      <c r="K299" t="s">
        <v>506</v>
      </c>
      <c r="L299" t="s">
        <v>505</v>
      </c>
      <c r="M299" t="s">
        <v>118</v>
      </c>
    </row>
    <row r="300" spans="1:13" x14ac:dyDescent="0.35">
      <c r="A300" t="s">
        <v>72</v>
      </c>
      <c r="B300" t="s">
        <v>1</v>
      </c>
      <c r="C300" s="14">
        <v>25.74</v>
      </c>
      <c r="D300">
        <v>10</v>
      </c>
      <c r="E300">
        <v>7</v>
      </c>
      <c r="F300" t="s">
        <v>588</v>
      </c>
      <c r="G300" t="s">
        <v>590</v>
      </c>
      <c r="H300">
        <v>14</v>
      </c>
      <c r="I300">
        <v>2024</v>
      </c>
      <c r="J300" s="7">
        <v>0.47804398148148147</v>
      </c>
      <c r="K300" t="s">
        <v>291</v>
      </c>
      <c r="L300" t="s">
        <v>274</v>
      </c>
      <c r="M300" t="s">
        <v>118</v>
      </c>
    </row>
    <row r="301" spans="1:13" x14ac:dyDescent="0.35">
      <c r="A301" t="s">
        <v>5</v>
      </c>
      <c r="B301" t="s">
        <v>1</v>
      </c>
      <c r="C301" s="14">
        <v>25.79</v>
      </c>
      <c r="D301">
        <v>95</v>
      </c>
      <c r="E301">
        <v>11</v>
      </c>
      <c r="F301" t="s">
        <v>588</v>
      </c>
      <c r="G301" t="s">
        <v>590</v>
      </c>
      <c r="H301">
        <v>23</v>
      </c>
      <c r="I301">
        <v>2024</v>
      </c>
      <c r="J301" s="7">
        <v>0.97248842592592588</v>
      </c>
      <c r="K301" t="s">
        <v>509</v>
      </c>
      <c r="L301" t="s">
        <v>505</v>
      </c>
      <c r="M301" t="s">
        <v>118</v>
      </c>
    </row>
    <row r="302" spans="1:13" x14ac:dyDescent="0.35">
      <c r="A302" t="s">
        <v>24</v>
      </c>
      <c r="B302" t="s">
        <v>3</v>
      </c>
      <c r="C302" s="14">
        <v>25.81</v>
      </c>
      <c r="D302">
        <v>40</v>
      </c>
      <c r="E302">
        <v>1424</v>
      </c>
      <c r="F302" t="s">
        <v>589</v>
      </c>
      <c r="G302" t="s">
        <v>590</v>
      </c>
      <c r="H302">
        <v>24</v>
      </c>
      <c r="I302">
        <v>2024</v>
      </c>
      <c r="J302" s="7">
        <v>0.41538194444444443</v>
      </c>
      <c r="K302" t="s">
        <v>291</v>
      </c>
      <c r="L302" t="s">
        <v>274</v>
      </c>
      <c r="M302" t="s">
        <v>118</v>
      </c>
    </row>
    <row r="303" spans="1:13" x14ac:dyDescent="0.35">
      <c r="A303" t="s">
        <v>20</v>
      </c>
      <c r="B303" t="s">
        <v>1</v>
      </c>
      <c r="C303" s="14">
        <v>25.86</v>
      </c>
      <c r="D303">
        <v>10</v>
      </c>
      <c r="E303">
        <v>55</v>
      </c>
      <c r="F303" t="s">
        <v>588</v>
      </c>
      <c r="G303" t="s">
        <v>590</v>
      </c>
      <c r="H303">
        <v>21</v>
      </c>
      <c r="I303">
        <v>2024</v>
      </c>
      <c r="J303" s="7">
        <v>0.34781250000000002</v>
      </c>
      <c r="K303" t="s">
        <v>329</v>
      </c>
      <c r="L303" t="s">
        <v>274</v>
      </c>
      <c r="M303" t="s">
        <v>118</v>
      </c>
    </row>
    <row r="304" spans="1:13" x14ac:dyDescent="0.35">
      <c r="A304" t="s">
        <v>2</v>
      </c>
      <c r="B304" t="s">
        <v>3</v>
      </c>
      <c r="C304" s="14">
        <v>25.89</v>
      </c>
      <c r="D304">
        <v>9</v>
      </c>
      <c r="E304">
        <v>4</v>
      </c>
      <c r="F304" t="s">
        <v>588</v>
      </c>
      <c r="G304" t="s">
        <v>590</v>
      </c>
      <c r="H304">
        <v>9</v>
      </c>
      <c r="I304">
        <v>2024</v>
      </c>
      <c r="J304" s="7">
        <v>0.94331018518518517</v>
      </c>
      <c r="K304" t="s">
        <v>509</v>
      </c>
      <c r="L304" t="s">
        <v>505</v>
      </c>
      <c r="M304" t="s">
        <v>118</v>
      </c>
    </row>
    <row r="305" spans="1:13" x14ac:dyDescent="0.35">
      <c r="A305" t="s">
        <v>4</v>
      </c>
      <c r="B305" t="s">
        <v>1</v>
      </c>
      <c r="C305" s="14">
        <v>25.95</v>
      </c>
      <c r="D305">
        <v>10</v>
      </c>
      <c r="E305">
        <v>280</v>
      </c>
      <c r="F305" t="s">
        <v>588</v>
      </c>
      <c r="G305" t="s">
        <v>590</v>
      </c>
      <c r="H305">
        <v>12</v>
      </c>
      <c r="I305">
        <v>2024</v>
      </c>
      <c r="J305" s="7">
        <v>0.7160185185185185</v>
      </c>
      <c r="K305" t="s">
        <v>372</v>
      </c>
      <c r="L305" t="s">
        <v>274</v>
      </c>
      <c r="M305" t="s">
        <v>118</v>
      </c>
    </row>
    <row r="306" spans="1:13" x14ac:dyDescent="0.35">
      <c r="A306" t="s">
        <v>231</v>
      </c>
      <c r="B306" t="s">
        <v>1</v>
      </c>
      <c r="C306" s="14">
        <v>25.95</v>
      </c>
      <c r="D306">
        <v>0</v>
      </c>
      <c r="E306">
        <v>2</v>
      </c>
      <c r="F306" t="s">
        <v>588</v>
      </c>
      <c r="G306" t="s">
        <v>590</v>
      </c>
      <c r="H306">
        <v>22</v>
      </c>
      <c r="I306">
        <v>2024</v>
      </c>
      <c r="J306" s="7">
        <v>0.76615740740740745</v>
      </c>
      <c r="K306" t="s">
        <v>420</v>
      </c>
      <c r="L306" t="s">
        <v>396</v>
      </c>
      <c r="M306" t="s">
        <v>118</v>
      </c>
    </row>
    <row r="307" spans="1:13" x14ac:dyDescent="0.35">
      <c r="A307" t="s">
        <v>243</v>
      </c>
      <c r="B307" t="s">
        <v>3</v>
      </c>
      <c r="C307" s="14">
        <v>25.96</v>
      </c>
      <c r="D307">
        <v>0</v>
      </c>
      <c r="E307">
        <v>214</v>
      </c>
      <c r="F307" t="s">
        <v>588</v>
      </c>
      <c r="G307" t="s">
        <v>590</v>
      </c>
      <c r="H307">
        <v>6</v>
      </c>
      <c r="I307">
        <v>2024</v>
      </c>
      <c r="J307" s="7">
        <v>0.88804398148148145</v>
      </c>
      <c r="K307" t="s">
        <v>291</v>
      </c>
      <c r="L307" t="s">
        <v>274</v>
      </c>
      <c r="M307" t="s">
        <v>118</v>
      </c>
    </row>
    <row r="308" spans="1:13" x14ac:dyDescent="0.35">
      <c r="A308" t="s">
        <v>26</v>
      </c>
      <c r="B308" t="s">
        <v>3</v>
      </c>
      <c r="C308" s="14">
        <v>25.98</v>
      </c>
      <c r="D308">
        <v>207</v>
      </c>
      <c r="E308">
        <v>1536</v>
      </c>
      <c r="F308" t="s">
        <v>589</v>
      </c>
      <c r="G308" t="s">
        <v>590</v>
      </c>
      <c r="H308">
        <v>24</v>
      </c>
      <c r="I308">
        <v>2024</v>
      </c>
      <c r="J308" s="7">
        <v>0.42922453703703706</v>
      </c>
      <c r="K308" t="s">
        <v>290</v>
      </c>
      <c r="L308" t="s">
        <v>506</v>
      </c>
      <c r="M308" t="s">
        <v>118</v>
      </c>
    </row>
    <row r="309" spans="1:13" x14ac:dyDescent="0.35">
      <c r="A309" t="s">
        <v>0</v>
      </c>
      <c r="B309" t="s">
        <v>1</v>
      </c>
      <c r="C309" s="14">
        <v>25.99</v>
      </c>
      <c r="D309">
        <v>3</v>
      </c>
      <c r="E309">
        <v>1332</v>
      </c>
      <c r="F309" t="s">
        <v>589</v>
      </c>
      <c r="G309" t="s">
        <v>590</v>
      </c>
      <c r="H309">
        <v>24</v>
      </c>
      <c r="I309">
        <v>2024</v>
      </c>
      <c r="J309" s="7">
        <v>0.1691087962962963</v>
      </c>
      <c r="K309" t="s">
        <v>306</v>
      </c>
      <c r="L309" t="s">
        <v>307</v>
      </c>
      <c r="M309" t="s">
        <v>118</v>
      </c>
    </row>
    <row r="310" spans="1:13" x14ac:dyDescent="0.35">
      <c r="A310" t="s">
        <v>25</v>
      </c>
      <c r="B310" t="s">
        <v>1</v>
      </c>
      <c r="C310" s="14">
        <v>25.99</v>
      </c>
      <c r="D310">
        <v>3</v>
      </c>
      <c r="E310">
        <v>3</v>
      </c>
      <c r="F310" t="s">
        <v>588</v>
      </c>
      <c r="G310" t="s">
        <v>590</v>
      </c>
      <c r="H310">
        <v>19</v>
      </c>
      <c r="I310">
        <v>2024</v>
      </c>
      <c r="J310" s="7">
        <v>0.65883101851851855</v>
      </c>
      <c r="K310" t="s">
        <v>311</v>
      </c>
      <c r="L310" t="s">
        <v>535</v>
      </c>
      <c r="M310" t="s">
        <v>118</v>
      </c>
    </row>
    <row r="311" spans="1:13" x14ac:dyDescent="0.35">
      <c r="A311" t="s">
        <v>2</v>
      </c>
      <c r="B311" t="s">
        <v>1</v>
      </c>
      <c r="C311" s="14">
        <v>25.99</v>
      </c>
      <c r="D311">
        <v>7</v>
      </c>
      <c r="E311">
        <v>38</v>
      </c>
      <c r="F311" t="s">
        <v>588</v>
      </c>
      <c r="G311" t="s">
        <v>592</v>
      </c>
      <c r="H311">
        <v>9</v>
      </c>
      <c r="I311">
        <v>2024</v>
      </c>
      <c r="J311" s="7">
        <v>0.76753472222222219</v>
      </c>
      <c r="K311" t="s">
        <v>403</v>
      </c>
      <c r="L311" t="s">
        <v>286</v>
      </c>
      <c r="M311" t="s">
        <v>118</v>
      </c>
    </row>
    <row r="312" spans="1:13" x14ac:dyDescent="0.35">
      <c r="A312" t="s">
        <v>5</v>
      </c>
      <c r="B312" t="s">
        <v>1</v>
      </c>
      <c r="C312" s="14">
        <v>25.99</v>
      </c>
      <c r="D312">
        <v>10</v>
      </c>
      <c r="E312">
        <v>71</v>
      </c>
      <c r="F312" t="s">
        <v>588</v>
      </c>
      <c r="G312" t="s">
        <v>590</v>
      </c>
      <c r="H312">
        <v>22</v>
      </c>
      <c r="I312">
        <v>2024</v>
      </c>
      <c r="J312" s="7">
        <v>0.47570601851851851</v>
      </c>
      <c r="K312" t="s">
        <v>369</v>
      </c>
      <c r="L312" t="s">
        <v>506</v>
      </c>
      <c r="M312" t="s">
        <v>118</v>
      </c>
    </row>
    <row r="313" spans="1:13" x14ac:dyDescent="0.35">
      <c r="A313" t="s">
        <v>237</v>
      </c>
      <c r="B313" t="s">
        <v>37</v>
      </c>
      <c r="C313" s="14">
        <v>25.99</v>
      </c>
      <c r="D313">
        <v>3</v>
      </c>
      <c r="E313">
        <v>209</v>
      </c>
      <c r="F313" t="s">
        <v>588</v>
      </c>
      <c r="G313" t="s">
        <v>590</v>
      </c>
      <c r="H313">
        <v>20</v>
      </c>
      <c r="I313">
        <v>2024</v>
      </c>
      <c r="J313" s="7">
        <v>0.26134259259259257</v>
      </c>
      <c r="K313" t="s">
        <v>547</v>
      </c>
      <c r="L313" t="s">
        <v>267</v>
      </c>
      <c r="M313" t="s">
        <v>118</v>
      </c>
    </row>
    <row r="314" spans="1:13" x14ac:dyDescent="0.35">
      <c r="A314" t="s">
        <v>21</v>
      </c>
      <c r="B314" t="s">
        <v>3</v>
      </c>
      <c r="C314" s="14">
        <v>26</v>
      </c>
      <c r="D314">
        <v>0</v>
      </c>
      <c r="E314">
        <v>1337</v>
      </c>
      <c r="F314" t="s">
        <v>589</v>
      </c>
      <c r="G314" t="s">
        <v>590</v>
      </c>
      <c r="H314">
        <v>24</v>
      </c>
      <c r="I314">
        <v>2024</v>
      </c>
      <c r="J314" s="7">
        <v>0.32024305555555554</v>
      </c>
      <c r="K314" t="s">
        <v>291</v>
      </c>
      <c r="L314" t="s">
        <v>274</v>
      </c>
      <c r="M314" t="s">
        <v>118</v>
      </c>
    </row>
    <row r="315" spans="1:13" x14ac:dyDescent="0.35">
      <c r="A315" t="s">
        <v>64</v>
      </c>
      <c r="B315" t="s">
        <v>261</v>
      </c>
      <c r="C315" s="14">
        <v>26.1</v>
      </c>
      <c r="D315">
        <v>7</v>
      </c>
      <c r="E315">
        <v>4934</v>
      </c>
      <c r="F315" t="s">
        <v>589</v>
      </c>
      <c r="G315" t="s">
        <v>590</v>
      </c>
      <c r="H315">
        <v>24</v>
      </c>
      <c r="I315">
        <v>2024</v>
      </c>
      <c r="J315" s="7">
        <v>0.29655092592592591</v>
      </c>
      <c r="K315" t="s">
        <v>290</v>
      </c>
      <c r="L315" t="s">
        <v>506</v>
      </c>
      <c r="M315" t="s">
        <v>118</v>
      </c>
    </row>
    <row r="316" spans="1:13" x14ac:dyDescent="0.35">
      <c r="A316" t="s">
        <v>230</v>
      </c>
      <c r="B316" t="s">
        <v>3</v>
      </c>
      <c r="C316" s="14">
        <v>26.11</v>
      </c>
      <c r="D316">
        <v>50</v>
      </c>
      <c r="E316">
        <v>12184</v>
      </c>
      <c r="F316" t="s">
        <v>589</v>
      </c>
      <c r="G316" t="s">
        <v>590</v>
      </c>
      <c r="H316">
        <v>23</v>
      </c>
      <c r="I316">
        <v>2024</v>
      </c>
      <c r="J316" s="7">
        <v>0.54174768518518523</v>
      </c>
      <c r="K316" t="s">
        <v>291</v>
      </c>
      <c r="L316" t="s">
        <v>274</v>
      </c>
      <c r="M316" t="s">
        <v>118</v>
      </c>
    </row>
    <row r="317" spans="1:13" x14ac:dyDescent="0.35">
      <c r="A317" t="s">
        <v>9</v>
      </c>
      <c r="B317" t="s">
        <v>3</v>
      </c>
      <c r="C317" s="14">
        <v>26.5</v>
      </c>
      <c r="D317">
        <v>10</v>
      </c>
      <c r="E317">
        <v>3</v>
      </c>
      <c r="F317" t="s">
        <v>588</v>
      </c>
      <c r="G317" t="s">
        <v>590</v>
      </c>
      <c r="H317">
        <v>22</v>
      </c>
      <c r="I317">
        <v>2024</v>
      </c>
      <c r="J317" s="7">
        <v>0.76253472222222218</v>
      </c>
      <c r="K317" t="s">
        <v>314</v>
      </c>
      <c r="L317" t="s">
        <v>315</v>
      </c>
      <c r="M317" t="s">
        <v>118</v>
      </c>
    </row>
    <row r="318" spans="1:13" x14ac:dyDescent="0.35">
      <c r="A318" t="s">
        <v>7</v>
      </c>
      <c r="B318" t="s">
        <v>1</v>
      </c>
      <c r="C318" s="14">
        <v>26.5</v>
      </c>
      <c r="D318">
        <v>0</v>
      </c>
      <c r="E318">
        <v>3</v>
      </c>
      <c r="F318" t="s">
        <v>588</v>
      </c>
      <c r="G318" t="s">
        <v>590</v>
      </c>
      <c r="H318">
        <v>18</v>
      </c>
      <c r="I318">
        <v>2024</v>
      </c>
      <c r="J318" s="7">
        <v>0.33403935185185185</v>
      </c>
      <c r="K318" t="s">
        <v>506</v>
      </c>
      <c r="L318" t="s">
        <v>505</v>
      </c>
      <c r="M318" t="s">
        <v>118</v>
      </c>
    </row>
    <row r="319" spans="1:13" x14ac:dyDescent="0.35">
      <c r="A319" t="s">
        <v>72</v>
      </c>
      <c r="B319" t="s">
        <v>3</v>
      </c>
      <c r="C319" s="14">
        <v>26.52</v>
      </c>
      <c r="D319">
        <v>0</v>
      </c>
      <c r="E319">
        <v>1866</v>
      </c>
      <c r="F319" t="s">
        <v>589</v>
      </c>
      <c r="G319" t="s">
        <v>590</v>
      </c>
      <c r="H319">
        <v>24</v>
      </c>
      <c r="I319">
        <v>2024</v>
      </c>
      <c r="J319" s="7">
        <v>0.32996527777777779</v>
      </c>
      <c r="K319" t="s">
        <v>291</v>
      </c>
      <c r="L319" t="s">
        <v>274</v>
      </c>
      <c r="M319" t="s">
        <v>118</v>
      </c>
    </row>
    <row r="320" spans="1:13" x14ac:dyDescent="0.35">
      <c r="A320" t="s">
        <v>27</v>
      </c>
      <c r="B320" t="s">
        <v>3</v>
      </c>
      <c r="C320" s="14">
        <v>26.55</v>
      </c>
      <c r="D320">
        <v>10</v>
      </c>
      <c r="E320">
        <v>15</v>
      </c>
      <c r="F320" t="s">
        <v>588</v>
      </c>
      <c r="G320" t="s">
        <v>590</v>
      </c>
      <c r="H320">
        <v>21</v>
      </c>
      <c r="I320">
        <v>2024</v>
      </c>
      <c r="J320" s="7">
        <v>0.36484953703703704</v>
      </c>
      <c r="K320" t="s">
        <v>464</v>
      </c>
      <c r="L320" t="s">
        <v>305</v>
      </c>
      <c r="M320" t="s">
        <v>118</v>
      </c>
    </row>
    <row r="321" spans="1:13" x14ac:dyDescent="0.35">
      <c r="A321" t="s">
        <v>102</v>
      </c>
      <c r="B321" t="s">
        <v>37</v>
      </c>
      <c r="C321" s="14">
        <v>26.75</v>
      </c>
      <c r="D321">
        <v>6</v>
      </c>
      <c r="E321">
        <v>5</v>
      </c>
      <c r="F321" t="s">
        <v>588</v>
      </c>
      <c r="G321" t="s">
        <v>239</v>
      </c>
      <c r="H321">
        <v>0</v>
      </c>
      <c r="I321">
        <v>0</v>
      </c>
      <c r="J321" s="7">
        <v>0</v>
      </c>
      <c r="K321" t="s">
        <v>350</v>
      </c>
      <c r="L321" t="s">
        <v>315</v>
      </c>
      <c r="M321" t="s">
        <v>118</v>
      </c>
    </row>
    <row r="322" spans="1:13" x14ac:dyDescent="0.35">
      <c r="A322" t="s">
        <v>55</v>
      </c>
      <c r="B322" t="s">
        <v>3</v>
      </c>
      <c r="C322" s="14">
        <v>26.86</v>
      </c>
      <c r="D322">
        <v>3</v>
      </c>
      <c r="E322">
        <v>1047</v>
      </c>
      <c r="F322" t="s">
        <v>589</v>
      </c>
      <c r="G322" t="s">
        <v>590</v>
      </c>
      <c r="H322">
        <v>21</v>
      </c>
      <c r="I322">
        <v>2024</v>
      </c>
      <c r="J322" s="7">
        <v>0.41398148148148151</v>
      </c>
      <c r="K322" t="s">
        <v>291</v>
      </c>
      <c r="L322" t="s">
        <v>274</v>
      </c>
      <c r="M322" t="s">
        <v>118</v>
      </c>
    </row>
    <row r="323" spans="1:13" x14ac:dyDescent="0.35">
      <c r="A323" t="s">
        <v>51</v>
      </c>
      <c r="B323" t="s">
        <v>3</v>
      </c>
      <c r="C323" s="14">
        <v>26.9</v>
      </c>
      <c r="D323">
        <v>5</v>
      </c>
      <c r="E323">
        <v>264</v>
      </c>
      <c r="F323" t="s">
        <v>588</v>
      </c>
      <c r="G323" t="s">
        <v>590</v>
      </c>
      <c r="H323">
        <v>18</v>
      </c>
      <c r="I323">
        <v>2024</v>
      </c>
      <c r="J323" s="7">
        <v>0.45519675925925923</v>
      </c>
      <c r="K323" t="s">
        <v>408</v>
      </c>
      <c r="L323" t="s">
        <v>396</v>
      </c>
      <c r="M323" t="s">
        <v>118</v>
      </c>
    </row>
    <row r="324" spans="1:13" x14ac:dyDescent="0.35">
      <c r="A324" t="s">
        <v>236</v>
      </c>
      <c r="B324" t="s">
        <v>3</v>
      </c>
      <c r="C324" s="14">
        <v>26.95</v>
      </c>
      <c r="D324">
        <v>10</v>
      </c>
      <c r="E324">
        <v>5</v>
      </c>
      <c r="F324" t="s">
        <v>588</v>
      </c>
      <c r="G324" t="s">
        <v>239</v>
      </c>
      <c r="H324">
        <v>0</v>
      </c>
      <c r="I324">
        <v>0</v>
      </c>
      <c r="J324" s="7">
        <v>0</v>
      </c>
      <c r="K324" t="s">
        <v>375</v>
      </c>
      <c r="L324" t="s">
        <v>376</v>
      </c>
      <c r="M324" t="s">
        <v>118</v>
      </c>
    </row>
    <row r="325" spans="1:13" x14ac:dyDescent="0.35">
      <c r="A325" t="s">
        <v>21</v>
      </c>
      <c r="B325" t="s">
        <v>3</v>
      </c>
      <c r="C325" s="14">
        <v>26.97</v>
      </c>
      <c r="D325">
        <v>10</v>
      </c>
      <c r="E325">
        <v>424</v>
      </c>
      <c r="F325" t="s">
        <v>588</v>
      </c>
      <c r="G325" t="s">
        <v>590</v>
      </c>
      <c r="H325">
        <v>21</v>
      </c>
      <c r="I325">
        <v>2024</v>
      </c>
      <c r="J325" s="7">
        <v>0.56373842592592593</v>
      </c>
      <c r="K325" t="s">
        <v>291</v>
      </c>
      <c r="L325" t="s">
        <v>274</v>
      </c>
      <c r="M325" t="s">
        <v>118</v>
      </c>
    </row>
    <row r="326" spans="1:13" x14ac:dyDescent="0.35">
      <c r="A326" t="s">
        <v>5</v>
      </c>
      <c r="B326" t="s">
        <v>1</v>
      </c>
      <c r="C326" s="14">
        <v>26.99</v>
      </c>
      <c r="D326">
        <v>2</v>
      </c>
      <c r="E326">
        <v>75</v>
      </c>
      <c r="F326" t="s">
        <v>588</v>
      </c>
      <c r="G326" t="s">
        <v>590</v>
      </c>
      <c r="H326">
        <v>18</v>
      </c>
      <c r="I326">
        <v>2024</v>
      </c>
      <c r="J326" s="7">
        <v>0.69745370370370374</v>
      </c>
      <c r="K326" t="s">
        <v>362</v>
      </c>
      <c r="L326" t="s">
        <v>505</v>
      </c>
      <c r="M326" t="s">
        <v>118</v>
      </c>
    </row>
    <row r="327" spans="1:13" x14ac:dyDescent="0.35">
      <c r="A327" t="s">
        <v>55</v>
      </c>
      <c r="B327" t="s">
        <v>1</v>
      </c>
      <c r="C327" s="14">
        <v>26.99</v>
      </c>
      <c r="D327">
        <v>0</v>
      </c>
      <c r="E327">
        <v>14</v>
      </c>
      <c r="F327" t="s">
        <v>588</v>
      </c>
      <c r="G327" t="s">
        <v>590</v>
      </c>
      <c r="H327">
        <v>19</v>
      </c>
      <c r="I327">
        <v>2024</v>
      </c>
      <c r="J327" s="7">
        <v>0.72906249999999995</v>
      </c>
      <c r="K327" t="s">
        <v>285</v>
      </c>
      <c r="L327" t="s">
        <v>286</v>
      </c>
      <c r="M327" t="s">
        <v>118</v>
      </c>
    </row>
    <row r="328" spans="1:13" x14ac:dyDescent="0.35">
      <c r="A328" t="s">
        <v>43</v>
      </c>
      <c r="B328" t="s">
        <v>3</v>
      </c>
      <c r="C328" s="14">
        <v>26.99</v>
      </c>
      <c r="D328">
        <v>10</v>
      </c>
      <c r="E328">
        <v>21</v>
      </c>
      <c r="F328" t="s">
        <v>588</v>
      </c>
      <c r="G328" t="s">
        <v>590</v>
      </c>
      <c r="H328">
        <v>17</v>
      </c>
      <c r="I328">
        <v>2024</v>
      </c>
      <c r="J328" s="7">
        <v>0.48217592592592595</v>
      </c>
      <c r="K328" t="s">
        <v>367</v>
      </c>
      <c r="L328" t="s">
        <v>506</v>
      </c>
      <c r="M328" t="s">
        <v>118</v>
      </c>
    </row>
    <row r="329" spans="1:13" x14ac:dyDescent="0.35">
      <c r="A329" t="s">
        <v>4</v>
      </c>
      <c r="B329" t="s">
        <v>1</v>
      </c>
      <c r="C329" s="14">
        <v>27</v>
      </c>
      <c r="D329">
        <v>13</v>
      </c>
      <c r="E329">
        <v>5</v>
      </c>
      <c r="F329" t="s">
        <v>588</v>
      </c>
      <c r="G329" t="s">
        <v>590</v>
      </c>
      <c r="H329">
        <v>19</v>
      </c>
      <c r="I329">
        <v>2024</v>
      </c>
      <c r="J329" s="7">
        <v>0.65695601851851848</v>
      </c>
      <c r="K329" t="s">
        <v>551</v>
      </c>
      <c r="L329" t="s">
        <v>315</v>
      </c>
      <c r="M329" t="s">
        <v>118</v>
      </c>
    </row>
    <row r="330" spans="1:13" x14ac:dyDescent="0.35">
      <c r="A330" t="s">
        <v>73</v>
      </c>
      <c r="B330" t="s">
        <v>3</v>
      </c>
      <c r="C330" s="14">
        <v>27.03</v>
      </c>
      <c r="D330">
        <v>3</v>
      </c>
      <c r="E330">
        <v>1337</v>
      </c>
      <c r="F330" t="s">
        <v>589</v>
      </c>
      <c r="G330" t="s">
        <v>590</v>
      </c>
      <c r="H330">
        <v>21</v>
      </c>
      <c r="I330">
        <v>2024</v>
      </c>
      <c r="J330" s="7">
        <v>0.47439814814814812</v>
      </c>
      <c r="K330" t="s">
        <v>291</v>
      </c>
      <c r="L330" t="s">
        <v>274</v>
      </c>
      <c r="M330" t="s">
        <v>118</v>
      </c>
    </row>
    <row r="331" spans="1:13" x14ac:dyDescent="0.35">
      <c r="A331" t="s">
        <v>4</v>
      </c>
      <c r="B331" t="s">
        <v>3</v>
      </c>
      <c r="C331" s="14">
        <v>27.1</v>
      </c>
      <c r="D331">
        <v>10</v>
      </c>
      <c r="E331">
        <v>28</v>
      </c>
      <c r="F331" t="s">
        <v>588</v>
      </c>
      <c r="G331" t="s">
        <v>590</v>
      </c>
      <c r="H331">
        <v>22</v>
      </c>
      <c r="I331">
        <v>2024</v>
      </c>
      <c r="J331" s="7">
        <v>0.43228009259259259</v>
      </c>
      <c r="K331" t="s">
        <v>325</v>
      </c>
      <c r="L331" t="s">
        <v>266</v>
      </c>
      <c r="M331" t="s">
        <v>118</v>
      </c>
    </row>
    <row r="332" spans="1:13" x14ac:dyDescent="0.35">
      <c r="A332" t="s">
        <v>72</v>
      </c>
      <c r="B332" t="s">
        <v>1</v>
      </c>
      <c r="C332" s="14">
        <v>27.25</v>
      </c>
      <c r="D332">
        <v>3</v>
      </c>
      <c r="E332">
        <v>24</v>
      </c>
      <c r="F332" t="s">
        <v>588</v>
      </c>
      <c r="G332" t="s">
        <v>590</v>
      </c>
      <c r="H332">
        <v>22</v>
      </c>
      <c r="I332">
        <v>2024</v>
      </c>
      <c r="J332" s="7">
        <v>0.49346064814814816</v>
      </c>
      <c r="K332" t="s">
        <v>509</v>
      </c>
      <c r="L332" t="s">
        <v>505</v>
      </c>
      <c r="M332" t="s">
        <v>118</v>
      </c>
    </row>
    <row r="333" spans="1:13" x14ac:dyDescent="0.35">
      <c r="A333" t="s">
        <v>15</v>
      </c>
      <c r="B333" t="s">
        <v>1</v>
      </c>
      <c r="C333" s="14">
        <v>27.3</v>
      </c>
      <c r="D333">
        <v>3</v>
      </c>
      <c r="E333">
        <v>179</v>
      </c>
      <c r="F333" t="s">
        <v>588</v>
      </c>
      <c r="G333" t="s">
        <v>590</v>
      </c>
      <c r="H333">
        <v>24</v>
      </c>
      <c r="I333">
        <v>2024</v>
      </c>
      <c r="J333" s="7">
        <v>0.30119212962962966</v>
      </c>
      <c r="K333" t="s">
        <v>290</v>
      </c>
      <c r="L333" t="s">
        <v>506</v>
      </c>
      <c r="M333" t="s">
        <v>118</v>
      </c>
    </row>
    <row r="334" spans="1:13" x14ac:dyDescent="0.35">
      <c r="A334" t="s">
        <v>58</v>
      </c>
      <c r="B334" t="s">
        <v>3</v>
      </c>
      <c r="C334" s="14">
        <v>27.4</v>
      </c>
      <c r="D334">
        <v>8</v>
      </c>
      <c r="E334">
        <v>397</v>
      </c>
      <c r="F334" t="s">
        <v>588</v>
      </c>
      <c r="G334" t="s">
        <v>590</v>
      </c>
      <c r="H334">
        <v>21</v>
      </c>
      <c r="I334">
        <v>2024</v>
      </c>
      <c r="J334" s="7">
        <v>0.62998842592592597</v>
      </c>
      <c r="K334" t="s">
        <v>291</v>
      </c>
      <c r="L334" t="s">
        <v>274</v>
      </c>
      <c r="M334" t="s">
        <v>118</v>
      </c>
    </row>
    <row r="335" spans="1:13" x14ac:dyDescent="0.35">
      <c r="A335" t="s">
        <v>15</v>
      </c>
      <c r="B335" t="s">
        <v>1</v>
      </c>
      <c r="C335" s="14">
        <v>27.5</v>
      </c>
      <c r="D335">
        <v>2</v>
      </c>
      <c r="E335">
        <v>427</v>
      </c>
      <c r="F335" t="s">
        <v>588</v>
      </c>
      <c r="G335" t="s">
        <v>590</v>
      </c>
      <c r="H335">
        <v>24</v>
      </c>
      <c r="I335">
        <v>2024</v>
      </c>
      <c r="J335" s="7">
        <v>0.36450231481481482</v>
      </c>
      <c r="K335" t="s">
        <v>301</v>
      </c>
      <c r="L335" t="s">
        <v>506</v>
      </c>
      <c r="M335" t="s">
        <v>118</v>
      </c>
    </row>
    <row r="336" spans="1:13" x14ac:dyDescent="0.35">
      <c r="A336" t="s">
        <v>4</v>
      </c>
      <c r="B336" t="s">
        <v>3</v>
      </c>
      <c r="C336" s="14">
        <v>27.5</v>
      </c>
      <c r="D336">
        <v>10</v>
      </c>
      <c r="E336">
        <v>18</v>
      </c>
      <c r="F336" t="s">
        <v>588</v>
      </c>
      <c r="G336" t="s">
        <v>590</v>
      </c>
      <c r="H336">
        <v>22</v>
      </c>
      <c r="I336">
        <v>2024</v>
      </c>
      <c r="J336" s="7">
        <v>0.53207175925925931</v>
      </c>
      <c r="K336" t="s">
        <v>280</v>
      </c>
      <c r="L336" t="s">
        <v>266</v>
      </c>
      <c r="M336" t="s">
        <v>118</v>
      </c>
    </row>
    <row r="337" spans="1:13" x14ac:dyDescent="0.35">
      <c r="A337" t="s">
        <v>42</v>
      </c>
      <c r="B337" t="s">
        <v>1</v>
      </c>
      <c r="C337" s="14">
        <v>27.5</v>
      </c>
      <c r="D337">
        <v>0</v>
      </c>
      <c r="E337">
        <v>29</v>
      </c>
      <c r="F337" t="s">
        <v>588</v>
      </c>
      <c r="G337" t="s">
        <v>590</v>
      </c>
      <c r="H337">
        <v>23</v>
      </c>
      <c r="I337">
        <v>2024</v>
      </c>
      <c r="J337" s="7">
        <v>0.60758101851851853</v>
      </c>
      <c r="K337" t="s">
        <v>483</v>
      </c>
      <c r="L337" t="s">
        <v>484</v>
      </c>
      <c r="M337" t="s">
        <v>118</v>
      </c>
    </row>
    <row r="338" spans="1:13" x14ac:dyDescent="0.35">
      <c r="A338" t="s">
        <v>228</v>
      </c>
      <c r="B338" t="s">
        <v>3</v>
      </c>
      <c r="C338" s="14">
        <v>27.59</v>
      </c>
      <c r="D338">
        <v>10</v>
      </c>
      <c r="E338">
        <v>4972</v>
      </c>
      <c r="F338" t="s">
        <v>589</v>
      </c>
      <c r="G338" t="s">
        <v>590</v>
      </c>
      <c r="H338">
        <v>17</v>
      </c>
      <c r="I338">
        <v>2024</v>
      </c>
      <c r="J338" s="7">
        <v>0.63638888888888889</v>
      </c>
      <c r="K338" t="s">
        <v>291</v>
      </c>
      <c r="L338" t="s">
        <v>274</v>
      </c>
      <c r="M338" t="s">
        <v>118</v>
      </c>
    </row>
    <row r="339" spans="1:13" x14ac:dyDescent="0.35">
      <c r="A339" t="s">
        <v>142</v>
      </c>
      <c r="B339" t="s">
        <v>3</v>
      </c>
      <c r="C339" s="14">
        <v>27.84</v>
      </c>
      <c r="D339">
        <v>0</v>
      </c>
      <c r="E339">
        <v>85</v>
      </c>
      <c r="F339" t="s">
        <v>588</v>
      </c>
      <c r="G339" t="s">
        <v>591</v>
      </c>
      <c r="H339">
        <v>30</v>
      </c>
      <c r="I339">
        <v>2024</v>
      </c>
      <c r="J339" s="7">
        <v>0.2814814814814815</v>
      </c>
      <c r="K339" t="s">
        <v>291</v>
      </c>
      <c r="L339" t="s">
        <v>274</v>
      </c>
      <c r="M339" t="s">
        <v>118</v>
      </c>
    </row>
    <row r="340" spans="1:13" x14ac:dyDescent="0.35">
      <c r="A340" t="s">
        <v>4</v>
      </c>
      <c r="B340" t="s">
        <v>3</v>
      </c>
      <c r="C340" s="14">
        <v>27.9</v>
      </c>
      <c r="D340">
        <v>8</v>
      </c>
      <c r="E340">
        <v>157</v>
      </c>
      <c r="F340" t="s">
        <v>588</v>
      </c>
      <c r="G340" t="s">
        <v>590</v>
      </c>
      <c r="H340">
        <v>17</v>
      </c>
      <c r="I340">
        <v>2024</v>
      </c>
      <c r="J340" s="7">
        <v>0.86896990740740743</v>
      </c>
      <c r="K340" t="s">
        <v>287</v>
      </c>
      <c r="L340" t="s">
        <v>266</v>
      </c>
      <c r="M340" t="s">
        <v>118</v>
      </c>
    </row>
    <row r="341" spans="1:13" x14ac:dyDescent="0.35">
      <c r="A341" t="s">
        <v>29</v>
      </c>
      <c r="B341" t="s">
        <v>3</v>
      </c>
      <c r="C341" s="14">
        <v>27.94</v>
      </c>
      <c r="D341">
        <v>9</v>
      </c>
      <c r="E341">
        <v>485</v>
      </c>
      <c r="F341" t="s">
        <v>588</v>
      </c>
      <c r="G341" t="s">
        <v>590</v>
      </c>
      <c r="H341">
        <v>23</v>
      </c>
      <c r="I341">
        <v>2024</v>
      </c>
      <c r="J341" s="7">
        <v>0.52956018518518522</v>
      </c>
      <c r="K341" t="s">
        <v>291</v>
      </c>
      <c r="L341" t="s">
        <v>274</v>
      </c>
      <c r="M341" t="s">
        <v>118</v>
      </c>
    </row>
    <row r="342" spans="1:13" x14ac:dyDescent="0.35">
      <c r="A342" t="s">
        <v>21</v>
      </c>
      <c r="B342" t="s">
        <v>3</v>
      </c>
      <c r="C342" s="14">
        <v>27.94</v>
      </c>
      <c r="D342">
        <v>0</v>
      </c>
      <c r="E342">
        <v>1140</v>
      </c>
      <c r="F342" t="s">
        <v>589</v>
      </c>
      <c r="G342" t="s">
        <v>590</v>
      </c>
      <c r="H342">
        <v>22</v>
      </c>
      <c r="I342">
        <v>2024</v>
      </c>
      <c r="J342" s="7">
        <v>0.46173611111111112</v>
      </c>
      <c r="K342" t="s">
        <v>290</v>
      </c>
      <c r="L342" t="s">
        <v>506</v>
      </c>
      <c r="M342" t="s">
        <v>118</v>
      </c>
    </row>
    <row r="343" spans="1:13" x14ac:dyDescent="0.35">
      <c r="A343" t="s">
        <v>235</v>
      </c>
      <c r="B343" t="s">
        <v>37</v>
      </c>
      <c r="C343" s="14">
        <v>27.94</v>
      </c>
      <c r="D343">
        <v>0</v>
      </c>
      <c r="E343">
        <v>717</v>
      </c>
      <c r="F343" t="s">
        <v>588</v>
      </c>
      <c r="G343" t="s">
        <v>590</v>
      </c>
      <c r="H343">
        <v>23</v>
      </c>
      <c r="I343">
        <v>2024</v>
      </c>
      <c r="J343" s="7">
        <v>0.92973379629629627</v>
      </c>
      <c r="K343" t="s">
        <v>394</v>
      </c>
      <c r="L343" t="s">
        <v>282</v>
      </c>
      <c r="M343" t="s">
        <v>118</v>
      </c>
    </row>
    <row r="344" spans="1:13" x14ac:dyDescent="0.35">
      <c r="A344" t="s">
        <v>91</v>
      </c>
      <c r="B344" t="s">
        <v>1</v>
      </c>
      <c r="C344" s="14">
        <v>27.99</v>
      </c>
      <c r="D344">
        <v>10</v>
      </c>
      <c r="E344">
        <v>1</v>
      </c>
      <c r="F344" t="s">
        <v>588</v>
      </c>
      <c r="G344" t="s">
        <v>590</v>
      </c>
      <c r="H344">
        <v>23</v>
      </c>
      <c r="I344">
        <v>2024</v>
      </c>
      <c r="J344" s="7">
        <v>0.83188657407407407</v>
      </c>
      <c r="K344" t="s">
        <v>509</v>
      </c>
      <c r="L344" t="s">
        <v>505</v>
      </c>
      <c r="M344" t="s">
        <v>118</v>
      </c>
    </row>
    <row r="345" spans="1:13" x14ac:dyDescent="0.35">
      <c r="A345" t="s">
        <v>10</v>
      </c>
      <c r="B345" t="s">
        <v>3</v>
      </c>
      <c r="C345" s="14">
        <v>27.99</v>
      </c>
      <c r="D345">
        <v>10</v>
      </c>
      <c r="E345">
        <v>9</v>
      </c>
      <c r="F345" t="s">
        <v>588</v>
      </c>
      <c r="G345" t="s">
        <v>239</v>
      </c>
      <c r="H345">
        <v>0</v>
      </c>
      <c r="I345">
        <v>0</v>
      </c>
      <c r="J345" s="7">
        <v>0</v>
      </c>
      <c r="K345" t="s">
        <v>522</v>
      </c>
      <c r="L345" t="s">
        <v>506</v>
      </c>
      <c r="M345" t="s">
        <v>118</v>
      </c>
    </row>
    <row r="346" spans="1:13" x14ac:dyDescent="0.35">
      <c r="A346" t="s">
        <v>166</v>
      </c>
      <c r="B346" t="s">
        <v>3</v>
      </c>
      <c r="C346" s="14">
        <v>27.99</v>
      </c>
      <c r="D346">
        <v>0</v>
      </c>
      <c r="E346">
        <v>75</v>
      </c>
      <c r="F346" t="s">
        <v>588</v>
      </c>
      <c r="G346" t="s">
        <v>596</v>
      </c>
      <c r="H346">
        <v>2</v>
      </c>
      <c r="I346">
        <v>2022</v>
      </c>
      <c r="J346" s="7">
        <v>0.12709490740740742</v>
      </c>
      <c r="K346" t="s">
        <v>301</v>
      </c>
      <c r="L346" t="s">
        <v>506</v>
      </c>
      <c r="M346" t="s">
        <v>118</v>
      </c>
    </row>
    <row r="347" spans="1:13" x14ac:dyDescent="0.35">
      <c r="A347" t="s">
        <v>10</v>
      </c>
      <c r="B347" t="s">
        <v>3</v>
      </c>
      <c r="C347" s="14">
        <v>27.99</v>
      </c>
      <c r="D347">
        <v>0</v>
      </c>
      <c r="E347">
        <v>24</v>
      </c>
      <c r="F347" t="s">
        <v>588</v>
      </c>
      <c r="G347" t="s">
        <v>239</v>
      </c>
      <c r="H347">
        <v>0</v>
      </c>
      <c r="I347">
        <v>0</v>
      </c>
      <c r="J347" s="7">
        <v>0</v>
      </c>
      <c r="K347" t="s">
        <v>352</v>
      </c>
      <c r="L347" t="s">
        <v>353</v>
      </c>
      <c r="M347" t="s">
        <v>118</v>
      </c>
    </row>
    <row r="348" spans="1:13" x14ac:dyDescent="0.35">
      <c r="A348" t="s">
        <v>26</v>
      </c>
      <c r="B348" t="s">
        <v>3</v>
      </c>
      <c r="C348" s="14">
        <v>28.02</v>
      </c>
      <c r="D348">
        <v>0</v>
      </c>
      <c r="E348">
        <v>5377</v>
      </c>
      <c r="F348" t="s">
        <v>589</v>
      </c>
      <c r="G348" t="s">
        <v>590</v>
      </c>
      <c r="H348">
        <v>23</v>
      </c>
      <c r="I348">
        <v>2024</v>
      </c>
      <c r="J348" s="7">
        <v>3.3263888888888891E-2</v>
      </c>
      <c r="K348" t="s">
        <v>290</v>
      </c>
      <c r="L348" t="s">
        <v>506</v>
      </c>
      <c r="M348" t="s">
        <v>118</v>
      </c>
    </row>
    <row r="349" spans="1:13" x14ac:dyDescent="0.35">
      <c r="A349" t="s">
        <v>58</v>
      </c>
      <c r="B349" t="s">
        <v>3</v>
      </c>
      <c r="C349" s="14">
        <v>28.11</v>
      </c>
      <c r="D349">
        <v>10</v>
      </c>
      <c r="E349">
        <v>542</v>
      </c>
      <c r="F349" t="s">
        <v>588</v>
      </c>
      <c r="G349" t="s">
        <v>590</v>
      </c>
      <c r="H349">
        <v>24</v>
      </c>
      <c r="I349">
        <v>2024</v>
      </c>
      <c r="J349" s="7">
        <v>0.35636574074074073</v>
      </c>
      <c r="K349" t="s">
        <v>291</v>
      </c>
      <c r="L349" t="s">
        <v>274</v>
      </c>
      <c r="M349" t="s">
        <v>118</v>
      </c>
    </row>
    <row r="350" spans="1:13" x14ac:dyDescent="0.35">
      <c r="A350" t="s">
        <v>72</v>
      </c>
      <c r="B350" t="s">
        <v>1</v>
      </c>
      <c r="C350" s="14">
        <v>28.19</v>
      </c>
      <c r="D350">
        <v>10</v>
      </c>
      <c r="E350">
        <v>10</v>
      </c>
      <c r="F350" t="s">
        <v>588</v>
      </c>
      <c r="G350" t="s">
        <v>590</v>
      </c>
      <c r="H350">
        <v>21</v>
      </c>
      <c r="I350">
        <v>2024</v>
      </c>
      <c r="J350" s="7">
        <v>0.64758101851851857</v>
      </c>
      <c r="K350" t="s">
        <v>509</v>
      </c>
      <c r="L350" t="s">
        <v>505</v>
      </c>
      <c r="M350" t="s">
        <v>118</v>
      </c>
    </row>
    <row r="351" spans="1:13" x14ac:dyDescent="0.35">
      <c r="A351" t="s">
        <v>55</v>
      </c>
      <c r="B351" t="s">
        <v>3</v>
      </c>
      <c r="C351" s="14">
        <v>28.19</v>
      </c>
      <c r="D351">
        <v>10</v>
      </c>
      <c r="E351">
        <v>23</v>
      </c>
      <c r="F351" t="s">
        <v>588</v>
      </c>
      <c r="G351" t="s">
        <v>590</v>
      </c>
      <c r="H351">
        <v>23</v>
      </c>
      <c r="I351">
        <v>2024</v>
      </c>
      <c r="J351" s="7">
        <v>0.88082175925925921</v>
      </c>
      <c r="K351" t="s">
        <v>509</v>
      </c>
      <c r="L351" t="s">
        <v>505</v>
      </c>
      <c r="M351" t="s">
        <v>118</v>
      </c>
    </row>
    <row r="352" spans="1:13" x14ac:dyDescent="0.35">
      <c r="A352" t="s">
        <v>71</v>
      </c>
      <c r="B352" t="s">
        <v>1</v>
      </c>
      <c r="C352" s="14">
        <v>28.19</v>
      </c>
      <c r="D352">
        <v>84</v>
      </c>
      <c r="E352">
        <v>6</v>
      </c>
      <c r="F352" t="s">
        <v>588</v>
      </c>
      <c r="G352" t="s">
        <v>590</v>
      </c>
      <c r="H352">
        <v>20</v>
      </c>
      <c r="I352">
        <v>2024</v>
      </c>
      <c r="J352" s="7">
        <v>0.49766203703703704</v>
      </c>
      <c r="K352" t="s">
        <v>509</v>
      </c>
      <c r="L352" t="s">
        <v>505</v>
      </c>
      <c r="M352" t="s">
        <v>118</v>
      </c>
    </row>
    <row r="353" spans="1:13" x14ac:dyDescent="0.35">
      <c r="A353" t="s">
        <v>9</v>
      </c>
      <c r="B353" t="s">
        <v>3</v>
      </c>
      <c r="C353" s="14">
        <v>28.2</v>
      </c>
      <c r="D353">
        <v>0</v>
      </c>
      <c r="E353">
        <v>24</v>
      </c>
      <c r="F353" t="s">
        <v>588</v>
      </c>
      <c r="G353" t="s">
        <v>590</v>
      </c>
      <c r="H353">
        <v>21</v>
      </c>
      <c r="I353">
        <v>2024</v>
      </c>
      <c r="J353" s="7">
        <v>0.41798611111111111</v>
      </c>
      <c r="K353" t="s">
        <v>287</v>
      </c>
      <c r="L353" t="s">
        <v>266</v>
      </c>
      <c r="M353" t="s">
        <v>118</v>
      </c>
    </row>
    <row r="354" spans="1:13" x14ac:dyDescent="0.35">
      <c r="A354" t="s">
        <v>232</v>
      </c>
      <c r="B354" t="s">
        <v>3</v>
      </c>
      <c r="C354" s="14">
        <v>28.25</v>
      </c>
      <c r="D354">
        <v>10</v>
      </c>
      <c r="E354">
        <v>12583</v>
      </c>
      <c r="F354" t="s">
        <v>589</v>
      </c>
      <c r="G354" t="s">
        <v>590</v>
      </c>
      <c r="H354">
        <v>24</v>
      </c>
      <c r="I354">
        <v>2024</v>
      </c>
      <c r="J354" s="7">
        <v>0.32900462962962962</v>
      </c>
      <c r="K354" t="s">
        <v>290</v>
      </c>
      <c r="L354" t="s">
        <v>506</v>
      </c>
      <c r="M354" t="s">
        <v>118</v>
      </c>
    </row>
    <row r="355" spans="1:13" x14ac:dyDescent="0.35">
      <c r="A355" t="s">
        <v>111</v>
      </c>
      <c r="B355" t="s">
        <v>37</v>
      </c>
      <c r="C355" s="14">
        <v>28.38</v>
      </c>
      <c r="D355">
        <v>10</v>
      </c>
      <c r="E355">
        <v>1433</v>
      </c>
      <c r="F355" t="s">
        <v>589</v>
      </c>
      <c r="G355" t="s">
        <v>590</v>
      </c>
      <c r="H355">
        <v>16</v>
      </c>
      <c r="I355">
        <v>2024</v>
      </c>
      <c r="J355" s="7">
        <v>0.86473379629629632</v>
      </c>
      <c r="K355" t="s">
        <v>291</v>
      </c>
      <c r="L355" t="s">
        <v>274</v>
      </c>
      <c r="M355" t="s">
        <v>118</v>
      </c>
    </row>
    <row r="356" spans="1:13" x14ac:dyDescent="0.35">
      <c r="A356" t="s">
        <v>32</v>
      </c>
      <c r="B356" t="s">
        <v>3</v>
      </c>
      <c r="C356" s="14">
        <v>28.42</v>
      </c>
      <c r="D356">
        <v>6</v>
      </c>
      <c r="E356">
        <v>731</v>
      </c>
      <c r="F356" t="s">
        <v>588</v>
      </c>
      <c r="G356" t="s">
        <v>590</v>
      </c>
      <c r="H356">
        <v>19</v>
      </c>
      <c r="I356">
        <v>2024</v>
      </c>
      <c r="J356" s="7">
        <v>0.79583333333333328</v>
      </c>
      <c r="K356" t="s">
        <v>291</v>
      </c>
      <c r="L356" t="s">
        <v>274</v>
      </c>
      <c r="M356" t="s">
        <v>118</v>
      </c>
    </row>
    <row r="357" spans="1:13" x14ac:dyDescent="0.35">
      <c r="A357" t="s">
        <v>10</v>
      </c>
      <c r="B357" t="s">
        <v>3</v>
      </c>
      <c r="C357" s="14">
        <v>28.5</v>
      </c>
      <c r="D357">
        <v>8</v>
      </c>
      <c r="E357">
        <v>566</v>
      </c>
      <c r="F357" t="s">
        <v>588</v>
      </c>
      <c r="G357" t="s">
        <v>590</v>
      </c>
      <c r="H357">
        <v>23</v>
      </c>
      <c r="I357">
        <v>2024</v>
      </c>
      <c r="J357" s="7">
        <v>0.93085648148148148</v>
      </c>
      <c r="K357" t="s">
        <v>354</v>
      </c>
      <c r="L357" t="s">
        <v>266</v>
      </c>
      <c r="M357" t="s">
        <v>118</v>
      </c>
    </row>
    <row r="358" spans="1:13" x14ac:dyDescent="0.35">
      <c r="A358" t="s">
        <v>75</v>
      </c>
      <c r="B358" t="s">
        <v>1</v>
      </c>
      <c r="C358" s="14">
        <v>28.65</v>
      </c>
      <c r="D358">
        <v>5</v>
      </c>
      <c r="E358">
        <v>9</v>
      </c>
      <c r="F358" t="s">
        <v>588</v>
      </c>
      <c r="G358" t="s">
        <v>590</v>
      </c>
      <c r="H358">
        <v>22</v>
      </c>
      <c r="I358">
        <v>2024</v>
      </c>
      <c r="J358" s="7">
        <v>0.89362268518518517</v>
      </c>
      <c r="K358" t="s">
        <v>509</v>
      </c>
      <c r="L358" t="s">
        <v>505</v>
      </c>
      <c r="M358" t="s">
        <v>118</v>
      </c>
    </row>
    <row r="359" spans="1:13" x14ac:dyDescent="0.35">
      <c r="A359" t="s">
        <v>28</v>
      </c>
      <c r="B359" t="s">
        <v>3</v>
      </c>
      <c r="C359" s="14">
        <v>28.75</v>
      </c>
      <c r="D359">
        <v>10</v>
      </c>
      <c r="E359">
        <v>12739</v>
      </c>
      <c r="F359" t="s">
        <v>589</v>
      </c>
      <c r="G359" t="s">
        <v>590</v>
      </c>
      <c r="H359">
        <v>24</v>
      </c>
      <c r="I359">
        <v>2024</v>
      </c>
      <c r="J359" s="7">
        <v>0.36391203703703706</v>
      </c>
      <c r="K359" t="s">
        <v>290</v>
      </c>
      <c r="L359" t="s">
        <v>506</v>
      </c>
      <c r="M359" t="s">
        <v>118</v>
      </c>
    </row>
    <row r="360" spans="1:13" x14ac:dyDescent="0.35">
      <c r="A360" t="s">
        <v>10</v>
      </c>
      <c r="B360" t="s">
        <v>3</v>
      </c>
      <c r="C360" s="14">
        <v>28.79</v>
      </c>
      <c r="D360">
        <v>10</v>
      </c>
      <c r="E360">
        <v>45</v>
      </c>
      <c r="F360" t="s">
        <v>588</v>
      </c>
      <c r="G360" t="s">
        <v>590</v>
      </c>
      <c r="H360">
        <v>23</v>
      </c>
      <c r="I360">
        <v>2024</v>
      </c>
      <c r="J360" s="7">
        <v>0.89569444444444446</v>
      </c>
      <c r="K360" t="s">
        <v>325</v>
      </c>
      <c r="L360" t="s">
        <v>266</v>
      </c>
      <c r="M360" t="s">
        <v>118</v>
      </c>
    </row>
    <row r="361" spans="1:13" x14ac:dyDescent="0.35">
      <c r="A361" t="s">
        <v>15</v>
      </c>
      <c r="B361" t="s">
        <v>1</v>
      </c>
      <c r="C361" s="14">
        <v>28.8</v>
      </c>
      <c r="D361">
        <v>83</v>
      </c>
      <c r="E361">
        <v>712</v>
      </c>
      <c r="F361" t="s">
        <v>588</v>
      </c>
      <c r="G361" t="s">
        <v>590</v>
      </c>
      <c r="H361">
        <v>12</v>
      </c>
      <c r="I361">
        <v>2024</v>
      </c>
      <c r="J361" s="7">
        <v>0.67754629629629626</v>
      </c>
      <c r="K361" t="s">
        <v>509</v>
      </c>
      <c r="L361" t="s">
        <v>505</v>
      </c>
      <c r="M361" t="s">
        <v>118</v>
      </c>
    </row>
    <row r="362" spans="1:13" x14ac:dyDescent="0.35">
      <c r="A362" t="s">
        <v>13</v>
      </c>
      <c r="B362" t="s">
        <v>3</v>
      </c>
      <c r="C362" s="14">
        <v>28.91</v>
      </c>
      <c r="D362">
        <v>10</v>
      </c>
      <c r="E362">
        <v>849</v>
      </c>
      <c r="F362" t="s">
        <v>588</v>
      </c>
      <c r="G362" t="s">
        <v>590</v>
      </c>
      <c r="H362">
        <v>24</v>
      </c>
      <c r="I362">
        <v>2024</v>
      </c>
      <c r="J362" s="7">
        <v>0.31495370370370368</v>
      </c>
      <c r="K362" t="s">
        <v>291</v>
      </c>
      <c r="L362" t="s">
        <v>274</v>
      </c>
      <c r="M362" t="s">
        <v>118</v>
      </c>
    </row>
    <row r="363" spans="1:13" x14ac:dyDescent="0.35">
      <c r="A363" t="s">
        <v>13</v>
      </c>
      <c r="B363" t="s">
        <v>3</v>
      </c>
      <c r="C363" s="14">
        <v>28.93</v>
      </c>
      <c r="D363">
        <v>10</v>
      </c>
      <c r="E363">
        <v>4764</v>
      </c>
      <c r="F363" t="s">
        <v>589</v>
      </c>
      <c r="G363" t="s">
        <v>590</v>
      </c>
      <c r="H363">
        <v>22</v>
      </c>
      <c r="I363">
        <v>2024</v>
      </c>
      <c r="J363" s="7">
        <v>0.48424768518518518</v>
      </c>
      <c r="K363" t="s">
        <v>291</v>
      </c>
      <c r="L363" t="s">
        <v>274</v>
      </c>
      <c r="M363" t="s">
        <v>118</v>
      </c>
    </row>
    <row r="364" spans="1:13" x14ac:dyDescent="0.35">
      <c r="A364" t="s">
        <v>235</v>
      </c>
      <c r="B364" t="s">
        <v>37</v>
      </c>
      <c r="C364" s="14">
        <v>28.95</v>
      </c>
      <c r="D364">
        <v>0</v>
      </c>
      <c r="E364">
        <v>5</v>
      </c>
      <c r="F364" t="s">
        <v>588</v>
      </c>
      <c r="G364" t="s">
        <v>239</v>
      </c>
      <c r="H364">
        <v>0</v>
      </c>
      <c r="I364">
        <v>0</v>
      </c>
      <c r="J364" s="7">
        <v>0</v>
      </c>
      <c r="K364" t="s">
        <v>350</v>
      </c>
      <c r="L364" t="s">
        <v>315</v>
      </c>
      <c r="M364" t="s">
        <v>118</v>
      </c>
    </row>
    <row r="365" spans="1:13" x14ac:dyDescent="0.35">
      <c r="A365" t="s">
        <v>10</v>
      </c>
      <c r="B365" t="s">
        <v>1</v>
      </c>
      <c r="C365" s="14">
        <v>28.95</v>
      </c>
      <c r="D365">
        <v>0</v>
      </c>
      <c r="E365">
        <v>81</v>
      </c>
      <c r="F365" t="s">
        <v>588</v>
      </c>
      <c r="G365" t="s">
        <v>590</v>
      </c>
      <c r="H365">
        <v>22</v>
      </c>
      <c r="I365">
        <v>2024</v>
      </c>
      <c r="J365" s="7">
        <v>0.16597222222222222</v>
      </c>
      <c r="K365" t="s">
        <v>358</v>
      </c>
      <c r="L365" t="s">
        <v>274</v>
      </c>
      <c r="M365" t="s">
        <v>118</v>
      </c>
    </row>
    <row r="366" spans="1:13" x14ac:dyDescent="0.35">
      <c r="A366" t="s">
        <v>15</v>
      </c>
      <c r="B366" t="s">
        <v>3</v>
      </c>
      <c r="C366" s="14">
        <v>28.95</v>
      </c>
      <c r="D366">
        <v>9</v>
      </c>
      <c r="E366">
        <v>1306</v>
      </c>
      <c r="F366" t="s">
        <v>589</v>
      </c>
      <c r="G366" t="s">
        <v>590</v>
      </c>
      <c r="H366">
        <v>17</v>
      </c>
      <c r="I366">
        <v>2024</v>
      </c>
      <c r="J366" s="7">
        <v>0.48486111111111113</v>
      </c>
      <c r="K366" t="s">
        <v>273</v>
      </c>
      <c r="L366" t="s">
        <v>274</v>
      </c>
      <c r="M366" t="s">
        <v>118</v>
      </c>
    </row>
    <row r="367" spans="1:13" x14ac:dyDescent="0.35">
      <c r="A367" t="s">
        <v>102</v>
      </c>
      <c r="B367" t="s">
        <v>37</v>
      </c>
      <c r="C367" s="14">
        <v>28.97</v>
      </c>
      <c r="D367">
        <v>8</v>
      </c>
      <c r="E367">
        <v>12</v>
      </c>
      <c r="F367" t="s">
        <v>588</v>
      </c>
      <c r="G367" t="s">
        <v>239</v>
      </c>
      <c r="H367">
        <v>0</v>
      </c>
      <c r="I367">
        <v>0</v>
      </c>
      <c r="J367" s="7">
        <v>0</v>
      </c>
      <c r="K367" t="s">
        <v>350</v>
      </c>
      <c r="L367" t="s">
        <v>315</v>
      </c>
      <c r="M367" t="s">
        <v>118</v>
      </c>
    </row>
    <row r="368" spans="1:13" x14ac:dyDescent="0.35">
      <c r="A368" t="s">
        <v>193</v>
      </c>
      <c r="B368" t="s">
        <v>1</v>
      </c>
      <c r="C368" s="14">
        <v>28.99</v>
      </c>
      <c r="D368">
        <v>10</v>
      </c>
      <c r="E368">
        <v>23</v>
      </c>
      <c r="F368" t="s">
        <v>588</v>
      </c>
      <c r="G368" t="s">
        <v>590</v>
      </c>
      <c r="H368">
        <v>20</v>
      </c>
      <c r="I368">
        <v>2024</v>
      </c>
      <c r="J368" s="7">
        <v>0.77543981481481483</v>
      </c>
      <c r="K368" t="s">
        <v>339</v>
      </c>
      <c r="L368" t="s">
        <v>507</v>
      </c>
      <c r="M368" t="s">
        <v>118</v>
      </c>
    </row>
    <row r="369" spans="1:13" x14ac:dyDescent="0.35">
      <c r="A369" t="s">
        <v>4</v>
      </c>
      <c r="B369" t="s">
        <v>3</v>
      </c>
      <c r="C369" s="14">
        <v>28.99</v>
      </c>
      <c r="D369">
        <v>3</v>
      </c>
      <c r="E369">
        <v>111</v>
      </c>
      <c r="F369" t="s">
        <v>588</v>
      </c>
      <c r="G369" t="s">
        <v>590</v>
      </c>
      <c r="H369">
        <v>24</v>
      </c>
      <c r="I369">
        <v>2024</v>
      </c>
      <c r="J369" s="7">
        <v>1.3888888888888889E-3</v>
      </c>
      <c r="K369" t="s">
        <v>293</v>
      </c>
      <c r="L369" t="s">
        <v>505</v>
      </c>
      <c r="M369" t="s">
        <v>118</v>
      </c>
    </row>
    <row r="370" spans="1:13" x14ac:dyDescent="0.35">
      <c r="A370" t="s">
        <v>26</v>
      </c>
      <c r="B370" t="s">
        <v>3</v>
      </c>
      <c r="C370" s="14">
        <v>28.99</v>
      </c>
      <c r="D370">
        <v>7</v>
      </c>
      <c r="E370">
        <v>124</v>
      </c>
      <c r="F370" t="s">
        <v>588</v>
      </c>
      <c r="G370" t="s">
        <v>590</v>
      </c>
      <c r="H370">
        <v>5</v>
      </c>
      <c r="I370">
        <v>2024</v>
      </c>
      <c r="J370" s="7">
        <v>5.6539351851851855E-2</v>
      </c>
      <c r="K370" t="s">
        <v>301</v>
      </c>
      <c r="L370" t="s">
        <v>506</v>
      </c>
      <c r="M370" t="s">
        <v>118</v>
      </c>
    </row>
    <row r="371" spans="1:13" x14ac:dyDescent="0.35">
      <c r="A371" t="s">
        <v>37</v>
      </c>
      <c r="B371" t="s">
        <v>3</v>
      </c>
      <c r="C371" s="14">
        <v>28.99</v>
      </c>
      <c r="D371">
        <v>10</v>
      </c>
      <c r="E371">
        <v>111</v>
      </c>
      <c r="F371" t="s">
        <v>588</v>
      </c>
      <c r="G371" t="s">
        <v>590</v>
      </c>
      <c r="H371">
        <v>23</v>
      </c>
      <c r="I371">
        <v>2024</v>
      </c>
      <c r="J371" s="7">
        <v>2.914351851851852E-2</v>
      </c>
      <c r="K371" t="s">
        <v>287</v>
      </c>
      <c r="L371" t="s">
        <v>266</v>
      </c>
      <c r="M371" t="s">
        <v>118</v>
      </c>
    </row>
    <row r="372" spans="1:13" x14ac:dyDescent="0.35">
      <c r="A372" t="s">
        <v>4</v>
      </c>
      <c r="B372" t="s">
        <v>3</v>
      </c>
      <c r="C372" s="14">
        <v>28.99</v>
      </c>
      <c r="D372">
        <v>7</v>
      </c>
      <c r="E372">
        <v>10</v>
      </c>
      <c r="F372" t="s">
        <v>588</v>
      </c>
      <c r="G372" t="s">
        <v>239</v>
      </c>
      <c r="H372">
        <v>0</v>
      </c>
      <c r="I372">
        <v>0</v>
      </c>
      <c r="J372" s="7">
        <v>0</v>
      </c>
      <c r="K372" t="s">
        <v>293</v>
      </c>
      <c r="L372" t="s">
        <v>505</v>
      </c>
      <c r="M372" t="s">
        <v>118</v>
      </c>
    </row>
    <row r="373" spans="1:13" x14ac:dyDescent="0.35">
      <c r="A373" t="s">
        <v>241</v>
      </c>
      <c r="B373" t="s">
        <v>1</v>
      </c>
      <c r="C373" s="14">
        <v>28.99</v>
      </c>
      <c r="D373">
        <v>3</v>
      </c>
      <c r="E373">
        <v>65</v>
      </c>
      <c r="F373" t="s">
        <v>588</v>
      </c>
      <c r="G373" t="s">
        <v>590</v>
      </c>
      <c r="H373">
        <v>24</v>
      </c>
      <c r="I373">
        <v>2024</v>
      </c>
      <c r="J373" s="7">
        <v>0.27763888888888888</v>
      </c>
      <c r="K373" t="s">
        <v>329</v>
      </c>
      <c r="L373" t="s">
        <v>274</v>
      </c>
      <c r="M373" t="s">
        <v>118</v>
      </c>
    </row>
    <row r="374" spans="1:13" x14ac:dyDescent="0.35">
      <c r="A374" t="s">
        <v>232</v>
      </c>
      <c r="B374" t="s">
        <v>3</v>
      </c>
      <c r="C374" s="14">
        <v>28.99</v>
      </c>
      <c r="D374">
        <v>10</v>
      </c>
      <c r="E374">
        <v>7</v>
      </c>
      <c r="F374" t="s">
        <v>588</v>
      </c>
      <c r="G374" t="s">
        <v>590</v>
      </c>
      <c r="H374">
        <v>8</v>
      </c>
      <c r="I374">
        <v>2024</v>
      </c>
      <c r="J374" s="7">
        <v>0.65689814814814818</v>
      </c>
      <c r="K374" t="s">
        <v>511</v>
      </c>
      <c r="L374" t="s">
        <v>274</v>
      </c>
      <c r="M374" t="s">
        <v>118</v>
      </c>
    </row>
    <row r="375" spans="1:13" x14ac:dyDescent="0.35">
      <c r="A375" t="s">
        <v>221</v>
      </c>
      <c r="B375" t="s">
        <v>37</v>
      </c>
      <c r="C375" s="14">
        <v>28.99</v>
      </c>
      <c r="D375">
        <v>0</v>
      </c>
      <c r="E375">
        <v>3</v>
      </c>
      <c r="F375" t="s">
        <v>588</v>
      </c>
      <c r="G375" t="s">
        <v>239</v>
      </c>
      <c r="H375">
        <v>0</v>
      </c>
      <c r="I375">
        <v>0</v>
      </c>
      <c r="J375" s="7">
        <v>0</v>
      </c>
      <c r="K375" t="s">
        <v>495</v>
      </c>
      <c r="L375" t="s">
        <v>286</v>
      </c>
      <c r="M375" t="s">
        <v>118</v>
      </c>
    </row>
    <row r="376" spans="1:13" x14ac:dyDescent="0.35">
      <c r="A376" t="s">
        <v>9</v>
      </c>
      <c r="B376" t="s">
        <v>3</v>
      </c>
      <c r="C376" s="14">
        <v>28.99</v>
      </c>
      <c r="D376">
        <v>4</v>
      </c>
      <c r="E376">
        <v>180</v>
      </c>
      <c r="F376" t="s">
        <v>588</v>
      </c>
      <c r="G376" t="s">
        <v>592</v>
      </c>
      <c r="H376">
        <v>18</v>
      </c>
      <c r="I376">
        <v>2024</v>
      </c>
      <c r="J376" s="7">
        <v>0.38078703703703703</v>
      </c>
      <c r="K376" t="s">
        <v>285</v>
      </c>
      <c r="L376" t="s">
        <v>286</v>
      </c>
      <c r="M376" t="s">
        <v>118</v>
      </c>
    </row>
    <row r="377" spans="1:13" x14ac:dyDescent="0.35">
      <c r="A377" t="s">
        <v>15</v>
      </c>
      <c r="B377" t="s">
        <v>1</v>
      </c>
      <c r="C377" s="14">
        <v>29</v>
      </c>
      <c r="D377">
        <v>3</v>
      </c>
      <c r="E377">
        <v>57</v>
      </c>
      <c r="F377" t="s">
        <v>588</v>
      </c>
      <c r="G377" t="s">
        <v>590</v>
      </c>
      <c r="H377">
        <v>20</v>
      </c>
      <c r="I377">
        <v>2024</v>
      </c>
      <c r="J377" s="7">
        <v>0.75471064814814814</v>
      </c>
      <c r="K377" t="s">
        <v>509</v>
      </c>
      <c r="L377" t="s">
        <v>505</v>
      </c>
      <c r="M377" t="s">
        <v>118</v>
      </c>
    </row>
    <row r="378" spans="1:13" x14ac:dyDescent="0.35">
      <c r="A378" t="s">
        <v>46</v>
      </c>
      <c r="B378" t="s">
        <v>1</v>
      </c>
      <c r="C378" s="14">
        <v>29</v>
      </c>
      <c r="D378">
        <v>0</v>
      </c>
      <c r="E378">
        <v>19</v>
      </c>
      <c r="F378" t="s">
        <v>588</v>
      </c>
      <c r="G378" t="s">
        <v>590</v>
      </c>
      <c r="H378">
        <v>5</v>
      </c>
      <c r="I378">
        <v>2024</v>
      </c>
      <c r="J378" s="7">
        <v>0.97136574074074078</v>
      </c>
      <c r="K378" t="s">
        <v>335</v>
      </c>
      <c r="L378" t="s">
        <v>282</v>
      </c>
      <c r="M378" t="s">
        <v>118</v>
      </c>
    </row>
    <row r="379" spans="1:13" x14ac:dyDescent="0.35">
      <c r="A379" t="s">
        <v>15</v>
      </c>
      <c r="B379" t="s">
        <v>1</v>
      </c>
      <c r="C379" s="14">
        <v>29.03</v>
      </c>
      <c r="D379">
        <v>10</v>
      </c>
      <c r="E379">
        <v>11</v>
      </c>
      <c r="F379" t="s">
        <v>588</v>
      </c>
      <c r="G379" t="s">
        <v>590</v>
      </c>
      <c r="H379">
        <v>23</v>
      </c>
      <c r="I379">
        <v>2024</v>
      </c>
      <c r="J379" s="7">
        <v>4.6539351851851853E-2</v>
      </c>
      <c r="K379" t="s">
        <v>290</v>
      </c>
      <c r="L379" t="s">
        <v>506</v>
      </c>
      <c r="M379" t="s">
        <v>118</v>
      </c>
    </row>
    <row r="380" spans="1:13" x14ac:dyDescent="0.35">
      <c r="A380" t="s">
        <v>241</v>
      </c>
      <c r="B380" t="s">
        <v>1</v>
      </c>
      <c r="C380" s="14">
        <v>29.12</v>
      </c>
      <c r="D380">
        <v>0</v>
      </c>
      <c r="E380">
        <v>5145</v>
      </c>
      <c r="F380" t="s">
        <v>589</v>
      </c>
      <c r="G380" t="s">
        <v>590</v>
      </c>
      <c r="H380">
        <v>24</v>
      </c>
      <c r="I380">
        <v>2024</v>
      </c>
      <c r="J380" s="7">
        <v>7.3518518518518525E-2</v>
      </c>
      <c r="K380" t="s">
        <v>290</v>
      </c>
      <c r="L380" t="s">
        <v>506</v>
      </c>
      <c r="M380" t="s">
        <v>118</v>
      </c>
    </row>
    <row r="381" spans="1:13" x14ac:dyDescent="0.35">
      <c r="A381" t="s">
        <v>241</v>
      </c>
      <c r="B381" t="s">
        <v>1</v>
      </c>
      <c r="C381" s="14">
        <v>29.13</v>
      </c>
      <c r="D381">
        <v>53</v>
      </c>
      <c r="E381">
        <v>13</v>
      </c>
      <c r="F381" t="s">
        <v>588</v>
      </c>
      <c r="G381" t="s">
        <v>590</v>
      </c>
      <c r="H381">
        <v>22</v>
      </c>
      <c r="I381">
        <v>2024</v>
      </c>
      <c r="J381" s="7">
        <v>0.31438657407407405</v>
      </c>
      <c r="K381" t="s">
        <v>509</v>
      </c>
      <c r="L381" t="s">
        <v>505</v>
      </c>
      <c r="M381" t="s">
        <v>118</v>
      </c>
    </row>
    <row r="382" spans="1:13" x14ac:dyDescent="0.35">
      <c r="A382" t="s">
        <v>12</v>
      </c>
      <c r="B382" t="s">
        <v>1</v>
      </c>
      <c r="C382" s="14">
        <v>29.19</v>
      </c>
      <c r="D382">
        <v>10</v>
      </c>
      <c r="E382">
        <v>1787</v>
      </c>
      <c r="F382" t="s">
        <v>589</v>
      </c>
      <c r="G382" t="s">
        <v>590</v>
      </c>
      <c r="H382">
        <v>24</v>
      </c>
      <c r="I382">
        <v>2024</v>
      </c>
      <c r="J382" s="7">
        <v>0.27390046296296294</v>
      </c>
      <c r="K382" t="s">
        <v>285</v>
      </c>
      <c r="L382" t="s">
        <v>286</v>
      </c>
      <c r="M382" t="s">
        <v>118</v>
      </c>
    </row>
    <row r="383" spans="1:13" x14ac:dyDescent="0.35">
      <c r="A383" t="s">
        <v>29</v>
      </c>
      <c r="B383" t="s">
        <v>3</v>
      </c>
      <c r="C383" s="14">
        <v>29.2</v>
      </c>
      <c r="D383">
        <v>3</v>
      </c>
      <c r="E383">
        <v>121</v>
      </c>
      <c r="F383" t="s">
        <v>588</v>
      </c>
      <c r="G383" t="s">
        <v>590</v>
      </c>
      <c r="H383">
        <v>24</v>
      </c>
      <c r="I383">
        <v>2024</v>
      </c>
      <c r="J383" s="7">
        <v>0.30707175925925928</v>
      </c>
      <c r="K383" t="s">
        <v>291</v>
      </c>
      <c r="L383" t="s">
        <v>274</v>
      </c>
      <c r="M383" t="s">
        <v>118</v>
      </c>
    </row>
    <row r="384" spans="1:13" x14ac:dyDescent="0.35">
      <c r="A384" t="s">
        <v>9</v>
      </c>
      <c r="B384" t="s">
        <v>3</v>
      </c>
      <c r="C384" s="14">
        <v>29.46</v>
      </c>
      <c r="D384">
        <v>10</v>
      </c>
      <c r="E384">
        <v>43</v>
      </c>
      <c r="F384" t="s">
        <v>588</v>
      </c>
      <c r="G384" t="s">
        <v>590</v>
      </c>
      <c r="H384">
        <v>22</v>
      </c>
      <c r="I384">
        <v>2024</v>
      </c>
      <c r="J384" s="7">
        <v>0.42364583333333333</v>
      </c>
      <c r="K384" t="s">
        <v>290</v>
      </c>
      <c r="L384" t="s">
        <v>506</v>
      </c>
      <c r="M384" t="s">
        <v>118</v>
      </c>
    </row>
    <row r="385" spans="1:13" x14ac:dyDescent="0.35">
      <c r="A385" t="s">
        <v>43</v>
      </c>
      <c r="B385" t="s">
        <v>3</v>
      </c>
      <c r="C385" s="14">
        <v>29.74</v>
      </c>
      <c r="D385">
        <v>10</v>
      </c>
      <c r="E385">
        <v>578</v>
      </c>
      <c r="F385" t="s">
        <v>588</v>
      </c>
      <c r="G385" t="s">
        <v>590</v>
      </c>
      <c r="H385">
        <v>16</v>
      </c>
      <c r="I385">
        <v>2024</v>
      </c>
      <c r="J385" s="7">
        <v>0.88173611111111116</v>
      </c>
      <c r="K385" t="s">
        <v>291</v>
      </c>
      <c r="L385" t="s">
        <v>274</v>
      </c>
      <c r="M385" t="s">
        <v>118</v>
      </c>
    </row>
    <row r="386" spans="1:13" x14ac:dyDescent="0.35">
      <c r="A386" t="s">
        <v>133</v>
      </c>
      <c r="B386" t="s">
        <v>3</v>
      </c>
      <c r="C386" s="14">
        <v>29.78</v>
      </c>
      <c r="D386">
        <v>0</v>
      </c>
      <c r="E386">
        <v>604</v>
      </c>
      <c r="F386" t="s">
        <v>588</v>
      </c>
      <c r="G386" t="s">
        <v>590</v>
      </c>
      <c r="H386">
        <v>23</v>
      </c>
      <c r="I386">
        <v>2024</v>
      </c>
      <c r="J386" s="7">
        <v>0.12510416666666666</v>
      </c>
      <c r="K386" t="s">
        <v>291</v>
      </c>
      <c r="L386" t="s">
        <v>274</v>
      </c>
      <c r="M386" t="s">
        <v>118</v>
      </c>
    </row>
    <row r="387" spans="1:13" x14ac:dyDescent="0.35">
      <c r="A387" t="s">
        <v>17</v>
      </c>
      <c r="B387" t="s">
        <v>3</v>
      </c>
      <c r="C387" s="14">
        <v>29.94</v>
      </c>
      <c r="D387">
        <v>8</v>
      </c>
      <c r="E387">
        <v>9208</v>
      </c>
      <c r="F387" t="s">
        <v>589</v>
      </c>
      <c r="G387" t="s">
        <v>590</v>
      </c>
      <c r="H387">
        <v>23</v>
      </c>
      <c r="I387">
        <v>2024</v>
      </c>
      <c r="J387" s="7">
        <v>0.8362384259259259</v>
      </c>
      <c r="K387" t="s">
        <v>290</v>
      </c>
      <c r="L387" t="s">
        <v>506</v>
      </c>
      <c r="M387" t="s">
        <v>118</v>
      </c>
    </row>
    <row r="388" spans="1:13" x14ac:dyDescent="0.35">
      <c r="A388" t="s">
        <v>10</v>
      </c>
      <c r="B388" t="s">
        <v>3</v>
      </c>
      <c r="C388" s="14">
        <v>29.95</v>
      </c>
      <c r="D388">
        <v>3</v>
      </c>
      <c r="E388">
        <v>458</v>
      </c>
      <c r="F388" t="s">
        <v>588</v>
      </c>
      <c r="G388" t="s">
        <v>590</v>
      </c>
      <c r="H388">
        <v>23</v>
      </c>
      <c r="I388">
        <v>2024</v>
      </c>
      <c r="J388" s="7">
        <v>0.3595949074074074</v>
      </c>
      <c r="K388" t="s">
        <v>280</v>
      </c>
      <c r="L388" t="s">
        <v>266</v>
      </c>
      <c r="M388" t="s">
        <v>118</v>
      </c>
    </row>
    <row r="389" spans="1:13" x14ac:dyDescent="0.35">
      <c r="A389" t="s">
        <v>4</v>
      </c>
      <c r="B389" t="s">
        <v>3</v>
      </c>
      <c r="C389" s="14">
        <v>29.95</v>
      </c>
      <c r="D389">
        <v>3</v>
      </c>
      <c r="E389">
        <v>1484</v>
      </c>
      <c r="F389" t="s">
        <v>589</v>
      </c>
      <c r="G389" t="s">
        <v>590</v>
      </c>
      <c r="H389">
        <v>23</v>
      </c>
      <c r="I389">
        <v>2024</v>
      </c>
      <c r="J389" s="7">
        <v>0.88247685185185187</v>
      </c>
      <c r="K389" t="s">
        <v>280</v>
      </c>
      <c r="L389" t="s">
        <v>266</v>
      </c>
      <c r="M389" t="s">
        <v>118</v>
      </c>
    </row>
    <row r="390" spans="1:13" x14ac:dyDescent="0.35">
      <c r="A390" t="s">
        <v>218</v>
      </c>
      <c r="B390" t="s">
        <v>1</v>
      </c>
      <c r="C390" s="14">
        <v>29.95</v>
      </c>
      <c r="D390">
        <v>10</v>
      </c>
      <c r="E390">
        <v>2</v>
      </c>
      <c r="F390" t="s">
        <v>588</v>
      </c>
      <c r="G390" t="s">
        <v>239</v>
      </c>
      <c r="H390">
        <v>0</v>
      </c>
      <c r="I390">
        <v>0</v>
      </c>
      <c r="J390" s="7">
        <v>0</v>
      </c>
      <c r="K390" t="s">
        <v>291</v>
      </c>
      <c r="L390" t="s">
        <v>274</v>
      </c>
      <c r="M390" t="s">
        <v>118</v>
      </c>
    </row>
    <row r="391" spans="1:13" x14ac:dyDescent="0.35">
      <c r="A391" t="s">
        <v>235</v>
      </c>
      <c r="B391" t="s">
        <v>37</v>
      </c>
      <c r="C391" s="14">
        <v>29.97</v>
      </c>
      <c r="D391">
        <v>10</v>
      </c>
      <c r="E391">
        <v>0</v>
      </c>
      <c r="F391" t="s">
        <v>589</v>
      </c>
      <c r="G391" t="s">
        <v>239</v>
      </c>
      <c r="H391">
        <v>0</v>
      </c>
      <c r="I391">
        <v>0</v>
      </c>
      <c r="J391" s="7">
        <v>0</v>
      </c>
      <c r="K391" t="s">
        <v>427</v>
      </c>
      <c r="L391" t="s">
        <v>428</v>
      </c>
      <c r="M391" t="s">
        <v>118</v>
      </c>
    </row>
    <row r="392" spans="1:13" x14ac:dyDescent="0.35">
      <c r="A392" t="s">
        <v>158</v>
      </c>
      <c r="B392" t="s">
        <v>3</v>
      </c>
      <c r="C392" s="14">
        <v>29.98</v>
      </c>
      <c r="D392">
        <v>10</v>
      </c>
      <c r="E392">
        <v>14</v>
      </c>
      <c r="F392" t="s">
        <v>588</v>
      </c>
      <c r="G392" t="s">
        <v>590</v>
      </c>
      <c r="H392">
        <v>5</v>
      </c>
      <c r="I392">
        <v>2024</v>
      </c>
      <c r="J392" s="7">
        <v>0.39153935185185185</v>
      </c>
      <c r="K392" t="s">
        <v>499</v>
      </c>
      <c r="L392" t="s">
        <v>383</v>
      </c>
      <c r="M392" t="s">
        <v>537</v>
      </c>
    </row>
    <row r="393" spans="1:13" x14ac:dyDescent="0.35">
      <c r="A393" t="s">
        <v>15</v>
      </c>
      <c r="B393" t="s">
        <v>3</v>
      </c>
      <c r="C393" s="14">
        <v>29.99</v>
      </c>
      <c r="D393">
        <v>10</v>
      </c>
      <c r="E393">
        <v>384</v>
      </c>
      <c r="F393" t="s">
        <v>588</v>
      </c>
      <c r="G393" t="s">
        <v>590</v>
      </c>
      <c r="H393">
        <v>24</v>
      </c>
      <c r="I393">
        <v>2024</v>
      </c>
      <c r="J393" s="7">
        <v>0.21759259259259259</v>
      </c>
      <c r="K393" t="s">
        <v>287</v>
      </c>
      <c r="L393" t="s">
        <v>266</v>
      </c>
      <c r="M393" t="s">
        <v>118</v>
      </c>
    </row>
    <row r="394" spans="1:13" x14ac:dyDescent="0.35">
      <c r="A394" t="s">
        <v>36</v>
      </c>
      <c r="B394" t="s">
        <v>37</v>
      </c>
      <c r="C394" s="14">
        <v>29.99</v>
      </c>
      <c r="D394">
        <v>10</v>
      </c>
      <c r="E394">
        <v>87</v>
      </c>
      <c r="F394" t="s">
        <v>588</v>
      </c>
      <c r="G394" t="s">
        <v>590</v>
      </c>
      <c r="H394">
        <v>23</v>
      </c>
      <c r="I394">
        <v>2024</v>
      </c>
      <c r="J394" s="7">
        <v>0.3934375</v>
      </c>
      <c r="K394" t="s">
        <v>298</v>
      </c>
      <c r="L394" t="s">
        <v>299</v>
      </c>
      <c r="M394" t="s">
        <v>118</v>
      </c>
    </row>
    <row r="395" spans="1:13" x14ac:dyDescent="0.35">
      <c r="A395" t="s">
        <v>38</v>
      </c>
      <c r="B395" t="s">
        <v>1</v>
      </c>
      <c r="C395" s="14">
        <v>29.99</v>
      </c>
      <c r="D395">
        <v>2</v>
      </c>
      <c r="E395">
        <v>17</v>
      </c>
      <c r="F395" t="s">
        <v>588</v>
      </c>
      <c r="G395" t="s">
        <v>590</v>
      </c>
      <c r="H395">
        <v>24</v>
      </c>
      <c r="I395">
        <v>2024</v>
      </c>
      <c r="J395" s="7">
        <v>4.071759259259259E-2</v>
      </c>
      <c r="K395" t="s">
        <v>287</v>
      </c>
      <c r="L395" t="s">
        <v>266</v>
      </c>
      <c r="M395" t="s">
        <v>118</v>
      </c>
    </row>
    <row r="396" spans="1:13" x14ac:dyDescent="0.35">
      <c r="A396" t="s">
        <v>9</v>
      </c>
      <c r="B396" t="s">
        <v>3</v>
      </c>
      <c r="C396" s="14">
        <v>29.99</v>
      </c>
      <c r="D396">
        <v>10</v>
      </c>
      <c r="E396">
        <v>169</v>
      </c>
      <c r="F396" t="s">
        <v>588</v>
      </c>
      <c r="G396" t="s">
        <v>590</v>
      </c>
      <c r="H396">
        <v>24</v>
      </c>
      <c r="I396">
        <v>2024</v>
      </c>
      <c r="J396" s="7">
        <v>0.25535879629629632</v>
      </c>
      <c r="K396" t="s">
        <v>332</v>
      </c>
      <c r="L396" t="s">
        <v>309</v>
      </c>
      <c r="M396" t="s">
        <v>118</v>
      </c>
    </row>
    <row r="397" spans="1:13" x14ac:dyDescent="0.35">
      <c r="A397" t="s">
        <v>4</v>
      </c>
      <c r="B397" t="s">
        <v>3</v>
      </c>
      <c r="C397" s="14">
        <v>29.99</v>
      </c>
      <c r="D397">
        <v>127</v>
      </c>
      <c r="E397">
        <v>410</v>
      </c>
      <c r="F397" t="s">
        <v>588</v>
      </c>
      <c r="G397" t="s">
        <v>590</v>
      </c>
      <c r="H397">
        <v>24</v>
      </c>
      <c r="I397">
        <v>2024</v>
      </c>
      <c r="J397" s="7">
        <v>0.36475694444444445</v>
      </c>
      <c r="K397" t="s">
        <v>345</v>
      </c>
      <c r="L397" t="s">
        <v>266</v>
      </c>
      <c r="M397" t="s">
        <v>118</v>
      </c>
    </row>
    <row r="398" spans="1:13" x14ac:dyDescent="0.35">
      <c r="A398" t="s">
        <v>59</v>
      </c>
      <c r="B398" t="s">
        <v>3</v>
      </c>
      <c r="C398" s="14">
        <v>29.99</v>
      </c>
      <c r="D398">
        <v>10</v>
      </c>
      <c r="E398">
        <v>471</v>
      </c>
      <c r="F398" t="s">
        <v>588</v>
      </c>
      <c r="G398" t="s">
        <v>590</v>
      </c>
      <c r="H398">
        <v>23</v>
      </c>
      <c r="I398">
        <v>2024</v>
      </c>
      <c r="J398" s="7">
        <v>0.68694444444444447</v>
      </c>
      <c r="K398" t="s">
        <v>285</v>
      </c>
      <c r="L398" t="s">
        <v>286</v>
      </c>
      <c r="M398" t="s">
        <v>118</v>
      </c>
    </row>
    <row r="399" spans="1:13" x14ac:dyDescent="0.35">
      <c r="A399" t="s">
        <v>4</v>
      </c>
      <c r="B399" t="s">
        <v>3</v>
      </c>
      <c r="C399" s="14">
        <v>29.99</v>
      </c>
      <c r="D399">
        <v>10</v>
      </c>
      <c r="E399">
        <v>204</v>
      </c>
      <c r="F399" t="s">
        <v>588</v>
      </c>
      <c r="G399" t="s">
        <v>590</v>
      </c>
      <c r="H399">
        <v>23</v>
      </c>
      <c r="I399">
        <v>2024</v>
      </c>
      <c r="J399" s="7">
        <v>0.44877314814814817</v>
      </c>
      <c r="K399" t="s">
        <v>351</v>
      </c>
      <c r="L399" t="s">
        <v>266</v>
      </c>
      <c r="M399" t="s">
        <v>118</v>
      </c>
    </row>
    <row r="400" spans="1:13" x14ac:dyDescent="0.35">
      <c r="A400" t="s">
        <v>4</v>
      </c>
      <c r="B400" t="s">
        <v>3</v>
      </c>
      <c r="C400" s="14">
        <v>29.99</v>
      </c>
      <c r="D400">
        <v>10</v>
      </c>
      <c r="E400">
        <v>233</v>
      </c>
      <c r="F400" t="s">
        <v>588</v>
      </c>
      <c r="G400" t="s">
        <v>590</v>
      </c>
      <c r="H400">
        <v>23</v>
      </c>
      <c r="I400">
        <v>2024</v>
      </c>
      <c r="J400" s="7">
        <v>0.40297453703703706</v>
      </c>
      <c r="K400" t="s">
        <v>357</v>
      </c>
      <c r="L400" t="s">
        <v>266</v>
      </c>
      <c r="M400" t="s">
        <v>118</v>
      </c>
    </row>
    <row r="401" spans="1:13" x14ac:dyDescent="0.35">
      <c r="A401" t="s">
        <v>4</v>
      </c>
      <c r="B401" t="s">
        <v>3</v>
      </c>
      <c r="C401" s="14">
        <v>29.99</v>
      </c>
      <c r="D401">
        <v>199</v>
      </c>
      <c r="E401">
        <v>588</v>
      </c>
      <c r="F401" t="s">
        <v>588</v>
      </c>
      <c r="G401" t="s">
        <v>590</v>
      </c>
      <c r="H401">
        <v>24</v>
      </c>
      <c r="I401">
        <v>2024</v>
      </c>
      <c r="J401" s="7">
        <v>0.33991898148148147</v>
      </c>
      <c r="K401" t="s">
        <v>325</v>
      </c>
      <c r="L401" t="s">
        <v>266</v>
      </c>
      <c r="M401" t="s">
        <v>118</v>
      </c>
    </row>
    <row r="402" spans="1:13" x14ac:dyDescent="0.35">
      <c r="A402" t="s">
        <v>10</v>
      </c>
      <c r="B402" t="s">
        <v>3</v>
      </c>
      <c r="C402" s="14">
        <v>29.99</v>
      </c>
      <c r="D402">
        <v>10</v>
      </c>
      <c r="E402">
        <v>51</v>
      </c>
      <c r="F402" t="s">
        <v>588</v>
      </c>
      <c r="G402" t="s">
        <v>590</v>
      </c>
      <c r="H402">
        <v>22</v>
      </c>
      <c r="I402">
        <v>2024</v>
      </c>
      <c r="J402" s="7">
        <v>0.35364583333333333</v>
      </c>
      <c r="K402" t="s">
        <v>278</v>
      </c>
      <c r="L402" t="s">
        <v>266</v>
      </c>
      <c r="M402" t="s">
        <v>118</v>
      </c>
    </row>
    <row r="403" spans="1:13" x14ac:dyDescent="0.35">
      <c r="A403" t="s">
        <v>4</v>
      </c>
      <c r="B403" t="s">
        <v>3</v>
      </c>
      <c r="C403" s="14">
        <v>29.99</v>
      </c>
      <c r="D403">
        <v>10</v>
      </c>
      <c r="E403">
        <v>179</v>
      </c>
      <c r="F403" t="s">
        <v>588</v>
      </c>
      <c r="G403" t="s">
        <v>590</v>
      </c>
      <c r="H403">
        <v>24</v>
      </c>
      <c r="I403">
        <v>2024</v>
      </c>
      <c r="J403" s="7">
        <v>0.32891203703703703</v>
      </c>
      <c r="K403" t="s">
        <v>279</v>
      </c>
      <c r="L403" t="s">
        <v>266</v>
      </c>
      <c r="M403" t="s">
        <v>118</v>
      </c>
    </row>
    <row r="404" spans="1:13" x14ac:dyDescent="0.35">
      <c r="A404" t="s">
        <v>11</v>
      </c>
      <c r="B404" t="s">
        <v>3</v>
      </c>
      <c r="C404" s="14">
        <v>29.99</v>
      </c>
      <c r="D404">
        <v>10</v>
      </c>
      <c r="E404">
        <v>92</v>
      </c>
      <c r="F404" t="s">
        <v>588</v>
      </c>
      <c r="G404" t="s">
        <v>590</v>
      </c>
      <c r="H404">
        <v>23</v>
      </c>
      <c r="I404">
        <v>2024</v>
      </c>
      <c r="J404" s="7">
        <v>0.73284722222222221</v>
      </c>
      <c r="K404" t="s">
        <v>506</v>
      </c>
      <c r="L404" t="s">
        <v>118</v>
      </c>
      <c r="M404" t="s">
        <v>333</v>
      </c>
    </row>
    <row r="405" spans="1:13" x14ac:dyDescent="0.35">
      <c r="A405" t="s">
        <v>15</v>
      </c>
      <c r="B405" t="s">
        <v>1</v>
      </c>
      <c r="C405" s="14">
        <v>29.99</v>
      </c>
      <c r="D405">
        <v>5</v>
      </c>
      <c r="E405">
        <v>7</v>
      </c>
      <c r="F405" t="s">
        <v>588</v>
      </c>
      <c r="G405" t="s">
        <v>590</v>
      </c>
      <c r="H405">
        <v>17</v>
      </c>
      <c r="I405">
        <v>2024</v>
      </c>
      <c r="J405" s="7">
        <v>0.47167824074074072</v>
      </c>
      <c r="K405" t="s">
        <v>273</v>
      </c>
      <c r="L405" t="s">
        <v>274</v>
      </c>
      <c r="M405" t="s">
        <v>118</v>
      </c>
    </row>
    <row r="406" spans="1:13" x14ac:dyDescent="0.35">
      <c r="A406" t="s">
        <v>10</v>
      </c>
      <c r="B406" t="s">
        <v>3</v>
      </c>
      <c r="C406" s="14">
        <v>29.99</v>
      </c>
      <c r="D406">
        <v>3</v>
      </c>
      <c r="E406">
        <v>10</v>
      </c>
      <c r="F406" t="s">
        <v>588</v>
      </c>
      <c r="G406" t="s">
        <v>590</v>
      </c>
      <c r="H406">
        <v>24</v>
      </c>
      <c r="I406">
        <v>2024</v>
      </c>
      <c r="J406" s="7">
        <v>0.30119212962962966</v>
      </c>
      <c r="K406" t="s">
        <v>325</v>
      </c>
      <c r="L406" t="s">
        <v>266</v>
      </c>
      <c r="M406" t="s">
        <v>118</v>
      </c>
    </row>
    <row r="407" spans="1:13" x14ac:dyDescent="0.35">
      <c r="A407" t="s">
        <v>81</v>
      </c>
      <c r="B407" t="s">
        <v>3</v>
      </c>
      <c r="C407" s="14">
        <v>29.99</v>
      </c>
      <c r="D407">
        <v>0</v>
      </c>
      <c r="E407">
        <v>286</v>
      </c>
      <c r="F407" t="s">
        <v>588</v>
      </c>
      <c r="G407" t="s">
        <v>590</v>
      </c>
      <c r="H407">
        <v>15</v>
      </c>
      <c r="I407">
        <v>2024</v>
      </c>
      <c r="J407" s="7">
        <v>0.49305555555555558</v>
      </c>
      <c r="K407" t="s">
        <v>301</v>
      </c>
      <c r="L407" t="s">
        <v>506</v>
      </c>
      <c r="M407" t="s">
        <v>118</v>
      </c>
    </row>
    <row r="408" spans="1:13" x14ac:dyDescent="0.35">
      <c r="A408" t="s">
        <v>4</v>
      </c>
      <c r="B408" t="s">
        <v>3</v>
      </c>
      <c r="C408" s="14">
        <v>29.99</v>
      </c>
      <c r="D408">
        <v>5</v>
      </c>
      <c r="E408">
        <v>6</v>
      </c>
      <c r="F408" t="s">
        <v>588</v>
      </c>
      <c r="G408" t="s">
        <v>590</v>
      </c>
      <c r="H408">
        <v>24</v>
      </c>
      <c r="I408">
        <v>2024</v>
      </c>
      <c r="J408" s="7">
        <v>0.2442361111111111</v>
      </c>
      <c r="K408" t="s">
        <v>280</v>
      </c>
      <c r="L408" t="s">
        <v>266</v>
      </c>
      <c r="M408" t="s">
        <v>118</v>
      </c>
    </row>
    <row r="409" spans="1:13" x14ac:dyDescent="0.35">
      <c r="A409" t="s">
        <v>4</v>
      </c>
      <c r="B409" t="s">
        <v>3</v>
      </c>
      <c r="C409" s="14">
        <v>29.99</v>
      </c>
      <c r="D409">
        <v>10</v>
      </c>
      <c r="E409">
        <v>141</v>
      </c>
      <c r="F409" t="s">
        <v>588</v>
      </c>
      <c r="G409" t="s">
        <v>590</v>
      </c>
      <c r="H409">
        <v>24</v>
      </c>
      <c r="I409">
        <v>2024</v>
      </c>
      <c r="J409" s="7">
        <v>0.35125000000000001</v>
      </c>
      <c r="K409" t="s">
        <v>449</v>
      </c>
      <c r="L409" t="s">
        <v>266</v>
      </c>
      <c r="M409" t="s">
        <v>118</v>
      </c>
    </row>
    <row r="410" spans="1:13" x14ac:dyDescent="0.35">
      <c r="A410" t="s">
        <v>9</v>
      </c>
      <c r="B410" t="s">
        <v>3</v>
      </c>
      <c r="C410" s="14">
        <v>29.99</v>
      </c>
      <c r="D410">
        <v>5</v>
      </c>
      <c r="E410">
        <v>8</v>
      </c>
      <c r="F410" t="s">
        <v>588</v>
      </c>
      <c r="G410" t="s">
        <v>591</v>
      </c>
      <c r="H410">
        <v>26</v>
      </c>
      <c r="I410">
        <v>2024</v>
      </c>
      <c r="J410" s="7">
        <v>0.85199074074074077</v>
      </c>
      <c r="K410" t="s">
        <v>452</v>
      </c>
      <c r="L410" t="s">
        <v>428</v>
      </c>
      <c r="M410" t="s">
        <v>118</v>
      </c>
    </row>
    <row r="411" spans="1:13" x14ac:dyDescent="0.35">
      <c r="A411" t="s">
        <v>79</v>
      </c>
      <c r="B411" t="s">
        <v>143</v>
      </c>
      <c r="C411" s="14">
        <v>29.99</v>
      </c>
      <c r="D411">
        <v>2</v>
      </c>
      <c r="E411">
        <v>0</v>
      </c>
      <c r="F411" t="s">
        <v>589</v>
      </c>
      <c r="G411" t="s">
        <v>239</v>
      </c>
      <c r="H411">
        <v>0</v>
      </c>
      <c r="I411">
        <v>0</v>
      </c>
      <c r="J411" s="7">
        <v>0</v>
      </c>
      <c r="K411" t="s">
        <v>466</v>
      </c>
      <c r="L411" t="s">
        <v>467</v>
      </c>
      <c r="M411" t="s">
        <v>118</v>
      </c>
    </row>
    <row r="412" spans="1:13" x14ac:dyDescent="0.35">
      <c r="A412" t="s">
        <v>7</v>
      </c>
      <c r="B412" t="s">
        <v>1</v>
      </c>
      <c r="C412" s="14">
        <v>29.99</v>
      </c>
      <c r="D412">
        <v>5</v>
      </c>
      <c r="E412">
        <v>42</v>
      </c>
      <c r="F412" t="s">
        <v>588</v>
      </c>
      <c r="G412" t="s">
        <v>590</v>
      </c>
      <c r="H412">
        <v>24</v>
      </c>
      <c r="I412">
        <v>2024</v>
      </c>
      <c r="J412" s="7">
        <v>0.3304050925925926</v>
      </c>
      <c r="K412" t="s">
        <v>285</v>
      </c>
      <c r="L412" t="s">
        <v>286</v>
      </c>
      <c r="M412" t="s">
        <v>118</v>
      </c>
    </row>
    <row r="413" spans="1:13" x14ac:dyDescent="0.35">
      <c r="A413" t="s">
        <v>4</v>
      </c>
      <c r="B413" t="s">
        <v>3</v>
      </c>
      <c r="C413" s="14">
        <v>29.99</v>
      </c>
      <c r="D413">
        <v>10</v>
      </c>
      <c r="E413">
        <v>12</v>
      </c>
      <c r="F413" t="s">
        <v>588</v>
      </c>
      <c r="G413" t="s">
        <v>590</v>
      </c>
      <c r="H413">
        <v>18</v>
      </c>
      <c r="I413">
        <v>2024</v>
      </c>
      <c r="J413" s="7">
        <v>0.39631944444444445</v>
      </c>
      <c r="K413" t="s">
        <v>472</v>
      </c>
      <c r="L413" t="s">
        <v>266</v>
      </c>
      <c r="M413" t="s">
        <v>118</v>
      </c>
    </row>
    <row r="414" spans="1:13" x14ac:dyDescent="0.35">
      <c r="A414" t="s">
        <v>4</v>
      </c>
      <c r="B414" t="s">
        <v>3</v>
      </c>
      <c r="C414" s="14">
        <v>29.99</v>
      </c>
      <c r="D414">
        <v>5</v>
      </c>
      <c r="E414">
        <v>9</v>
      </c>
      <c r="F414" t="s">
        <v>588</v>
      </c>
      <c r="G414" t="s">
        <v>590</v>
      </c>
      <c r="H414">
        <v>22</v>
      </c>
      <c r="I414">
        <v>2024</v>
      </c>
      <c r="J414" s="7">
        <v>0.36627314814814815</v>
      </c>
      <c r="K414" t="s">
        <v>279</v>
      </c>
      <c r="L414" t="s">
        <v>266</v>
      </c>
      <c r="M414" t="s">
        <v>118</v>
      </c>
    </row>
    <row r="415" spans="1:13" x14ac:dyDescent="0.35">
      <c r="A415" t="s">
        <v>4</v>
      </c>
      <c r="B415" t="s">
        <v>3</v>
      </c>
      <c r="C415" s="14">
        <v>29.99</v>
      </c>
      <c r="D415">
        <v>3</v>
      </c>
      <c r="E415">
        <v>61</v>
      </c>
      <c r="F415" t="s">
        <v>588</v>
      </c>
      <c r="G415" t="s">
        <v>590</v>
      </c>
      <c r="H415">
        <v>11</v>
      </c>
      <c r="I415">
        <v>2024</v>
      </c>
      <c r="J415" s="7">
        <v>8.5509259259259257E-2</v>
      </c>
      <c r="K415" t="s">
        <v>273</v>
      </c>
      <c r="L415" t="s">
        <v>274</v>
      </c>
      <c r="M415" t="s">
        <v>118</v>
      </c>
    </row>
    <row r="416" spans="1:13" x14ac:dyDescent="0.35">
      <c r="A416" t="s">
        <v>53</v>
      </c>
      <c r="B416" t="s">
        <v>1</v>
      </c>
      <c r="C416" s="14">
        <v>29.99</v>
      </c>
      <c r="D416">
        <v>65</v>
      </c>
      <c r="E416">
        <v>25</v>
      </c>
      <c r="F416" t="s">
        <v>588</v>
      </c>
      <c r="G416" t="s">
        <v>592</v>
      </c>
      <c r="H416">
        <v>6</v>
      </c>
      <c r="I416">
        <v>2024</v>
      </c>
      <c r="J416" s="7">
        <v>0.5018055555555555</v>
      </c>
      <c r="K416" t="s">
        <v>524</v>
      </c>
      <c r="L416" t="s">
        <v>506</v>
      </c>
      <c r="M416" t="s">
        <v>118</v>
      </c>
    </row>
    <row r="417" spans="1:13" x14ac:dyDescent="0.35">
      <c r="A417" t="s">
        <v>9</v>
      </c>
      <c r="B417" t="s">
        <v>37</v>
      </c>
      <c r="C417" s="14">
        <v>29.99</v>
      </c>
      <c r="D417">
        <v>110</v>
      </c>
      <c r="E417">
        <v>60</v>
      </c>
      <c r="F417" t="s">
        <v>588</v>
      </c>
      <c r="G417" t="s">
        <v>590</v>
      </c>
      <c r="H417">
        <v>10</v>
      </c>
      <c r="I417">
        <v>2024</v>
      </c>
      <c r="J417" s="7">
        <v>0.30542824074074076</v>
      </c>
      <c r="K417" t="s">
        <v>285</v>
      </c>
      <c r="L417" t="s">
        <v>286</v>
      </c>
      <c r="M417" t="s">
        <v>118</v>
      </c>
    </row>
    <row r="418" spans="1:13" x14ac:dyDescent="0.35">
      <c r="A418" t="s">
        <v>12</v>
      </c>
      <c r="B418" t="s">
        <v>3</v>
      </c>
      <c r="C418" s="14">
        <v>30</v>
      </c>
      <c r="D418">
        <v>10</v>
      </c>
      <c r="E418">
        <v>270</v>
      </c>
      <c r="F418" t="s">
        <v>588</v>
      </c>
      <c r="G418" t="s">
        <v>590</v>
      </c>
      <c r="H418">
        <v>24</v>
      </c>
      <c r="I418">
        <v>2024</v>
      </c>
      <c r="J418" s="7">
        <v>6.9965277777777779E-2</v>
      </c>
      <c r="K418" t="s">
        <v>330</v>
      </c>
      <c r="L418" t="s">
        <v>282</v>
      </c>
      <c r="M418" t="s">
        <v>118</v>
      </c>
    </row>
    <row r="419" spans="1:13" x14ac:dyDescent="0.35">
      <c r="A419" t="s">
        <v>251</v>
      </c>
      <c r="B419" t="s">
        <v>37</v>
      </c>
      <c r="C419" s="14">
        <v>30</v>
      </c>
      <c r="D419">
        <v>10</v>
      </c>
      <c r="E419">
        <v>24</v>
      </c>
      <c r="F419" t="s">
        <v>588</v>
      </c>
      <c r="G419" t="s">
        <v>590</v>
      </c>
      <c r="H419">
        <v>8</v>
      </c>
      <c r="I419">
        <v>2024</v>
      </c>
      <c r="J419" s="7">
        <v>0.3591550925925926</v>
      </c>
      <c r="K419" t="s">
        <v>440</v>
      </c>
      <c r="L419" t="s">
        <v>269</v>
      </c>
      <c r="M419" t="s">
        <v>118</v>
      </c>
    </row>
    <row r="420" spans="1:13" x14ac:dyDescent="0.35">
      <c r="A420" t="s">
        <v>65</v>
      </c>
      <c r="B420" t="s">
        <v>1</v>
      </c>
      <c r="C420" s="14">
        <v>30.07</v>
      </c>
      <c r="D420">
        <v>9</v>
      </c>
      <c r="E420">
        <v>25</v>
      </c>
      <c r="F420" t="s">
        <v>588</v>
      </c>
      <c r="G420" t="s">
        <v>590</v>
      </c>
      <c r="H420">
        <v>23</v>
      </c>
      <c r="I420">
        <v>2024</v>
      </c>
      <c r="J420" s="7">
        <v>0.8228240740740741</v>
      </c>
      <c r="K420" t="s">
        <v>509</v>
      </c>
      <c r="L420" t="s">
        <v>505</v>
      </c>
      <c r="M420" t="s">
        <v>118</v>
      </c>
    </row>
    <row r="421" spans="1:13" x14ac:dyDescent="0.35">
      <c r="A421" t="s">
        <v>109</v>
      </c>
      <c r="B421" t="s">
        <v>1</v>
      </c>
      <c r="C421" s="14">
        <v>30.07</v>
      </c>
      <c r="D421">
        <v>226</v>
      </c>
      <c r="E421">
        <v>12</v>
      </c>
      <c r="F421" t="s">
        <v>588</v>
      </c>
      <c r="G421" t="s">
        <v>590</v>
      </c>
      <c r="H421">
        <v>23</v>
      </c>
      <c r="I421">
        <v>2024</v>
      </c>
      <c r="J421" s="7">
        <v>0.84744212962962961</v>
      </c>
      <c r="K421" t="s">
        <v>509</v>
      </c>
      <c r="L421" t="s">
        <v>505</v>
      </c>
      <c r="M421" t="s">
        <v>118</v>
      </c>
    </row>
    <row r="422" spans="1:13" x14ac:dyDescent="0.35">
      <c r="A422" t="s">
        <v>15</v>
      </c>
      <c r="B422" t="s">
        <v>3</v>
      </c>
      <c r="C422" s="14">
        <v>30.31</v>
      </c>
      <c r="D422">
        <v>10</v>
      </c>
      <c r="E422">
        <v>17</v>
      </c>
      <c r="F422" t="s">
        <v>588</v>
      </c>
      <c r="G422" t="s">
        <v>590</v>
      </c>
      <c r="H422">
        <v>23</v>
      </c>
      <c r="I422">
        <v>2024</v>
      </c>
      <c r="J422" s="7">
        <v>0.36077546296296298</v>
      </c>
      <c r="K422" t="s">
        <v>118</v>
      </c>
      <c r="L422" t="s">
        <v>274</v>
      </c>
      <c r="M422" t="s">
        <v>118</v>
      </c>
    </row>
    <row r="423" spans="1:13" x14ac:dyDescent="0.35">
      <c r="A423" t="s">
        <v>15</v>
      </c>
      <c r="B423" t="s">
        <v>3</v>
      </c>
      <c r="C423" s="14">
        <v>30.58</v>
      </c>
      <c r="D423">
        <v>0</v>
      </c>
      <c r="E423">
        <v>31</v>
      </c>
      <c r="F423" t="s">
        <v>588</v>
      </c>
      <c r="G423" t="s">
        <v>590</v>
      </c>
      <c r="H423">
        <v>23</v>
      </c>
      <c r="I423">
        <v>2024</v>
      </c>
      <c r="J423" s="7">
        <v>0.36076388888888888</v>
      </c>
      <c r="K423" t="s">
        <v>118</v>
      </c>
      <c r="L423" t="s">
        <v>274</v>
      </c>
      <c r="M423" t="s">
        <v>118</v>
      </c>
    </row>
    <row r="424" spans="1:13" x14ac:dyDescent="0.35">
      <c r="A424" t="s">
        <v>98</v>
      </c>
      <c r="B424" t="s">
        <v>1</v>
      </c>
      <c r="C424" s="14">
        <v>30.93</v>
      </c>
      <c r="D424">
        <v>6</v>
      </c>
      <c r="E424">
        <v>998</v>
      </c>
      <c r="F424" t="s">
        <v>588</v>
      </c>
      <c r="G424" t="s">
        <v>590</v>
      </c>
      <c r="H424">
        <v>21</v>
      </c>
      <c r="I424">
        <v>2024</v>
      </c>
      <c r="J424" s="7">
        <v>0.9439467592592593</v>
      </c>
      <c r="K424" t="s">
        <v>291</v>
      </c>
      <c r="L424" t="s">
        <v>274</v>
      </c>
      <c r="M424" t="s">
        <v>118</v>
      </c>
    </row>
    <row r="425" spans="1:13" x14ac:dyDescent="0.35">
      <c r="A425" t="s">
        <v>232</v>
      </c>
      <c r="B425" t="s">
        <v>3</v>
      </c>
      <c r="C425" s="14">
        <v>30.95</v>
      </c>
      <c r="D425">
        <v>10</v>
      </c>
      <c r="E425">
        <v>36</v>
      </c>
      <c r="F425" t="s">
        <v>588</v>
      </c>
      <c r="G425" t="s">
        <v>590</v>
      </c>
      <c r="H425">
        <v>24</v>
      </c>
      <c r="I425">
        <v>2024</v>
      </c>
      <c r="J425" s="7">
        <v>0.40747685185185184</v>
      </c>
      <c r="K425" t="s">
        <v>278</v>
      </c>
      <c r="L425" t="s">
        <v>266</v>
      </c>
      <c r="M425" t="s">
        <v>118</v>
      </c>
    </row>
    <row r="426" spans="1:13" x14ac:dyDescent="0.35">
      <c r="A426" t="s">
        <v>232</v>
      </c>
      <c r="B426" t="s">
        <v>3</v>
      </c>
      <c r="C426" s="14">
        <v>30.95</v>
      </c>
      <c r="D426">
        <v>5</v>
      </c>
      <c r="E426">
        <v>16</v>
      </c>
      <c r="F426" t="s">
        <v>588</v>
      </c>
      <c r="G426" t="s">
        <v>590</v>
      </c>
      <c r="H426">
        <v>21</v>
      </c>
      <c r="I426">
        <v>2024</v>
      </c>
      <c r="J426" s="7">
        <v>0.37952546296296297</v>
      </c>
      <c r="K426" t="s">
        <v>325</v>
      </c>
      <c r="L426" t="s">
        <v>266</v>
      </c>
      <c r="M426" t="s">
        <v>118</v>
      </c>
    </row>
    <row r="427" spans="1:13" x14ac:dyDescent="0.35">
      <c r="A427" t="s">
        <v>249</v>
      </c>
      <c r="B427" t="s">
        <v>37</v>
      </c>
      <c r="C427" s="14">
        <v>30.95</v>
      </c>
      <c r="D427">
        <v>7</v>
      </c>
      <c r="E427">
        <v>4</v>
      </c>
      <c r="F427" t="s">
        <v>588</v>
      </c>
      <c r="G427" t="s">
        <v>590</v>
      </c>
      <c r="H427">
        <v>19</v>
      </c>
      <c r="I427">
        <v>2024</v>
      </c>
      <c r="J427" s="7">
        <v>0.28020833333333334</v>
      </c>
      <c r="K427" t="s">
        <v>438</v>
      </c>
      <c r="L427" t="s">
        <v>305</v>
      </c>
      <c r="M427" t="s">
        <v>118</v>
      </c>
    </row>
    <row r="428" spans="1:13" x14ac:dyDescent="0.35">
      <c r="A428" t="s">
        <v>7</v>
      </c>
      <c r="B428" t="s">
        <v>1</v>
      </c>
      <c r="C428" s="14">
        <v>30.99</v>
      </c>
      <c r="D428">
        <v>5</v>
      </c>
      <c r="E428">
        <v>39</v>
      </c>
      <c r="F428" t="s">
        <v>588</v>
      </c>
      <c r="G428" t="s">
        <v>590</v>
      </c>
      <c r="H428">
        <v>16</v>
      </c>
      <c r="I428">
        <v>2024</v>
      </c>
      <c r="J428" s="7">
        <v>0.57140046296296299</v>
      </c>
      <c r="K428" t="s">
        <v>275</v>
      </c>
      <c r="L428" t="s">
        <v>506</v>
      </c>
      <c r="M428" t="s">
        <v>118</v>
      </c>
    </row>
    <row r="429" spans="1:13" x14ac:dyDescent="0.35">
      <c r="A429" t="s">
        <v>58</v>
      </c>
      <c r="B429" t="s">
        <v>3</v>
      </c>
      <c r="C429" s="14">
        <v>30.99</v>
      </c>
      <c r="D429">
        <v>0</v>
      </c>
      <c r="E429">
        <v>866</v>
      </c>
      <c r="F429" t="s">
        <v>588</v>
      </c>
      <c r="G429" t="s">
        <v>590</v>
      </c>
      <c r="H429">
        <v>13</v>
      </c>
      <c r="I429">
        <v>2024</v>
      </c>
      <c r="J429" s="7">
        <v>0.4180787037037037</v>
      </c>
      <c r="K429" t="s">
        <v>509</v>
      </c>
      <c r="L429" t="s">
        <v>505</v>
      </c>
      <c r="M429" t="s">
        <v>118</v>
      </c>
    </row>
    <row r="430" spans="1:13" x14ac:dyDescent="0.35">
      <c r="A430" t="s">
        <v>26</v>
      </c>
      <c r="B430" t="s">
        <v>3</v>
      </c>
      <c r="C430" s="14">
        <v>31.08</v>
      </c>
      <c r="D430">
        <v>60</v>
      </c>
      <c r="E430">
        <v>1362</v>
      </c>
      <c r="F430" t="s">
        <v>589</v>
      </c>
      <c r="G430" t="s">
        <v>590</v>
      </c>
      <c r="H430">
        <v>21</v>
      </c>
      <c r="I430">
        <v>2024</v>
      </c>
      <c r="J430" s="7">
        <v>0.96928240740740745</v>
      </c>
      <c r="K430" t="s">
        <v>291</v>
      </c>
      <c r="L430" t="s">
        <v>274</v>
      </c>
      <c r="M430" t="s">
        <v>118</v>
      </c>
    </row>
    <row r="431" spans="1:13" x14ac:dyDescent="0.35">
      <c r="A431" t="s">
        <v>24</v>
      </c>
      <c r="B431" t="s">
        <v>1</v>
      </c>
      <c r="C431" s="14">
        <v>31.29</v>
      </c>
      <c r="D431">
        <v>0</v>
      </c>
      <c r="E431">
        <v>349</v>
      </c>
      <c r="F431" t="s">
        <v>588</v>
      </c>
      <c r="G431" t="s">
        <v>590</v>
      </c>
      <c r="H431">
        <v>24</v>
      </c>
      <c r="I431">
        <v>2024</v>
      </c>
      <c r="J431" s="7">
        <v>0.30289351851851853</v>
      </c>
      <c r="K431" t="s">
        <v>291</v>
      </c>
      <c r="L431" t="s">
        <v>274</v>
      </c>
      <c r="M431" t="s">
        <v>118</v>
      </c>
    </row>
    <row r="432" spans="1:13" x14ac:dyDescent="0.35">
      <c r="A432" t="s">
        <v>24</v>
      </c>
      <c r="B432" t="s">
        <v>1</v>
      </c>
      <c r="C432" s="14">
        <v>31.29</v>
      </c>
      <c r="D432">
        <v>3</v>
      </c>
      <c r="E432">
        <v>1</v>
      </c>
      <c r="F432" t="s">
        <v>588</v>
      </c>
      <c r="G432" t="s">
        <v>590</v>
      </c>
      <c r="H432">
        <v>20</v>
      </c>
      <c r="I432">
        <v>2024</v>
      </c>
      <c r="J432" s="7">
        <v>0.67396990740740736</v>
      </c>
      <c r="K432" t="s">
        <v>509</v>
      </c>
      <c r="L432" t="s">
        <v>505</v>
      </c>
      <c r="M432" t="s">
        <v>118</v>
      </c>
    </row>
    <row r="433" spans="1:13" x14ac:dyDescent="0.35">
      <c r="A433" t="s">
        <v>72</v>
      </c>
      <c r="B433" t="s">
        <v>1</v>
      </c>
      <c r="C433" s="14">
        <v>31.47</v>
      </c>
      <c r="D433">
        <v>8</v>
      </c>
      <c r="E433">
        <v>397</v>
      </c>
      <c r="F433" t="s">
        <v>588</v>
      </c>
      <c r="G433" t="s">
        <v>591</v>
      </c>
      <c r="H433">
        <v>24</v>
      </c>
      <c r="I433">
        <v>2024</v>
      </c>
      <c r="J433" s="7">
        <v>0.95704861111111106</v>
      </c>
      <c r="K433" t="s">
        <v>291</v>
      </c>
      <c r="L433" t="s">
        <v>274</v>
      </c>
      <c r="M433" t="s">
        <v>118</v>
      </c>
    </row>
    <row r="434" spans="1:13" x14ac:dyDescent="0.35">
      <c r="A434" t="s">
        <v>26</v>
      </c>
      <c r="B434" t="s">
        <v>3</v>
      </c>
      <c r="C434" s="14">
        <v>31.57</v>
      </c>
      <c r="D434">
        <v>10</v>
      </c>
      <c r="E434">
        <v>287</v>
      </c>
      <c r="F434" t="s">
        <v>588</v>
      </c>
      <c r="G434" t="s">
        <v>590</v>
      </c>
      <c r="H434">
        <v>24</v>
      </c>
      <c r="I434">
        <v>2024</v>
      </c>
      <c r="J434" s="7">
        <v>0.31600694444444444</v>
      </c>
      <c r="K434" t="s">
        <v>290</v>
      </c>
      <c r="L434" t="s">
        <v>506</v>
      </c>
      <c r="M434" t="s">
        <v>118</v>
      </c>
    </row>
    <row r="435" spans="1:13" x14ac:dyDescent="0.35">
      <c r="A435" t="s">
        <v>122</v>
      </c>
      <c r="B435" t="s">
        <v>1</v>
      </c>
      <c r="C435" s="14">
        <v>31.89</v>
      </c>
      <c r="D435">
        <v>0</v>
      </c>
      <c r="E435">
        <v>226</v>
      </c>
      <c r="F435" t="s">
        <v>588</v>
      </c>
      <c r="G435" t="s">
        <v>590</v>
      </c>
      <c r="H435">
        <v>16</v>
      </c>
      <c r="I435">
        <v>2024</v>
      </c>
      <c r="J435" s="7">
        <v>0.21525462962962963</v>
      </c>
      <c r="K435" t="s">
        <v>291</v>
      </c>
      <c r="L435" t="s">
        <v>274</v>
      </c>
      <c r="M435" t="s">
        <v>118</v>
      </c>
    </row>
    <row r="436" spans="1:13" x14ac:dyDescent="0.35">
      <c r="A436" t="s">
        <v>237</v>
      </c>
      <c r="B436" t="s">
        <v>37</v>
      </c>
      <c r="C436" s="14">
        <v>31.95</v>
      </c>
      <c r="D436">
        <v>95</v>
      </c>
      <c r="E436">
        <v>10</v>
      </c>
      <c r="F436" t="s">
        <v>588</v>
      </c>
      <c r="G436" t="s">
        <v>590</v>
      </c>
      <c r="H436">
        <v>18</v>
      </c>
      <c r="I436">
        <v>2024</v>
      </c>
      <c r="J436" s="7">
        <v>0.82063657407407409</v>
      </c>
      <c r="K436" t="s">
        <v>547</v>
      </c>
      <c r="L436" t="s">
        <v>267</v>
      </c>
      <c r="M436" t="s">
        <v>118</v>
      </c>
    </row>
    <row r="437" spans="1:13" x14ac:dyDescent="0.35">
      <c r="A437" t="s">
        <v>44</v>
      </c>
      <c r="B437" t="s">
        <v>3</v>
      </c>
      <c r="C437" s="14">
        <v>31.95</v>
      </c>
      <c r="D437">
        <v>13</v>
      </c>
      <c r="E437">
        <v>12</v>
      </c>
      <c r="F437" t="s">
        <v>588</v>
      </c>
      <c r="G437" t="s">
        <v>590</v>
      </c>
      <c r="H437">
        <v>15</v>
      </c>
      <c r="I437">
        <v>2024</v>
      </c>
      <c r="J437" s="7">
        <v>0.31766203703703705</v>
      </c>
      <c r="K437" t="s">
        <v>375</v>
      </c>
      <c r="L437" t="s">
        <v>376</v>
      </c>
      <c r="M437" t="s">
        <v>118</v>
      </c>
    </row>
    <row r="438" spans="1:13" x14ac:dyDescent="0.35">
      <c r="A438" t="s">
        <v>250</v>
      </c>
      <c r="B438" t="s">
        <v>3</v>
      </c>
      <c r="C438" s="14">
        <v>31.95</v>
      </c>
      <c r="D438">
        <v>10</v>
      </c>
      <c r="E438">
        <v>8</v>
      </c>
      <c r="F438" t="s">
        <v>588</v>
      </c>
      <c r="G438" t="s">
        <v>590</v>
      </c>
      <c r="H438">
        <v>22</v>
      </c>
      <c r="I438">
        <v>2024</v>
      </c>
      <c r="J438" s="7">
        <v>0.53978009259259263</v>
      </c>
      <c r="K438" t="s">
        <v>509</v>
      </c>
      <c r="L438" t="s">
        <v>505</v>
      </c>
      <c r="M438" t="s">
        <v>118</v>
      </c>
    </row>
    <row r="439" spans="1:13" x14ac:dyDescent="0.35">
      <c r="A439" t="s">
        <v>20</v>
      </c>
      <c r="B439" t="s">
        <v>1</v>
      </c>
      <c r="C439" s="14">
        <v>31.95</v>
      </c>
      <c r="D439">
        <v>9</v>
      </c>
      <c r="E439">
        <v>5</v>
      </c>
      <c r="F439" t="s">
        <v>588</v>
      </c>
      <c r="G439" t="s">
        <v>590</v>
      </c>
      <c r="H439">
        <v>23</v>
      </c>
      <c r="I439">
        <v>2024</v>
      </c>
      <c r="J439" s="7">
        <v>0.49373842592592593</v>
      </c>
      <c r="K439" t="s">
        <v>509</v>
      </c>
      <c r="L439" t="s">
        <v>505</v>
      </c>
      <c r="M439" t="s">
        <v>118</v>
      </c>
    </row>
    <row r="440" spans="1:13" x14ac:dyDescent="0.35">
      <c r="A440" t="s">
        <v>98</v>
      </c>
      <c r="B440" t="s">
        <v>1</v>
      </c>
      <c r="C440" s="14">
        <v>31.98</v>
      </c>
      <c r="D440">
        <v>48</v>
      </c>
      <c r="E440">
        <v>12</v>
      </c>
      <c r="F440" t="s">
        <v>588</v>
      </c>
      <c r="G440" t="s">
        <v>590</v>
      </c>
      <c r="H440">
        <v>23</v>
      </c>
      <c r="I440">
        <v>2024</v>
      </c>
      <c r="J440" s="7">
        <v>0.46462962962962961</v>
      </c>
      <c r="K440" t="s">
        <v>369</v>
      </c>
      <c r="L440" t="s">
        <v>506</v>
      </c>
      <c r="M440" t="s">
        <v>118</v>
      </c>
    </row>
    <row r="441" spans="1:13" x14ac:dyDescent="0.35">
      <c r="A441" t="s">
        <v>9</v>
      </c>
      <c r="B441" t="s">
        <v>3</v>
      </c>
      <c r="C441" s="14">
        <v>31.99</v>
      </c>
      <c r="D441">
        <v>3</v>
      </c>
      <c r="E441">
        <v>56</v>
      </c>
      <c r="F441" t="s">
        <v>588</v>
      </c>
      <c r="G441" t="s">
        <v>590</v>
      </c>
      <c r="H441">
        <v>23</v>
      </c>
      <c r="I441">
        <v>2024</v>
      </c>
      <c r="J441" s="7">
        <v>0.30300925925925926</v>
      </c>
      <c r="K441" t="s">
        <v>279</v>
      </c>
      <c r="L441" t="s">
        <v>266</v>
      </c>
      <c r="M441" t="s">
        <v>118</v>
      </c>
    </row>
    <row r="442" spans="1:13" x14ac:dyDescent="0.35">
      <c r="A442" t="s">
        <v>9</v>
      </c>
      <c r="B442" t="s">
        <v>3</v>
      </c>
      <c r="C442" s="14">
        <v>31.99</v>
      </c>
      <c r="D442">
        <v>7</v>
      </c>
      <c r="E442">
        <v>44</v>
      </c>
      <c r="F442" t="s">
        <v>588</v>
      </c>
      <c r="G442" t="s">
        <v>590</v>
      </c>
      <c r="H442">
        <v>24</v>
      </c>
      <c r="I442">
        <v>2024</v>
      </c>
      <c r="J442" s="7">
        <v>0.35818287037037039</v>
      </c>
      <c r="K442" t="s">
        <v>271</v>
      </c>
      <c r="L442" t="s">
        <v>266</v>
      </c>
      <c r="M442" t="s">
        <v>118</v>
      </c>
    </row>
    <row r="443" spans="1:13" x14ac:dyDescent="0.35">
      <c r="A443" t="s">
        <v>230</v>
      </c>
      <c r="B443" t="s">
        <v>3</v>
      </c>
      <c r="C443" s="14">
        <v>31.99</v>
      </c>
      <c r="D443">
        <v>0</v>
      </c>
      <c r="E443">
        <v>40</v>
      </c>
      <c r="F443" t="s">
        <v>588</v>
      </c>
      <c r="G443" t="s">
        <v>590</v>
      </c>
      <c r="H443">
        <v>23</v>
      </c>
      <c r="I443">
        <v>2024</v>
      </c>
      <c r="J443" s="7">
        <v>0.72613425925925923</v>
      </c>
      <c r="K443" t="s">
        <v>290</v>
      </c>
      <c r="L443" t="s">
        <v>506</v>
      </c>
      <c r="M443" t="s">
        <v>118</v>
      </c>
    </row>
    <row r="444" spans="1:13" x14ac:dyDescent="0.35">
      <c r="A444" t="s">
        <v>9</v>
      </c>
      <c r="B444" t="s">
        <v>3</v>
      </c>
      <c r="C444" s="14">
        <v>31.99</v>
      </c>
      <c r="D444">
        <v>0</v>
      </c>
      <c r="E444">
        <v>103</v>
      </c>
      <c r="F444" t="s">
        <v>588</v>
      </c>
      <c r="G444" t="s">
        <v>590</v>
      </c>
      <c r="H444">
        <v>19</v>
      </c>
      <c r="I444">
        <v>2024</v>
      </c>
      <c r="J444" s="7">
        <v>0.32327546296296295</v>
      </c>
      <c r="K444" t="s">
        <v>366</v>
      </c>
      <c r="L444" t="s">
        <v>266</v>
      </c>
      <c r="M444" t="s">
        <v>118</v>
      </c>
    </row>
    <row r="445" spans="1:13" x14ac:dyDescent="0.35">
      <c r="A445" t="s">
        <v>9</v>
      </c>
      <c r="B445" t="s">
        <v>3</v>
      </c>
      <c r="C445" s="14">
        <v>31.99</v>
      </c>
      <c r="D445">
        <v>22</v>
      </c>
      <c r="E445">
        <v>35</v>
      </c>
      <c r="F445" t="s">
        <v>588</v>
      </c>
      <c r="G445" t="s">
        <v>590</v>
      </c>
      <c r="H445">
        <v>24</v>
      </c>
      <c r="I445">
        <v>2024</v>
      </c>
      <c r="J445" s="7">
        <v>8.3414351851851851E-2</v>
      </c>
      <c r="K445" t="s">
        <v>290</v>
      </c>
      <c r="L445" t="s">
        <v>506</v>
      </c>
      <c r="M445" t="s">
        <v>118</v>
      </c>
    </row>
    <row r="446" spans="1:13" x14ac:dyDescent="0.35">
      <c r="A446" t="s">
        <v>9</v>
      </c>
      <c r="B446" t="s">
        <v>3</v>
      </c>
      <c r="C446" s="14">
        <v>31.99</v>
      </c>
      <c r="D446">
        <v>3</v>
      </c>
      <c r="E446">
        <v>15</v>
      </c>
      <c r="F446" t="s">
        <v>588</v>
      </c>
      <c r="G446" t="s">
        <v>590</v>
      </c>
      <c r="H446">
        <v>13</v>
      </c>
      <c r="I446">
        <v>2024</v>
      </c>
      <c r="J446" s="7">
        <v>0.39839120370370368</v>
      </c>
      <c r="K446" t="s">
        <v>278</v>
      </c>
      <c r="L446" t="s">
        <v>266</v>
      </c>
      <c r="M446" t="s">
        <v>118</v>
      </c>
    </row>
    <row r="447" spans="1:13" x14ac:dyDescent="0.35">
      <c r="A447" t="s">
        <v>27</v>
      </c>
      <c r="B447" t="s">
        <v>3</v>
      </c>
      <c r="C447" s="14">
        <v>32</v>
      </c>
      <c r="D447">
        <v>2</v>
      </c>
      <c r="E447">
        <v>445</v>
      </c>
      <c r="F447" t="s">
        <v>588</v>
      </c>
      <c r="G447" t="s">
        <v>590</v>
      </c>
      <c r="H447">
        <v>23</v>
      </c>
      <c r="I447">
        <v>2024</v>
      </c>
      <c r="J447" s="7">
        <v>0.96684027777777781</v>
      </c>
      <c r="K447" t="s">
        <v>362</v>
      </c>
      <c r="L447" t="s">
        <v>505</v>
      </c>
      <c r="M447" t="s">
        <v>118</v>
      </c>
    </row>
    <row r="448" spans="1:13" x14ac:dyDescent="0.35">
      <c r="A448" t="s">
        <v>16</v>
      </c>
      <c r="B448" t="s">
        <v>3</v>
      </c>
      <c r="C448" s="14">
        <v>32.130000000000003</v>
      </c>
      <c r="D448">
        <v>0</v>
      </c>
      <c r="E448">
        <v>85</v>
      </c>
      <c r="F448" t="s">
        <v>588</v>
      </c>
      <c r="G448" t="s">
        <v>590</v>
      </c>
      <c r="H448">
        <v>13</v>
      </c>
      <c r="I448">
        <v>2024</v>
      </c>
      <c r="J448" s="7">
        <v>0.58258101851851851</v>
      </c>
      <c r="K448" t="s">
        <v>291</v>
      </c>
      <c r="L448" t="s">
        <v>274</v>
      </c>
      <c r="M448" t="s">
        <v>118</v>
      </c>
    </row>
    <row r="449" spans="1:13" x14ac:dyDescent="0.35">
      <c r="A449" t="s">
        <v>20</v>
      </c>
      <c r="B449" t="s">
        <v>1</v>
      </c>
      <c r="C449" s="14">
        <v>32.5</v>
      </c>
      <c r="D449">
        <v>6</v>
      </c>
      <c r="E449">
        <v>372</v>
      </c>
      <c r="F449" t="s">
        <v>588</v>
      </c>
      <c r="G449" t="s">
        <v>590</v>
      </c>
      <c r="H449">
        <v>23</v>
      </c>
      <c r="I449">
        <v>2024</v>
      </c>
      <c r="J449" s="7">
        <v>0.71865740740740736</v>
      </c>
      <c r="K449" t="s">
        <v>301</v>
      </c>
      <c r="L449" t="s">
        <v>506</v>
      </c>
      <c r="M449" t="s">
        <v>118</v>
      </c>
    </row>
    <row r="450" spans="1:13" x14ac:dyDescent="0.35">
      <c r="A450" t="s">
        <v>44</v>
      </c>
      <c r="B450" t="s">
        <v>3</v>
      </c>
      <c r="C450" s="14">
        <v>32.5</v>
      </c>
      <c r="D450">
        <v>8</v>
      </c>
      <c r="E450">
        <v>634</v>
      </c>
      <c r="F450" t="s">
        <v>588</v>
      </c>
      <c r="G450" t="s">
        <v>590</v>
      </c>
      <c r="H450">
        <v>10</v>
      </c>
      <c r="I450">
        <v>2024</v>
      </c>
      <c r="J450" s="7">
        <v>0.43135416666666665</v>
      </c>
      <c r="K450" t="s">
        <v>291</v>
      </c>
      <c r="L450" t="s">
        <v>274</v>
      </c>
      <c r="M450" t="s">
        <v>118</v>
      </c>
    </row>
    <row r="451" spans="1:13" x14ac:dyDescent="0.35">
      <c r="A451" t="s">
        <v>237</v>
      </c>
      <c r="B451" t="s">
        <v>37</v>
      </c>
      <c r="C451" s="14">
        <v>32.619999999999997</v>
      </c>
      <c r="D451">
        <v>3</v>
      </c>
      <c r="E451">
        <v>242</v>
      </c>
      <c r="F451" t="s">
        <v>588</v>
      </c>
      <c r="G451" t="s">
        <v>590</v>
      </c>
      <c r="H451">
        <v>23</v>
      </c>
      <c r="I451">
        <v>2024</v>
      </c>
      <c r="J451" s="7">
        <v>0.39407407407407408</v>
      </c>
      <c r="K451" t="s">
        <v>290</v>
      </c>
      <c r="L451" t="s">
        <v>506</v>
      </c>
      <c r="M451" t="s">
        <v>118</v>
      </c>
    </row>
    <row r="452" spans="1:13" x14ac:dyDescent="0.35">
      <c r="A452" t="s">
        <v>15</v>
      </c>
      <c r="B452" t="s">
        <v>3</v>
      </c>
      <c r="C452" s="14">
        <v>32.85</v>
      </c>
      <c r="D452">
        <v>71</v>
      </c>
      <c r="E452">
        <v>8385</v>
      </c>
      <c r="F452" t="s">
        <v>589</v>
      </c>
      <c r="G452" t="s">
        <v>590</v>
      </c>
      <c r="H452">
        <v>17</v>
      </c>
      <c r="I452">
        <v>2024</v>
      </c>
      <c r="J452" s="7">
        <v>0.65399305555555554</v>
      </c>
      <c r="K452" t="s">
        <v>273</v>
      </c>
      <c r="L452" t="s">
        <v>274</v>
      </c>
      <c r="M452" t="s">
        <v>118</v>
      </c>
    </row>
    <row r="453" spans="1:13" x14ac:dyDescent="0.35">
      <c r="A453" t="s">
        <v>24</v>
      </c>
      <c r="B453" t="s">
        <v>3</v>
      </c>
      <c r="C453" s="14">
        <v>32.89</v>
      </c>
      <c r="D453">
        <v>96</v>
      </c>
      <c r="E453">
        <v>5032</v>
      </c>
      <c r="F453" t="s">
        <v>589</v>
      </c>
      <c r="G453" t="s">
        <v>590</v>
      </c>
      <c r="H453">
        <v>21</v>
      </c>
      <c r="I453">
        <v>2024</v>
      </c>
      <c r="J453" s="7">
        <v>0.33271990740740742</v>
      </c>
      <c r="K453" t="s">
        <v>291</v>
      </c>
      <c r="L453" t="s">
        <v>274</v>
      </c>
      <c r="M453" t="s">
        <v>118</v>
      </c>
    </row>
    <row r="454" spans="1:13" x14ac:dyDescent="0.35">
      <c r="A454" t="s">
        <v>66</v>
      </c>
      <c r="B454" t="s">
        <v>1</v>
      </c>
      <c r="C454" s="14">
        <v>32.89</v>
      </c>
      <c r="D454">
        <v>6</v>
      </c>
      <c r="E454">
        <v>61</v>
      </c>
      <c r="F454" t="s">
        <v>588</v>
      </c>
      <c r="G454" t="s">
        <v>590</v>
      </c>
      <c r="H454">
        <v>24</v>
      </c>
      <c r="I454">
        <v>2024</v>
      </c>
      <c r="J454" s="7">
        <v>0.1308101851851852</v>
      </c>
      <c r="K454" t="s">
        <v>509</v>
      </c>
      <c r="L454" t="s">
        <v>505</v>
      </c>
      <c r="M454" t="s">
        <v>118</v>
      </c>
    </row>
    <row r="455" spans="1:13" x14ac:dyDescent="0.35">
      <c r="A455" t="s">
        <v>55</v>
      </c>
      <c r="B455" t="s">
        <v>3</v>
      </c>
      <c r="C455" s="14">
        <v>32.89</v>
      </c>
      <c r="D455">
        <v>4</v>
      </c>
      <c r="E455">
        <v>5</v>
      </c>
      <c r="F455" t="s">
        <v>588</v>
      </c>
      <c r="G455" t="s">
        <v>590</v>
      </c>
      <c r="H455">
        <v>19</v>
      </c>
      <c r="I455">
        <v>2024</v>
      </c>
      <c r="J455" s="7">
        <v>0.38116898148148148</v>
      </c>
      <c r="K455" t="s">
        <v>509</v>
      </c>
      <c r="L455" t="s">
        <v>505</v>
      </c>
      <c r="M455" t="s">
        <v>118</v>
      </c>
    </row>
    <row r="456" spans="1:13" x14ac:dyDescent="0.35">
      <c r="A456" t="s">
        <v>91</v>
      </c>
      <c r="B456" t="s">
        <v>1</v>
      </c>
      <c r="C456" s="14">
        <v>32.89</v>
      </c>
      <c r="D456">
        <v>10</v>
      </c>
      <c r="E456">
        <v>8</v>
      </c>
      <c r="F456" t="s">
        <v>588</v>
      </c>
      <c r="G456" t="s">
        <v>590</v>
      </c>
      <c r="H456">
        <v>24</v>
      </c>
      <c r="I456">
        <v>2024</v>
      </c>
      <c r="J456" s="7">
        <v>0.3727314814814815</v>
      </c>
      <c r="K456" t="s">
        <v>509</v>
      </c>
      <c r="L456" t="s">
        <v>505</v>
      </c>
      <c r="M456" t="s">
        <v>118</v>
      </c>
    </row>
    <row r="457" spans="1:13" x14ac:dyDescent="0.35">
      <c r="A457" t="s">
        <v>135</v>
      </c>
      <c r="B457" t="s">
        <v>3</v>
      </c>
      <c r="C457" s="14">
        <v>32.950000000000003</v>
      </c>
      <c r="D457">
        <v>10</v>
      </c>
      <c r="E457">
        <v>217</v>
      </c>
      <c r="F457" t="s">
        <v>588</v>
      </c>
      <c r="G457" t="s">
        <v>590</v>
      </c>
      <c r="H457">
        <v>22</v>
      </c>
      <c r="I457">
        <v>2024</v>
      </c>
      <c r="J457" s="7">
        <v>0.40738425925925925</v>
      </c>
      <c r="K457" t="s">
        <v>454</v>
      </c>
      <c r="L457" t="s">
        <v>286</v>
      </c>
      <c r="M457" t="s">
        <v>118</v>
      </c>
    </row>
    <row r="458" spans="1:13" x14ac:dyDescent="0.35">
      <c r="A458" t="s">
        <v>27</v>
      </c>
      <c r="B458" t="s">
        <v>3</v>
      </c>
      <c r="C458" s="14">
        <v>32.97</v>
      </c>
      <c r="D458">
        <v>10</v>
      </c>
      <c r="E458">
        <v>5023</v>
      </c>
      <c r="F458" t="s">
        <v>589</v>
      </c>
      <c r="G458" t="s">
        <v>590</v>
      </c>
      <c r="H458">
        <v>24</v>
      </c>
      <c r="I458">
        <v>2024</v>
      </c>
      <c r="J458" s="7">
        <v>0.33181712962962961</v>
      </c>
      <c r="K458" t="s">
        <v>291</v>
      </c>
      <c r="L458" t="s">
        <v>274</v>
      </c>
      <c r="M458" t="s">
        <v>118</v>
      </c>
    </row>
    <row r="459" spans="1:13" x14ac:dyDescent="0.35">
      <c r="A459" t="s">
        <v>26</v>
      </c>
      <c r="B459" t="s">
        <v>3</v>
      </c>
      <c r="C459" s="14">
        <v>32.979999999999997</v>
      </c>
      <c r="D459">
        <v>8</v>
      </c>
      <c r="E459">
        <v>4427</v>
      </c>
      <c r="F459" t="s">
        <v>589</v>
      </c>
      <c r="G459" t="s">
        <v>590</v>
      </c>
      <c r="H459">
        <v>23</v>
      </c>
      <c r="I459">
        <v>2024</v>
      </c>
      <c r="J459" s="7">
        <v>0.99064814814814817</v>
      </c>
      <c r="K459" t="s">
        <v>290</v>
      </c>
      <c r="L459" t="s">
        <v>506</v>
      </c>
      <c r="M459" t="s">
        <v>118</v>
      </c>
    </row>
    <row r="460" spans="1:13" x14ac:dyDescent="0.35">
      <c r="A460" t="s">
        <v>232</v>
      </c>
      <c r="B460" t="s">
        <v>3</v>
      </c>
      <c r="C460" s="14">
        <v>32.979999999999997</v>
      </c>
      <c r="D460">
        <v>10</v>
      </c>
      <c r="E460">
        <v>6188</v>
      </c>
      <c r="F460" t="s">
        <v>589</v>
      </c>
      <c r="G460" t="s">
        <v>590</v>
      </c>
      <c r="H460">
        <v>23</v>
      </c>
      <c r="I460">
        <v>2024</v>
      </c>
      <c r="J460" s="7">
        <v>0.89216435185185183</v>
      </c>
      <c r="K460" t="s">
        <v>290</v>
      </c>
      <c r="L460" t="s">
        <v>506</v>
      </c>
      <c r="M460" t="s">
        <v>118</v>
      </c>
    </row>
    <row r="461" spans="1:13" x14ac:dyDescent="0.35">
      <c r="A461" t="s">
        <v>9</v>
      </c>
      <c r="B461" t="s">
        <v>3</v>
      </c>
      <c r="C461" s="14">
        <v>32.979999999999997</v>
      </c>
      <c r="D461">
        <v>5</v>
      </c>
      <c r="E461">
        <v>507</v>
      </c>
      <c r="F461" t="s">
        <v>588</v>
      </c>
      <c r="G461" t="s">
        <v>590</v>
      </c>
      <c r="H461">
        <v>22</v>
      </c>
      <c r="I461">
        <v>2024</v>
      </c>
      <c r="J461" s="7">
        <v>0.82535879629629627</v>
      </c>
      <c r="K461" t="s">
        <v>290</v>
      </c>
      <c r="L461" t="s">
        <v>506</v>
      </c>
      <c r="M461" t="s">
        <v>118</v>
      </c>
    </row>
    <row r="462" spans="1:13" x14ac:dyDescent="0.35">
      <c r="A462" t="s">
        <v>55</v>
      </c>
      <c r="B462" t="s">
        <v>3</v>
      </c>
      <c r="C462" s="14">
        <v>32.99</v>
      </c>
      <c r="D462">
        <v>456</v>
      </c>
      <c r="E462">
        <v>10</v>
      </c>
      <c r="F462" t="s">
        <v>588</v>
      </c>
      <c r="G462" t="s">
        <v>590</v>
      </c>
      <c r="H462">
        <v>23</v>
      </c>
      <c r="I462">
        <v>2024</v>
      </c>
      <c r="J462" s="7">
        <v>0.47871527777777778</v>
      </c>
      <c r="K462" t="s">
        <v>301</v>
      </c>
      <c r="L462" t="s">
        <v>506</v>
      </c>
      <c r="M462" t="s">
        <v>118</v>
      </c>
    </row>
    <row r="463" spans="1:13" x14ac:dyDescent="0.35">
      <c r="A463" t="s">
        <v>232</v>
      </c>
      <c r="B463" t="s">
        <v>3</v>
      </c>
      <c r="C463" s="14">
        <v>32.99</v>
      </c>
      <c r="D463">
        <v>0</v>
      </c>
      <c r="E463">
        <v>3</v>
      </c>
      <c r="F463" t="s">
        <v>588</v>
      </c>
      <c r="G463" t="s">
        <v>590</v>
      </c>
      <c r="H463">
        <v>16</v>
      </c>
      <c r="I463">
        <v>2024</v>
      </c>
      <c r="J463" s="7">
        <v>0.5306481481481482</v>
      </c>
      <c r="K463" t="s">
        <v>506</v>
      </c>
      <c r="L463" t="s">
        <v>505</v>
      </c>
      <c r="M463" t="s">
        <v>118</v>
      </c>
    </row>
    <row r="464" spans="1:13" x14ac:dyDescent="0.35">
      <c r="A464" t="s">
        <v>232</v>
      </c>
      <c r="B464" t="s">
        <v>3</v>
      </c>
      <c r="C464" s="14">
        <v>32.99</v>
      </c>
      <c r="D464">
        <v>2</v>
      </c>
      <c r="E464">
        <v>59</v>
      </c>
      <c r="F464" t="s">
        <v>588</v>
      </c>
      <c r="G464" t="s">
        <v>590</v>
      </c>
      <c r="H464">
        <v>24</v>
      </c>
      <c r="I464">
        <v>2024</v>
      </c>
      <c r="J464" s="7">
        <v>0.28340277777777778</v>
      </c>
      <c r="K464" t="s">
        <v>297</v>
      </c>
      <c r="L464" t="s">
        <v>266</v>
      </c>
      <c r="M464" t="s">
        <v>118</v>
      </c>
    </row>
    <row r="465" spans="1:13" x14ac:dyDescent="0.35">
      <c r="A465" t="s">
        <v>27</v>
      </c>
      <c r="B465" t="s">
        <v>3</v>
      </c>
      <c r="C465" s="14">
        <v>33</v>
      </c>
      <c r="D465">
        <v>2</v>
      </c>
      <c r="E465">
        <v>401</v>
      </c>
      <c r="F465" t="s">
        <v>588</v>
      </c>
      <c r="G465" t="s">
        <v>590</v>
      </c>
      <c r="H465">
        <v>23</v>
      </c>
      <c r="I465">
        <v>2024</v>
      </c>
      <c r="J465" s="7">
        <v>0.22870370370370371</v>
      </c>
      <c r="K465" t="s">
        <v>504</v>
      </c>
      <c r="L465" t="s">
        <v>282</v>
      </c>
      <c r="M465" t="s">
        <v>118</v>
      </c>
    </row>
    <row r="466" spans="1:13" x14ac:dyDescent="0.35">
      <c r="A466" t="s">
        <v>29</v>
      </c>
      <c r="B466" t="s">
        <v>3</v>
      </c>
      <c r="C466" s="14">
        <v>33.36</v>
      </c>
      <c r="D466">
        <v>113</v>
      </c>
      <c r="E466">
        <v>453</v>
      </c>
      <c r="F466" t="s">
        <v>588</v>
      </c>
      <c r="G466" t="s">
        <v>590</v>
      </c>
      <c r="H466">
        <v>20</v>
      </c>
      <c r="I466">
        <v>2024</v>
      </c>
      <c r="J466" s="7">
        <v>0.869537037037037</v>
      </c>
      <c r="K466" t="s">
        <v>291</v>
      </c>
      <c r="L466" t="s">
        <v>274</v>
      </c>
      <c r="M466" t="s">
        <v>118</v>
      </c>
    </row>
    <row r="467" spans="1:13" x14ac:dyDescent="0.35">
      <c r="A467" t="s">
        <v>10</v>
      </c>
      <c r="B467" t="s">
        <v>3</v>
      </c>
      <c r="C467" s="14">
        <v>33.369999999999997</v>
      </c>
      <c r="D467">
        <v>10</v>
      </c>
      <c r="E467">
        <v>400</v>
      </c>
      <c r="F467" t="s">
        <v>588</v>
      </c>
      <c r="G467" t="s">
        <v>590</v>
      </c>
      <c r="H467">
        <v>23</v>
      </c>
      <c r="I467">
        <v>2024</v>
      </c>
      <c r="J467" s="7">
        <v>0.48784722222222221</v>
      </c>
      <c r="K467" t="s">
        <v>290</v>
      </c>
      <c r="L467" t="s">
        <v>506</v>
      </c>
      <c r="M467" t="s">
        <v>118</v>
      </c>
    </row>
    <row r="468" spans="1:13" x14ac:dyDescent="0.35">
      <c r="A468" t="s">
        <v>30</v>
      </c>
      <c r="B468" t="s">
        <v>3</v>
      </c>
      <c r="C468" s="14">
        <v>33.450000000000003</v>
      </c>
      <c r="D468">
        <v>7</v>
      </c>
      <c r="E468">
        <v>1391</v>
      </c>
      <c r="F468" t="s">
        <v>589</v>
      </c>
      <c r="G468" t="s">
        <v>590</v>
      </c>
      <c r="H468">
        <v>23</v>
      </c>
      <c r="I468">
        <v>2024</v>
      </c>
      <c r="J468" s="7">
        <v>0.14276620370370371</v>
      </c>
      <c r="K468" t="s">
        <v>291</v>
      </c>
      <c r="L468" t="s">
        <v>274</v>
      </c>
      <c r="M468" t="s">
        <v>118</v>
      </c>
    </row>
    <row r="469" spans="1:13" x14ac:dyDescent="0.35">
      <c r="A469" t="s">
        <v>5</v>
      </c>
      <c r="B469" t="s">
        <v>1</v>
      </c>
      <c r="C469" s="14">
        <v>33.49</v>
      </c>
      <c r="D469">
        <v>0</v>
      </c>
      <c r="E469">
        <v>4</v>
      </c>
      <c r="F469" t="s">
        <v>588</v>
      </c>
      <c r="G469" t="s">
        <v>590</v>
      </c>
      <c r="H469">
        <v>20</v>
      </c>
      <c r="I469">
        <v>2024</v>
      </c>
      <c r="J469" s="7">
        <v>0.44488425925925928</v>
      </c>
      <c r="K469" t="s">
        <v>509</v>
      </c>
      <c r="L469" t="s">
        <v>505</v>
      </c>
      <c r="M469" t="s">
        <v>118</v>
      </c>
    </row>
    <row r="470" spans="1:13" x14ac:dyDescent="0.35">
      <c r="A470" t="s">
        <v>203</v>
      </c>
      <c r="B470" t="s">
        <v>3</v>
      </c>
      <c r="C470" s="14">
        <v>33.5</v>
      </c>
      <c r="D470">
        <v>0</v>
      </c>
      <c r="E470">
        <v>1511</v>
      </c>
      <c r="F470" t="s">
        <v>589</v>
      </c>
      <c r="G470" t="s">
        <v>590</v>
      </c>
      <c r="H470">
        <v>22</v>
      </c>
      <c r="I470">
        <v>2024</v>
      </c>
      <c r="J470" s="7">
        <v>0.68953703703703706</v>
      </c>
      <c r="K470" t="s">
        <v>509</v>
      </c>
      <c r="L470" t="s">
        <v>505</v>
      </c>
      <c r="M470" t="s">
        <v>118</v>
      </c>
    </row>
    <row r="471" spans="1:13" x14ac:dyDescent="0.35">
      <c r="A471" t="s">
        <v>20</v>
      </c>
      <c r="B471" t="s">
        <v>1</v>
      </c>
      <c r="C471" s="14">
        <v>33.700000000000003</v>
      </c>
      <c r="D471">
        <v>620</v>
      </c>
      <c r="E471">
        <v>131</v>
      </c>
      <c r="F471" t="s">
        <v>588</v>
      </c>
      <c r="G471" t="s">
        <v>590</v>
      </c>
      <c r="H471">
        <v>21</v>
      </c>
      <c r="I471">
        <v>2024</v>
      </c>
      <c r="J471" s="7">
        <v>0.58395833333333336</v>
      </c>
      <c r="K471" t="s">
        <v>291</v>
      </c>
      <c r="L471" t="s">
        <v>274</v>
      </c>
      <c r="M471" t="s">
        <v>118</v>
      </c>
    </row>
    <row r="472" spans="1:13" x14ac:dyDescent="0.35">
      <c r="A472" t="s">
        <v>36</v>
      </c>
      <c r="B472" t="s">
        <v>37</v>
      </c>
      <c r="C472" s="14">
        <v>33.950000000000003</v>
      </c>
      <c r="D472">
        <v>10</v>
      </c>
      <c r="E472">
        <v>464</v>
      </c>
      <c r="F472" t="s">
        <v>588</v>
      </c>
      <c r="G472" t="s">
        <v>590</v>
      </c>
      <c r="H472">
        <v>24</v>
      </c>
      <c r="I472">
        <v>2024</v>
      </c>
      <c r="J472" s="7">
        <v>0.26847222222222222</v>
      </c>
      <c r="K472" t="s">
        <v>298</v>
      </c>
      <c r="L472" t="s">
        <v>299</v>
      </c>
      <c r="M472" t="s">
        <v>118</v>
      </c>
    </row>
    <row r="473" spans="1:13" x14ac:dyDescent="0.35">
      <c r="A473" t="s">
        <v>73</v>
      </c>
      <c r="B473" t="s">
        <v>261</v>
      </c>
      <c r="C473" s="14">
        <v>33.99</v>
      </c>
      <c r="D473">
        <v>52</v>
      </c>
      <c r="E473">
        <v>6634</v>
      </c>
      <c r="F473" t="s">
        <v>589</v>
      </c>
      <c r="G473" t="s">
        <v>590</v>
      </c>
      <c r="H473">
        <v>22</v>
      </c>
      <c r="I473">
        <v>2024</v>
      </c>
      <c r="J473" s="7">
        <v>0.41863425925925923</v>
      </c>
      <c r="K473" t="s">
        <v>291</v>
      </c>
      <c r="L473" t="s">
        <v>274</v>
      </c>
      <c r="M473" t="s">
        <v>118</v>
      </c>
    </row>
    <row r="474" spans="1:13" x14ac:dyDescent="0.35">
      <c r="A474" t="s">
        <v>10</v>
      </c>
      <c r="B474" t="s">
        <v>3</v>
      </c>
      <c r="C474" s="14">
        <v>33.99</v>
      </c>
      <c r="D474">
        <v>10</v>
      </c>
      <c r="E474">
        <v>573</v>
      </c>
      <c r="F474" t="s">
        <v>588</v>
      </c>
      <c r="G474" t="s">
        <v>590</v>
      </c>
      <c r="H474">
        <v>24</v>
      </c>
      <c r="I474">
        <v>2024</v>
      </c>
      <c r="J474" s="7">
        <v>0.34001157407407406</v>
      </c>
      <c r="K474" t="s">
        <v>325</v>
      </c>
      <c r="L474" t="s">
        <v>266</v>
      </c>
      <c r="M474" t="s">
        <v>118</v>
      </c>
    </row>
    <row r="475" spans="1:13" x14ac:dyDescent="0.35">
      <c r="A475" t="s">
        <v>27</v>
      </c>
      <c r="B475" t="s">
        <v>3</v>
      </c>
      <c r="C475" s="14">
        <v>33.99</v>
      </c>
      <c r="D475">
        <v>311</v>
      </c>
      <c r="E475">
        <v>89</v>
      </c>
      <c r="F475" t="s">
        <v>588</v>
      </c>
      <c r="G475" t="s">
        <v>590</v>
      </c>
      <c r="H475">
        <v>24</v>
      </c>
      <c r="I475">
        <v>2024</v>
      </c>
      <c r="J475" s="7">
        <v>0.24556712962962962</v>
      </c>
      <c r="K475" t="s">
        <v>407</v>
      </c>
      <c r="L475" t="s">
        <v>266</v>
      </c>
      <c r="M475" t="s">
        <v>118</v>
      </c>
    </row>
    <row r="476" spans="1:13" x14ac:dyDescent="0.35">
      <c r="A476" t="s">
        <v>15</v>
      </c>
      <c r="B476" t="s">
        <v>1</v>
      </c>
      <c r="C476" s="14">
        <v>33.99</v>
      </c>
      <c r="D476">
        <v>10</v>
      </c>
      <c r="E476">
        <v>2</v>
      </c>
      <c r="F476" t="s">
        <v>588</v>
      </c>
      <c r="G476" t="s">
        <v>590</v>
      </c>
      <c r="H476">
        <v>19</v>
      </c>
      <c r="I476">
        <v>2024</v>
      </c>
      <c r="J476" s="7">
        <v>0.76696759259259262</v>
      </c>
      <c r="K476" t="s">
        <v>285</v>
      </c>
      <c r="L476" t="s">
        <v>286</v>
      </c>
      <c r="M476" t="s">
        <v>118</v>
      </c>
    </row>
    <row r="477" spans="1:13" x14ac:dyDescent="0.35">
      <c r="A477" t="s">
        <v>20</v>
      </c>
      <c r="B477" t="s">
        <v>1</v>
      </c>
      <c r="C477" s="14">
        <v>34.5</v>
      </c>
      <c r="D477">
        <v>59</v>
      </c>
      <c r="E477">
        <v>16</v>
      </c>
      <c r="F477" t="s">
        <v>588</v>
      </c>
      <c r="G477" t="s">
        <v>590</v>
      </c>
      <c r="H477">
        <v>24</v>
      </c>
      <c r="I477">
        <v>2024</v>
      </c>
      <c r="J477" s="7">
        <v>0.4125462962962963</v>
      </c>
      <c r="K477" t="s">
        <v>291</v>
      </c>
      <c r="L477" t="s">
        <v>274</v>
      </c>
      <c r="M477" t="s">
        <v>118</v>
      </c>
    </row>
    <row r="478" spans="1:13" x14ac:dyDescent="0.35">
      <c r="A478" t="s">
        <v>206</v>
      </c>
      <c r="B478" t="s">
        <v>45</v>
      </c>
      <c r="C478" s="14">
        <v>34.68</v>
      </c>
      <c r="D478">
        <v>0</v>
      </c>
      <c r="E478">
        <v>2</v>
      </c>
      <c r="F478" t="s">
        <v>588</v>
      </c>
      <c r="G478" t="s">
        <v>239</v>
      </c>
      <c r="H478">
        <v>0</v>
      </c>
      <c r="I478">
        <v>0</v>
      </c>
      <c r="J478" s="7">
        <v>0</v>
      </c>
      <c r="K478" t="s">
        <v>334</v>
      </c>
      <c r="L478" t="s">
        <v>274</v>
      </c>
      <c r="M478" t="s">
        <v>118</v>
      </c>
    </row>
    <row r="479" spans="1:13" x14ac:dyDescent="0.35">
      <c r="A479" t="s">
        <v>229</v>
      </c>
      <c r="B479" t="s">
        <v>3</v>
      </c>
      <c r="C479" s="14">
        <v>34.72</v>
      </c>
      <c r="D479">
        <v>2</v>
      </c>
      <c r="E479">
        <v>627</v>
      </c>
      <c r="F479" t="s">
        <v>588</v>
      </c>
      <c r="G479" t="s">
        <v>590</v>
      </c>
      <c r="H479">
        <v>24</v>
      </c>
      <c r="I479">
        <v>2024</v>
      </c>
      <c r="J479" s="7">
        <v>0.43065972222222221</v>
      </c>
      <c r="K479" t="s">
        <v>291</v>
      </c>
      <c r="L479" t="s">
        <v>274</v>
      </c>
      <c r="M479" t="s">
        <v>118</v>
      </c>
    </row>
    <row r="480" spans="1:13" x14ac:dyDescent="0.35">
      <c r="A480" t="s">
        <v>15</v>
      </c>
      <c r="B480" t="s">
        <v>1</v>
      </c>
      <c r="C480" s="14">
        <v>34.840000000000003</v>
      </c>
      <c r="D480">
        <v>5</v>
      </c>
      <c r="E480">
        <v>4460</v>
      </c>
      <c r="F480" t="s">
        <v>589</v>
      </c>
      <c r="G480" t="s">
        <v>590</v>
      </c>
      <c r="H480">
        <v>24</v>
      </c>
      <c r="I480">
        <v>2024</v>
      </c>
      <c r="J480" s="7">
        <v>0.31431712962962965</v>
      </c>
      <c r="K480" t="s">
        <v>290</v>
      </c>
      <c r="L480" t="s">
        <v>506</v>
      </c>
      <c r="M480" t="s">
        <v>118</v>
      </c>
    </row>
    <row r="481" spans="1:13" x14ac:dyDescent="0.35">
      <c r="A481" t="s">
        <v>51</v>
      </c>
      <c r="B481" t="s">
        <v>3</v>
      </c>
      <c r="C481" s="14">
        <v>34.979999999999997</v>
      </c>
      <c r="D481">
        <v>3</v>
      </c>
      <c r="E481">
        <v>849</v>
      </c>
      <c r="F481" t="s">
        <v>588</v>
      </c>
      <c r="G481" t="s">
        <v>590</v>
      </c>
      <c r="H481">
        <v>23</v>
      </c>
      <c r="I481">
        <v>2024</v>
      </c>
      <c r="J481" s="7">
        <v>0.76518518518518519</v>
      </c>
      <c r="K481" t="s">
        <v>290</v>
      </c>
      <c r="L481" t="s">
        <v>506</v>
      </c>
      <c r="M481" t="s">
        <v>118</v>
      </c>
    </row>
    <row r="482" spans="1:13" x14ac:dyDescent="0.35">
      <c r="A482" t="s">
        <v>9</v>
      </c>
      <c r="B482" t="s">
        <v>3</v>
      </c>
      <c r="C482" s="14">
        <v>34.99</v>
      </c>
      <c r="D482">
        <v>4</v>
      </c>
      <c r="E482">
        <v>615</v>
      </c>
      <c r="F482" t="s">
        <v>588</v>
      </c>
      <c r="G482" t="s">
        <v>590</v>
      </c>
      <c r="H482">
        <v>24</v>
      </c>
      <c r="I482">
        <v>2024</v>
      </c>
      <c r="J482" s="7">
        <v>0.32873842592592595</v>
      </c>
      <c r="K482" t="s">
        <v>279</v>
      </c>
      <c r="L482" t="s">
        <v>266</v>
      </c>
      <c r="M482" t="s">
        <v>118</v>
      </c>
    </row>
    <row r="483" spans="1:13" x14ac:dyDescent="0.35">
      <c r="A483" t="s">
        <v>12</v>
      </c>
      <c r="B483" t="s">
        <v>3</v>
      </c>
      <c r="C483" s="14">
        <v>34.99</v>
      </c>
      <c r="D483">
        <v>10</v>
      </c>
      <c r="E483">
        <v>136</v>
      </c>
      <c r="F483" t="s">
        <v>588</v>
      </c>
      <c r="G483" t="s">
        <v>590</v>
      </c>
      <c r="H483">
        <v>24</v>
      </c>
      <c r="I483">
        <v>2024</v>
      </c>
      <c r="J483" s="7">
        <v>1.7013888888888888E-3</v>
      </c>
      <c r="K483" t="s">
        <v>280</v>
      </c>
      <c r="L483" t="s">
        <v>266</v>
      </c>
      <c r="M483" t="s">
        <v>118</v>
      </c>
    </row>
    <row r="484" spans="1:13" x14ac:dyDescent="0.35">
      <c r="A484" t="s">
        <v>9</v>
      </c>
      <c r="B484" t="s">
        <v>3</v>
      </c>
      <c r="C484" s="14">
        <v>34.99</v>
      </c>
      <c r="D484">
        <v>10</v>
      </c>
      <c r="E484">
        <v>225</v>
      </c>
      <c r="F484" t="s">
        <v>588</v>
      </c>
      <c r="G484" t="s">
        <v>590</v>
      </c>
      <c r="H484">
        <v>24</v>
      </c>
      <c r="I484">
        <v>2024</v>
      </c>
      <c r="J484" s="7">
        <v>0.23878472222222222</v>
      </c>
      <c r="K484" t="s">
        <v>328</v>
      </c>
      <c r="L484" t="s">
        <v>266</v>
      </c>
      <c r="M484" t="s">
        <v>118</v>
      </c>
    </row>
    <row r="485" spans="1:13" x14ac:dyDescent="0.35">
      <c r="A485" t="s">
        <v>27</v>
      </c>
      <c r="B485" t="s">
        <v>3</v>
      </c>
      <c r="C485" s="14">
        <v>34.99</v>
      </c>
      <c r="D485">
        <v>9</v>
      </c>
      <c r="E485">
        <v>17</v>
      </c>
      <c r="F485" t="s">
        <v>588</v>
      </c>
      <c r="G485" t="s">
        <v>590</v>
      </c>
      <c r="H485">
        <v>23</v>
      </c>
      <c r="I485">
        <v>2024</v>
      </c>
      <c r="J485" s="7">
        <v>0.4367361111111111</v>
      </c>
      <c r="K485" t="s">
        <v>328</v>
      </c>
      <c r="L485" t="s">
        <v>266</v>
      </c>
      <c r="M485" t="s">
        <v>118</v>
      </c>
    </row>
    <row r="486" spans="1:13" x14ac:dyDescent="0.35">
      <c r="A486" t="s">
        <v>9</v>
      </c>
      <c r="B486" t="s">
        <v>3</v>
      </c>
      <c r="C486" s="14">
        <v>34.99</v>
      </c>
      <c r="D486">
        <v>3</v>
      </c>
      <c r="E486">
        <v>457</v>
      </c>
      <c r="F486" t="s">
        <v>588</v>
      </c>
      <c r="G486" t="s">
        <v>590</v>
      </c>
      <c r="H486">
        <v>21</v>
      </c>
      <c r="I486">
        <v>2024</v>
      </c>
      <c r="J486" s="7">
        <v>0.40914351851851855</v>
      </c>
      <c r="K486" t="s">
        <v>325</v>
      </c>
      <c r="L486" t="s">
        <v>266</v>
      </c>
      <c r="M486" t="s">
        <v>118</v>
      </c>
    </row>
    <row r="487" spans="1:13" x14ac:dyDescent="0.35">
      <c r="A487" t="s">
        <v>81</v>
      </c>
      <c r="B487" t="s">
        <v>1</v>
      </c>
      <c r="C487" s="14">
        <v>34.99</v>
      </c>
      <c r="D487">
        <v>10</v>
      </c>
      <c r="E487">
        <v>9</v>
      </c>
      <c r="F487" t="s">
        <v>588</v>
      </c>
      <c r="G487" t="s">
        <v>590</v>
      </c>
      <c r="H487">
        <v>23</v>
      </c>
      <c r="I487">
        <v>2024</v>
      </c>
      <c r="J487" s="7">
        <v>0.90688657407407403</v>
      </c>
      <c r="K487" t="s">
        <v>301</v>
      </c>
      <c r="L487" t="s">
        <v>506</v>
      </c>
      <c r="M487" t="s">
        <v>118</v>
      </c>
    </row>
    <row r="488" spans="1:13" x14ac:dyDescent="0.35">
      <c r="A488" t="s">
        <v>106</v>
      </c>
      <c r="B488" t="s">
        <v>1</v>
      </c>
      <c r="C488" s="14">
        <v>34.99</v>
      </c>
      <c r="D488">
        <v>5</v>
      </c>
      <c r="E488">
        <v>4</v>
      </c>
      <c r="F488" t="s">
        <v>588</v>
      </c>
      <c r="G488" t="s">
        <v>239</v>
      </c>
      <c r="H488">
        <v>0</v>
      </c>
      <c r="I488">
        <v>0</v>
      </c>
      <c r="J488" s="7">
        <v>0</v>
      </c>
      <c r="K488" t="s">
        <v>419</v>
      </c>
      <c r="L488" t="s">
        <v>315</v>
      </c>
      <c r="M488" t="s">
        <v>118</v>
      </c>
    </row>
    <row r="489" spans="1:13" x14ac:dyDescent="0.35">
      <c r="A489" t="s">
        <v>233</v>
      </c>
      <c r="B489" t="s">
        <v>1</v>
      </c>
      <c r="C489" s="14">
        <v>34.99</v>
      </c>
      <c r="D489">
        <v>10</v>
      </c>
      <c r="E489">
        <v>19</v>
      </c>
      <c r="F489" t="s">
        <v>588</v>
      </c>
      <c r="G489" t="s">
        <v>590</v>
      </c>
      <c r="H489">
        <v>24</v>
      </c>
      <c r="I489">
        <v>2024</v>
      </c>
      <c r="J489" s="7">
        <v>0.32170138888888888</v>
      </c>
      <c r="K489" t="s">
        <v>509</v>
      </c>
      <c r="L489" t="s">
        <v>505</v>
      </c>
      <c r="M489" t="s">
        <v>118</v>
      </c>
    </row>
    <row r="490" spans="1:13" x14ac:dyDescent="0.35">
      <c r="A490" t="s">
        <v>9</v>
      </c>
      <c r="B490" t="s">
        <v>3</v>
      </c>
      <c r="C490" s="14">
        <v>34.99</v>
      </c>
      <c r="D490">
        <v>2</v>
      </c>
      <c r="E490">
        <v>31</v>
      </c>
      <c r="F490" t="s">
        <v>588</v>
      </c>
      <c r="G490" t="s">
        <v>590</v>
      </c>
      <c r="H490">
        <v>18</v>
      </c>
      <c r="I490">
        <v>2024</v>
      </c>
      <c r="J490" s="7">
        <v>0.36496527777777776</v>
      </c>
      <c r="K490" t="s">
        <v>271</v>
      </c>
      <c r="L490" t="s">
        <v>266</v>
      </c>
      <c r="M490" t="s">
        <v>118</v>
      </c>
    </row>
    <row r="491" spans="1:13" x14ac:dyDescent="0.35">
      <c r="A491" t="s">
        <v>10</v>
      </c>
      <c r="B491" t="s">
        <v>3</v>
      </c>
      <c r="C491" s="14">
        <v>34.99</v>
      </c>
      <c r="D491">
        <v>0</v>
      </c>
      <c r="E491">
        <v>48</v>
      </c>
      <c r="F491" t="s">
        <v>588</v>
      </c>
      <c r="G491" t="s">
        <v>590</v>
      </c>
      <c r="H491">
        <v>12</v>
      </c>
      <c r="I491">
        <v>2024</v>
      </c>
      <c r="J491" s="7">
        <v>0.39038194444444446</v>
      </c>
      <c r="K491" t="s">
        <v>292</v>
      </c>
      <c r="L491" t="s">
        <v>317</v>
      </c>
      <c r="M491" t="s">
        <v>333</v>
      </c>
    </row>
    <row r="492" spans="1:13" x14ac:dyDescent="0.35">
      <c r="A492" t="s">
        <v>38</v>
      </c>
      <c r="B492" t="s">
        <v>1</v>
      </c>
      <c r="C492" s="14">
        <v>34.99</v>
      </c>
      <c r="D492">
        <v>2</v>
      </c>
      <c r="E492">
        <v>3</v>
      </c>
      <c r="F492" t="s">
        <v>588</v>
      </c>
      <c r="G492" t="s">
        <v>590</v>
      </c>
      <c r="H492">
        <v>21</v>
      </c>
      <c r="I492">
        <v>2024</v>
      </c>
      <c r="J492" s="7">
        <v>0.80671296296296291</v>
      </c>
      <c r="K492" t="s">
        <v>273</v>
      </c>
      <c r="L492" t="s">
        <v>274</v>
      </c>
      <c r="M492" t="s">
        <v>118</v>
      </c>
    </row>
    <row r="493" spans="1:13" x14ac:dyDescent="0.35">
      <c r="A493" t="s">
        <v>93</v>
      </c>
      <c r="B493" t="s">
        <v>3</v>
      </c>
      <c r="C493" s="14">
        <v>34.99</v>
      </c>
      <c r="D493">
        <v>10</v>
      </c>
      <c r="E493">
        <v>577</v>
      </c>
      <c r="F493" t="s">
        <v>588</v>
      </c>
      <c r="G493" t="s">
        <v>590</v>
      </c>
      <c r="H493">
        <v>17</v>
      </c>
      <c r="I493">
        <v>2024</v>
      </c>
      <c r="J493" s="7">
        <v>0.51231481481481478</v>
      </c>
      <c r="K493" t="s">
        <v>334</v>
      </c>
      <c r="L493" t="s">
        <v>274</v>
      </c>
      <c r="M493" t="s">
        <v>118</v>
      </c>
    </row>
    <row r="494" spans="1:13" x14ac:dyDescent="0.35">
      <c r="A494" t="s">
        <v>160</v>
      </c>
      <c r="B494" t="s">
        <v>37</v>
      </c>
      <c r="C494" s="14">
        <v>34.99</v>
      </c>
      <c r="D494">
        <v>8</v>
      </c>
      <c r="E494">
        <v>1</v>
      </c>
      <c r="F494" t="s">
        <v>588</v>
      </c>
      <c r="G494" t="s">
        <v>596</v>
      </c>
      <c r="H494">
        <v>12</v>
      </c>
      <c r="I494">
        <v>2023</v>
      </c>
      <c r="J494" s="7">
        <v>0.51273148148148151</v>
      </c>
      <c r="K494" t="s">
        <v>501</v>
      </c>
      <c r="L494" t="s">
        <v>266</v>
      </c>
      <c r="M494" t="s">
        <v>118</v>
      </c>
    </row>
    <row r="495" spans="1:13" x14ac:dyDescent="0.35">
      <c r="A495" t="s">
        <v>80</v>
      </c>
      <c r="B495" t="s">
        <v>1</v>
      </c>
      <c r="C495" s="14">
        <v>35</v>
      </c>
      <c r="D495">
        <v>10</v>
      </c>
      <c r="E495">
        <v>36</v>
      </c>
      <c r="F495" t="s">
        <v>588</v>
      </c>
      <c r="G495" t="s">
        <v>591</v>
      </c>
      <c r="H495">
        <v>30</v>
      </c>
      <c r="I495">
        <v>2024</v>
      </c>
      <c r="J495" s="7">
        <v>0.37252314814814813</v>
      </c>
      <c r="K495" t="s">
        <v>275</v>
      </c>
      <c r="L495" t="s">
        <v>506</v>
      </c>
      <c r="M495" t="s">
        <v>118</v>
      </c>
    </row>
    <row r="496" spans="1:13" x14ac:dyDescent="0.35">
      <c r="A496" t="s">
        <v>37</v>
      </c>
      <c r="B496" t="s">
        <v>37</v>
      </c>
      <c r="C496" s="14">
        <v>35</v>
      </c>
      <c r="D496">
        <v>10</v>
      </c>
      <c r="E496">
        <v>8</v>
      </c>
      <c r="F496" t="s">
        <v>588</v>
      </c>
      <c r="G496" t="s">
        <v>239</v>
      </c>
      <c r="H496">
        <v>0</v>
      </c>
      <c r="I496">
        <v>0</v>
      </c>
      <c r="J496" s="7">
        <v>0</v>
      </c>
      <c r="K496" t="s">
        <v>446</v>
      </c>
      <c r="L496" t="s">
        <v>447</v>
      </c>
      <c r="M496" t="s">
        <v>118</v>
      </c>
    </row>
    <row r="497" spans="1:13" x14ac:dyDescent="0.35">
      <c r="A497" t="s">
        <v>37</v>
      </c>
      <c r="B497" t="s">
        <v>3</v>
      </c>
      <c r="C497" s="14">
        <v>35</v>
      </c>
      <c r="D497">
        <v>10</v>
      </c>
      <c r="E497">
        <v>214</v>
      </c>
      <c r="F497" t="s">
        <v>588</v>
      </c>
      <c r="G497" t="s">
        <v>590</v>
      </c>
      <c r="H497">
        <v>24</v>
      </c>
      <c r="I497">
        <v>2024</v>
      </c>
      <c r="J497" s="7">
        <v>5.9467592592592593E-2</v>
      </c>
      <c r="K497" t="s">
        <v>461</v>
      </c>
      <c r="L497" t="s">
        <v>434</v>
      </c>
      <c r="M497" t="s">
        <v>118</v>
      </c>
    </row>
    <row r="498" spans="1:13" x14ac:dyDescent="0.35">
      <c r="A498" t="s">
        <v>66</v>
      </c>
      <c r="B498" t="s">
        <v>1</v>
      </c>
      <c r="C498" s="14">
        <v>35.58</v>
      </c>
      <c r="D498">
        <v>0</v>
      </c>
      <c r="E498">
        <v>1024</v>
      </c>
      <c r="F498" t="s">
        <v>589</v>
      </c>
      <c r="G498" t="s">
        <v>590</v>
      </c>
      <c r="H498">
        <v>16</v>
      </c>
      <c r="I498">
        <v>2024</v>
      </c>
      <c r="J498" s="7">
        <v>0.35900462962962965</v>
      </c>
      <c r="K498" t="s">
        <v>291</v>
      </c>
      <c r="L498" t="s">
        <v>274</v>
      </c>
      <c r="M498" t="s">
        <v>118</v>
      </c>
    </row>
    <row r="499" spans="1:13" x14ac:dyDescent="0.35">
      <c r="A499" t="s">
        <v>63</v>
      </c>
      <c r="B499" t="s">
        <v>1</v>
      </c>
      <c r="C499" s="14">
        <v>35.619999999999997</v>
      </c>
      <c r="D499">
        <v>0</v>
      </c>
      <c r="E499">
        <v>454</v>
      </c>
      <c r="F499" t="s">
        <v>588</v>
      </c>
      <c r="G499" t="s">
        <v>590</v>
      </c>
      <c r="H499">
        <v>22</v>
      </c>
      <c r="I499">
        <v>2024</v>
      </c>
      <c r="J499" s="7">
        <v>0.55210648148148145</v>
      </c>
      <c r="K499" t="s">
        <v>291</v>
      </c>
      <c r="L499" t="s">
        <v>274</v>
      </c>
      <c r="M499" t="s">
        <v>118</v>
      </c>
    </row>
    <row r="500" spans="1:13" x14ac:dyDescent="0.35">
      <c r="A500" t="s">
        <v>235</v>
      </c>
      <c r="B500" t="s">
        <v>37</v>
      </c>
      <c r="C500" s="14">
        <v>35.68</v>
      </c>
      <c r="D500">
        <v>10</v>
      </c>
      <c r="E500">
        <v>12</v>
      </c>
      <c r="F500" t="s">
        <v>588</v>
      </c>
      <c r="G500" t="s">
        <v>239</v>
      </c>
      <c r="H500">
        <v>0</v>
      </c>
      <c r="I500">
        <v>0</v>
      </c>
      <c r="J500" s="7">
        <v>0</v>
      </c>
      <c r="K500" t="s">
        <v>350</v>
      </c>
      <c r="L500" t="s">
        <v>315</v>
      </c>
      <c r="M500" t="s">
        <v>118</v>
      </c>
    </row>
    <row r="501" spans="1:13" x14ac:dyDescent="0.35">
      <c r="A501" t="s">
        <v>10</v>
      </c>
      <c r="B501" t="s">
        <v>1</v>
      </c>
      <c r="C501" s="14">
        <v>35.71</v>
      </c>
      <c r="D501">
        <v>10</v>
      </c>
      <c r="E501">
        <v>36</v>
      </c>
      <c r="F501" t="s">
        <v>588</v>
      </c>
      <c r="G501" t="s">
        <v>590</v>
      </c>
      <c r="H501">
        <v>24</v>
      </c>
      <c r="I501">
        <v>2024</v>
      </c>
      <c r="J501" s="7">
        <v>0.29089120370370369</v>
      </c>
      <c r="K501" t="s">
        <v>509</v>
      </c>
      <c r="L501" t="s">
        <v>505</v>
      </c>
      <c r="M501" t="s">
        <v>118</v>
      </c>
    </row>
    <row r="502" spans="1:13" x14ac:dyDescent="0.35">
      <c r="A502" t="s">
        <v>24</v>
      </c>
      <c r="B502" t="s">
        <v>1</v>
      </c>
      <c r="C502" s="14">
        <v>35.71</v>
      </c>
      <c r="D502">
        <v>226</v>
      </c>
      <c r="E502">
        <v>30</v>
      </c>
      <c r="F502" t="s">
        <v>588</v>
      </c>
      <c r="G502" t="s">
        <v>590</v>
      </c>
      <c r="H502">
        <v>24</v>
      </c>
      <c r="I502">
        <v>2024</v>
      </c>
      <c r="J502" s="7">
        <v>0.25589120370370372</v>
      </c>
      <c r="K502" t="s">
        <v>509</v>
      </c>
      <c r="L502" t="s">
        <v>505</v>
      </c>
      <c r="M502" t="s">
        <v>118</v>
      </c>
    </row>
    <row r="503" spans="1:13" x14ac:dyDescent="0.35">
      <c r="A503" t="s">
        <v>12</v>
      </c>
      <c r="B503" t="s">
        <v>3</v>
      </c>
      <c r="C503" s="14">
        <v>35.99</v>
      </c>
      <c r="D503">
        <v>383</v>
      </c>
      <c r="E503">
        <v>43</v>
      </c>
      <c r="F503" t="s">
        <v>588</v>
      </c>
      <c r="G503" t="s">
        <v>590</v>
      </c>
      <c r="H503">
        <v>24</v>
      </c>
      <c r="I503">
        <v>2024</v>
      </c>
      <c r="J503" s="7">
        <v>9.6643518518518511E-3</v>
      </c>
      <c r="K503" t="s">
        <v>292</v>
      </c>
      <c r="L503" t="s">
        <v>282</v>
      </c>
      <c r="M503" t="s">
        <v>118</v>
      </c>
    </row>
    <row r="504" spans="1:13" x14ac:dyDescent="0.35">
      <c r="A504" t="s">
        <v>12</v>
      </c>
      <c r="B504" t="s">
        <v>3</v>
      </c>
      <c r="C504" s="14">
        <v>35.99</v>
      </c>
      <c r="D504">
        <v>3</v>
      </c>
      <c r="E504">
        <v>221</v>
      </c>
      <c r="F504" t="s">
        <v>588</v>
      </c>
      <c r="G504" t="s">
        <v>590</v>
      </c>
      <c r="H504">
        <v>24</v>
      </c>
      <c r="I504">
        <v>2024</v>
      </c>
      <c r="J504" s="7">
        <v>3.2800925925925928E-2</v>
      </c>
      <c r="K504" t="s">
        <v>510</v>
      </c>
      <c r="L504" t="s">
        <v>506</v>
      </c>
      <c r="M504" t="s">
        <v>537</v>
      </c>
    </row>
    <row r="505" spans="1:13" x14ac:dyDescent="0.35">
      <c r="A505" t="s">
        <v>9</v>
      </c>
      <c r="B505" t="s">
        <v>3</v>
      </c>
      <c r="C505" s="14">
        <v>35.99</v>
      </c>
      <c r="D505">
        <v>2</v>
      </c>
      <c r="E505">
        <v>4520</v>
      </c>
      <c r="F505" t="s">
        <v>589</v>
      </c>
      <c r="G505" t="s">
        <v>590</v>
      </c>
      <c r="H505">
        <v>24</v>
      </c>
      <c r="I505">
        <v>2024</v>
      </c>
      <c r="J505" s="7">
        <v>0.37317129629629631</v>
      </c>
      <c r="K505" t="s">
        <v>290</v>
      </c>
      <c r="L505" t="s">
        <v>506</v>
      </c>
      <c r="M505" t="s">
        <v>118</v>
      </c>
    </row>
    <row r="506" spans="1:13" x14ac:dyDescent="0.35">
      <c r="A506" t="s">
        <v>11</v>
      </c>
      <c r="B506" t="s">
        <v>3</v>
      </c>
      <c r="C506" s="14">
        <v>35.99</v>
      </c>
      <c r="D506">
        <v>84</v>
      </c>
      <c r="E506">
        <v>51</v>
      </c>
      <c r="F506" t="s">
        <v>588</v>
      </c>
      <c r="G506" t="s">
        <v>590</v>
      </c>
      <c r="H506">
        <v>23</v>
      </c>
      <c r="I506">
        <v>2024</v>
      </c>
      <c r="J506" s="7">
        <v>0.8245717592592593</v>
      </c>
      <c r="K506" t="s">
        <v>506</v>
      </c>
      <c r="L506" t="s">
        <v>294</v>
      </c>
      <c r="M506" t="s">
        <v>333</v>
      </c>
    </row>
    <row r="507" spans="1:13" x14ac:dyDescent="0.35">
      <c r="A507" t="s">
        <v>2</v>
      </c>
      <c r="B507" t="s">
        <v>1</v>
      </c>
      <c r="C507" s="14">
        <v>35.99</v>
      </c>
      <c r="D507">
        <v>10</v>
      </c>
      <c r="E507">
        <v>27</v>
      </c>
      <c r="F507" t="s">
        <v>588</v>
      </c>
      <c r="G507" t="s">
        <v>590</v>
      </c>
      <c r="H507">
        <v>23</v>
      </c>
      <c r="I507">
        <v>2024</v>
      </c>
      <c r="J507" s="7">
        <v>0.8371643518518519</v>
      </c>
      <c r="K507" t="s">
        <v>344</v>
      </c>
      <c r="L507" t="s">
        <v>277</v>
      </c>
      <c r="M507" t="s">
        <v>118</v>
      </c>
    </row>
    <row r="508" spans="1:13" x14ac:dyDescent="0.35">
      <c r="A508" t="s">
        <v>11</v>
      </c>
      <c r="B508" t="s">
        <v>3</v>
      </c>
      <c r="C508" s="14">
        <v>35.99</v>
      </c>
      <c r="D508">
        <v>51</v>
      </c>
      <c r="E508">
        <v>46</v>
      </c>
      <c r="F508" t="s">
        <v>588</v>
      </c>
      <c r="G508" t="s">
        <v>590</v>
      </c>
      <c r="H508">
        <v>23</v>
      </c>
      <c r="I508">
        <v>2024</v>
      </c>
      <c r="J508" s="7">
        <v>0.73149305555555555</v>
      </c>
      <c r="K508" t="s">
        <v>506</v>
      </c>
      <c r="L508" t="s">
        <v>118</v>
      </c>
      <c r="M508" t="s">
        <v>379</v>
      </c>
    </row>
    <row r="509" spans="1:13" x14ac:dyDescent="0.35">
      <c r="A509" t="s">
        <v>38</v>
      </c>
      <c r="B509" t="s">
        <v>1</v>
      </c>
      <c r="C509" s="14">
        <v>35.99</v>
      </c>
      <c r="D509">
        <v>10</v>
      </c>
      <c r="E509">
        <v>3</v>
      </c>
      <c r="F509" t="s">
        <v>588</v>
      </c>
      <c r="G509" t="s">
        <v>590</v>
      </c>
      <c r="H509">
        <v>11</v>
      </c>
      <c r="I509">
        <v>2024</v>
      </c>
      <c r="J509" s="7">
        <v>0.16056712962962963</v>
      </c>
      <c r="K509" t="s">
        <v>554</v>
      </c>
      <c r="L509" t="s">
        <v>267</v>
      </c>
      <c r="M509" t="s">
        <v>118</v>
      </c>
    </row>
    <row r="510" spans="1:13" x14ac:dyDescent="0.35">
      <c r="A510" t="s">
        <v>81</v>
      </c>
      <c r="B510" t="s">
        <v>3</v>
      </c>
      <c r="C510" s="14">
        <v>36.15</v>
      </c>
      <c r="D510">
        <v>66</v>
      </c>
      <c r="E510">
        <v>7592</v>
      </c>
      <c r="F510" t="s">
        <v>589</v>
      </c>
      <c r="G510" t="s">
        <v>590</v>
      </c>
      <c r="H510">
        <v>24</v>
      </c>
      <c r="I510">
        <v>2024</v>
      </c>
      <c r="J510" s="7">
        <v>7.1747685185185192E-2</v>
      </c>
      <c r="K510" t="s">
        <v>291</v>
      </c>
      <c r="L510" t="s">
        <v>274</v>
      </c>
      <c r="M510" t="s">
        <v>118</v>
      </c>
    </row>
    <row r="511" spans="1:13" x14ac:dyDescent="0.35">
      <c r="A511" t="s">
        <v>17</v>
      </c>
      <c r="B511" t="s">
        <v>3</v>
      </c>
      <c r="C511" s="14">
        <v>36.36</v>
      </c>
      <c r="D511">
        <v>44</v>
      </c>
      <c r="E511">
        <v>771</v>
      </c>
      <c r="F511" t="s">
        <v>588</v>
      </c>
      <c r="G511" t="s">
        <v>590</v>
      </c>
      <c r="H511">
        <v>23</v>
      </c>
      <c r="I511">
        <v>2024</v>
      </c>
      <c r="J511" s="7">
        <v>0.54325231481481484</v>
      </c>
      <c r="K511" t="s">
        <v>291</v>
      </c>
      <c r="L511" t="s">
        <v>274</v>
      </c>
      <c r="M511" t="s">
        <v>118</v>
      </c>
    </row>
    <row r="512" spans="1:13" x14ac:dyDescent="0.35">
      <c r="A512" t="s">
        <v>4</v>
      </c>
      <c r="B512" t="s">
        <v>3</v>
      </c>
      <c r="C512" s="14">
        <v>36.5</v>
      </c>
      <c r="D512">
        <v>10</v>
      </c>
      <c r="E512">
        <v>185</v>
      </c>
      <c r="F512" t="s">
        <v>588</v>
      </c>
      <c r="G512" t="s">
        <v>590</v>
      </c>
      <c r="H512">
        <v>23</v>
      </c>
      <c r="I512">
        <v>2024</v>
      </c>
      <c r="J512" s="7">
        <v>0.97222222222222221</v>
      </c>
      <c r="K512" t="s">
        <v>494</v>
      </c>
      <c r="L512" t="s">
        <v>266</v>
      </c>
      <c r="M512" t="s">
        <v>118</v>
      </c>
    </row>
    <row r="513" spans="1:13" x14ac:dyDescent="0.35">
      <c r="A513" t="s">
        <v>13</v>
      </c>
      <c r="B513" t="s">
        <v>3</v>
      </c>
      <c r="C513" s="14">
        <v>36.65</v>
      </c>
      <c r="D513">
        <v>3</v>
      </c>
      <c r="E513">
        <v>11</v>
      </c>
      <c r="F513" t="s">
        <v>588</v>
      </c>
      <c r="G513" t="s">
        <v>590</v>
      </c>
      <c r="H513">
        <v>23</v>
      </c>
      <c r="I513">
        <v>2024</v>
      </c>
      <c r="J513" s="7">
        <v>0.43116898148148147</v>
      </c>
      <c r="K513" t="s">
        <v>509</v>
      </c>
      <c r="L513" t="s">
        <v>505</v>
      </c>
      <c r="M513" t="s">
        <v>118</v>
      </c>
    </row>
    <row r="514" spans="1:13" x14ac:dyDescent="0.35">
      <c r="A514" t="s">
        <v>252</v>
      </c>
      <c r="B514" t="s">
        <v>1</v>
      </c>
      <c r="C514" s="14">
        <v>36.67</v>
      </c>
      <c r="D514">
        <v>37</v>
      </c>
      <c r="E514">
        <v>169</v>
      </c>
      <c r="F514" t="s">
        <v>588</v>
      </c>
      <c r="G514" t="s">
        <v>590</v>
      </c>
      <c r="H514">
        <v>24</v>
      </c>
      <c r="I514">
        <v>2024</v>
      </c>
      <c r="J514" s="7">
        <v>0.33247685185185183</v>
      </c>
      <c r="K514" t="s">
        <v>301</v>
      </c>
      <c r="L514" t="s">
        <v>506</v>
      </c>
      <c r="M514" t="s">
        <v>118</v>
      </c>
    </row>
    <row r="515" spans="1:13" x14ac:dyDescent="0.35">
      <c r="A515" t="s">
        <v>44</v>
      </c>
      <c r="B515" t="s">
        <v>45</v>
      </c>
      <c r="C515" s="14">
        <v>36.68</v>
      </c>
      <c r="D515">
        <v>10</v>
      </c>
      <c r="E515">
        <v>9</v>
      </c>
      <c r="F515" t="s">
        <v>588</v>
      </c>
      <c r="G515" t="s">
        <v>590</v>
      </c>
      <c r="H515">
        <v>22</v>
      </c>
      <c r="I515">
        <v>2024</v>
      </c>
      <c r="J515" s="7">
        <v>0.78400462962962958</v>
      </c>
      <c r="K515" t="s">
        <v>334</v>
      </c>
      <c r="L515" t="s">
        <v>274</v>
      </c>
      <c r="M515" t="s">
        <v>118</v>
      </c>
    </row>
    <row r="516" spans="1:13" x14ac:dyDescent="0.35">
      <c r="A516" t="s">
        <v>211</v>
      </c>
      <c r="B516" t="s">
        <v>45</v>
      </c>
      <c r="C516" s="14">
        <v>36.68</v>
      </c>
      <c r="D516">
        <v>5</v>
      </c>
      <c r="E516">
        <v>1</v>
      </c>
      <c r="F516" t="s">
        <v>588</v>
      </c>
      <c r="G516" t="s">
        <v>239</v>
      </c>
      <c r="H516">
        <v>0</v>
      </c>
      <c r="I516">
        <v>0</v>
      </c>
      <c r="J516" s="7">
        <v>0</v>
      </c>
      <c r="K516" t="s">
        <v>334</v>
      </c>
      <c r="L516" t="s">
        <v>274</v>
      </c>
      <c r="M516" t="s">
        <v>118</v>
      </c>
    </row>
    <row r="517" spans="1:13" x14ac:dyDescent="0.35">
      <c r="A517" t="s">
        <v>63</v>
      </c>
      <c r="B517" t="s">
        <v>1</v>
      </c>
      <c r="C517" s="14">
        <v>36.81</v>
      </c>
      <c r="D517">
        <v>10</v>
      </c>
      <c r="E517">
        <v>1234</v>
      </c>
      <c r="F517" t="s">
        <v>589</v>
      </c>
      <c r="G517" t="s">
        <v>590</v>
      </c>
      <c r="H517">
        <v>24</v>
      </c>
      <c r="I517">
        <v>2024</v>
      </c>
      <c r="J517" s="7">
        <v>0.39078703703703704</v>
      </c>
      <c r="K517" t="s">
        <v>291</v>
      </c>
      <c r="L517" t="s">
        <v>274</v>
      </c>
      <c r="M517" t="s">
        <v>118</v>
      </c>
    </row>
    <row r="518" spans="1:13" x14ac:dyDescent="0.35">
      <c r="A518" t="s">
        <v>12</v>
      </c>
      <c r="B518" t="s">
        <v>3</v>
      </c>
      <c r="C518" s="14">
        <v>36.880000000000003</v>
      </c>
      <c r="D518">
        <v>10</v>
      </c>
      <c r="E518">
        <v>19899</v>
      </c>
      <c r="F518" t="s">
        <v>589</v>
      </c>
      <c r="G518" t="s">
        <v>590</v>
      </c>
      <c r="H518">
        <v>24</v>
      </c>
      <c r="I518">
        <v>2024</v>
      </c>
      <c r="J518" s="7">
        <v>0.40062500000000001</v>
      </c>
      <c r="K518" t="s">
        <v>290</v>
      </c>
      <c r="L518" t="s">
        <v>506</v>
      </c>
      <c r="M518" t="s">
        <v>118</v>
      </c>
    </row>
    <row r="519" spans="1:13" x14ac:dyDescent="0.35">
      <c r="A519" t="s">
        <v>15</v>
      </c>
      <c r="B519" t="s">
        <v>1</v>
      </c>
      <c r="C519" s="14">
        <v>36.950000000000003</v>
      </c>
      <c r="D519">
        <v>4</v>
      </c>
      <c r="E519">
        <v>109</v>
      </c>
      <c r="F519" t="s">
        <v>588</v>
      </c>
      <c r="G519" t="s">
        <v>590</v>
      </c>
      <c r="H519">
        <v>16</v>
      </c>
      <c r="I519">
        <v>2024</v>
      </c>
      <c r="J519" s="7">
        <v>0.38429398148148147</v>
      </c>
      <c r="K519" t="s">
        <v>291</v>
      </c>
      <c r="L519" t="s">
        <v>274</v>
      </c>
      <c r="M519" t="s">
        <v>118</v>
      </c>
    </row>
    <row r="520" spans="1:13" x14ac:dyDescent="0.35">
      <c r="A520" t="s">
        <v>15</v>
      </c>
      <c r="B520" t="s">
        <v>1</v>
      </c>
      <c r="C520" s="14">
        <v>36.950000000000003</v>
      </c>
      <c r="D520">
        <v>0</v>
      </c>
      <c r="E520">
        <v>120</v>
      </c>
      <c r="F520" t="s">
        <v>588</v>
      </c>
      <c r="G520" t="s">
        <v>590</v>
      </c>
      <c r="H520">
        <v>20</v>
      </c>
      <c r="I520">
        <v>2024</v>
      </c>
      <c r="J520" s="7">
        <v>0.88659722222222226</v>
      </c>
      <c r="K520" t="s">
        <v>291</v>
      </c>
      <c r="L520" t="s">
        <v>274</v>
      </c>
      <c r="M520" t="s">
        <v>118</v>
      </c>
    </row>
    <row r="521" spans="1:13" x14ac:dyDescent="0.35">
      <c r="A521" t="s">
        <v>10</v>
      </c>
      <c r="B521" t="s">
        <v>3</v>
      </c>
      <c r="C521" s="14">
        <v>36.99</v>
      </c>
      <c r="D521">
        <v>4</v>
      </c>
      <c r="E521">
        <v>98</v>
      </c>
      <c r="F521" t="s">
        <v>588</v>
      </c>
      <c r="G521" t="s">
        <v>590</v>
      </c>
      <c r="H521">
        <v>23</v>
      </c>
      <c r="I521">
        <v>2024</v>
      </c>
      <c r="J521" s="7">
        <v>1.2592592592592593E-2</v>
      </c>
      <c r="K521" t="s">
        <v>293</v>
      </c>
      <c r="L521" t="s">
        <v>505</v>
      </c>
      <c r="M521" t="s">
        <v>118</v>
      </c>
    </row>
    <row r="522" spans="1:13" x14ac:dyDescent="0.35">
      <c r="A522" t="s">
        <v>27</v>
      </c>
      <c r="B522" t="s">
        <v>3</v>
      </c>
      <c r="C522" s="14">
        <v>36.99</v>
      </c>
      <c r="D522">
        <v>3</v>
      </c>
      <c r="E522">
        <v>257</v>
      </c>
      <c r="F522" t="s">
        <v>588</v>
      </c>
      <c r="G522" t="s">
        <v>590</v>
      </c>
      <c r="H522">
        <v>24</v>
      </c>
      <c r="I522">
        <v>2024</v>
      </c>
      <c r="J522" s="7">
        <v>0.25503472222222223</v>
      </c>
      <c r="K522" t="s">
        <v>332</v>
      </c>
      <c r="L522" t="s">
        <v>309</v>
      </c>
      <c r="M522" t="s">
        <v>118</v>
      </c>
    </row>
    <row r="523" spans="1:13" x14ac:dyDescent="0.35">
      <c r="A523" t="s">
        <v>12</v>
      </c>
      <c r="B523" t="s">
        <v>1</v>
      </c>
      <c r="C523" s="14">
        <v>36.99</v>
      </c>
      <c r="D523">
        <v>0</v>
      </c>
      <c r="E523">
        <v>37</v>
      </c>
      <c r="F523" t="s">
        <v>588</v>
      </c>
      <c r="G523" t="s">
        <v>590</v>
      </c>
      <c r="H523">
        <v>24</v>
      </c>
      <c r="I523">
        <v>2024</v>
      </c>
      <c r="J523" s="7">
        <v>1.1111111111111112E-2</v>
      </c>
      <c r="K523" t="s">
        <v>365</v>
      </c>
      <c r="L523" t="s">
        <v>348</v>
      </c>
      <c r="M523" t="s">
        <v>537</v>
      </c>
    </row>
    <row r="524" spans="1:13" x14ac:dyDescent="0.35">
      <c r="A524" t="s">
        <v>23</v>
      </c>
      <c r="B524" t="s">
        <v>3</v>
      </c>
      <c r="C524" s="14">
        <v>36.99</v>
      </c>
      <c r="D524">
        <v>0</v>
      </c>
      <c r="E524">
        <v>32</v>
      </c>
      <c r="F524" t="s">
        <v>588</v>
      </c>
      <c r="G524" t="s">
        <v>590</v>
      </c>
      <c r="H524">
        <v>22</v>
      </c>
      <c r="I524">
        <v>2024</v>
      </c>
      <c r="J524" s="7">
        <v>0.85943287037037042</v>
      </c>
      <c r="K524" t="s">
        <v>335</v>
      </c>
      <c r="L524" t="s">
        <v>282</v>
      </c>
      <c r="M524" t="s">
        <v>118</v>
      </c>
    </row>
    <row r="525" spans="1:13" x14ac:dyDescent="0.35">
      <c r="A525" t="s">
        <v>9</v>
      </c>
      <c r="B525" t="s">
        <v>3</v>
      </c>
      <c r="C525" s="14">
        <v>36.99</v>
      </c>
      <c r="D525">
        <v>8</v>
      </c>
      <c r="E525">
        <v>7</v>
      </c>
      <c r="F525" t="s">
        <v>588</v>
      </c>
      <c r="G525" t="s">
        <v>590</v>
      </c>
      <c r="H525">
        <v>23</v>
      </c>
      <c r="I525">
        <v>2024</v>
      </c>
      <c r="J525" s="7">
        <v>0.40653935185185186</v>
      </c>
      <c r="K525" t="s">
        <v>287</v>
      </c>
      <c r="L525" t="s">
        <v>266</v>
      </c>
      <c r="M525" t="s">
        <v>118</v>
      </c>
    </row>
    <row r="526" spans="1:13" x14ac:dyDescent="0.35">
      <c r="A526" t="s">
        <v>9</v>
      </c>
      <c r="B526" t="s">
        <v>3</v>
      </c>
      <c r="C526" s="14">
        <v>36.99</v>
      </c>
      <c r="D526">
        <v>10</v>
      </c>
      <c r="E526">
        <v>39</v>
      </c>
      <c r="F526" t="s">
        <v>588</v>
      </c>
      <c r="G526" t="s">
        <v>590</v>
      </c>
      <c r="H526">
        <v>24</v>
      </c>
      <c r="I526">
        <v>2024</v>
      </c>
      <c r="J526" s="7">
        <v>0.40756944444444443</v>
      </c>
      <c r="K526" t="s">
        <v>278</v>
      </c>
      <c r="L526" t="s">
        <v>266</v>
      </c>
      <c r="M526" t="s">
        <v>118</v>
      </c>
    </row>
    <row r="527" spans="1:13" x14ac:dyDescent="0.35">
      <c r="A527" t="s">
        <v>39</v>
      </c>
      <c r="B527" t="s">
        <v>1</v>
      </c>
      <c r="C527" s="14">
        <v>36.99</v>
      </c>
      <c r="D527">
        <v>10</v>
      </c>
      <c r="E527">
        <v>12</v>
      </c>
      <c r="F527" t="s">
        <v>588</v>
      </c>
      <c r="G527" t="s">
        <v>590</v>
      </c>
      <c r="H527">
        <v>23</v>
      </c>
      <c r="I527">
        <v>2024</v>
      </c>
      <c r="J527" s="7">
        <v>0.82413194444444449</v>
      </c>
      <c r="K527" t="s">
        <v>344</v>
      </c>
      <c r="L527" t="s">
        <v>277</v>
      </c>
      <c r="M527" t="s">
        <v>118</v>
      </c>
    </row>
    <row r="528" spans="1:13" x14ac:dyDescent="0.35">
      <c r="A528" t="s">
        <v>250</v>
      </c>
      <c r="B528" t="s">
        <v>3</v>
      </c>
      <c r="C528" s="14">
        <v>36.99</v>
      </c>
      <c r="D528">
        <v>2</v>
      </c>
      <c r="E528">
        <v>16</v>
      </c>
      <c r="F528" t="s">
        <v>588</v>
      </c>
      <c r="G528" t="s">
        <v>590</v>
      </c>
      <c r="H528">
        <v>23</v>
      </c>
      <c r="I528">
        <v>2024</v>
      </c>
      <c r="J528" s="7">
        <v>0.87298611111111113</v>
      </c>
      <c r="K528" t="s">
        <v>329</v>
      </c>
      <c r="L528" t="s">
        <v>274</v>
      </c>
      <c r="M528" t="s">
        <v>118</v>
      </c>
    </row>
    <row r="529" spans="1:13" x14ac:dyDescent="0.35">
      <c r="A529" t="s">
        <v>157</v>
      </c>
      <c r="B529" t="s">
        <v>3</v>
      </c>
      <c r="C529" s="14">
        <v>37</v>
      </c>
      <c r="D529">
        <v>3</v>
      </c>
      <c r="E529">
        <v>60</v>
      </c>
      <c r="F529" t="s">
        <v>588</v>
      </c>
      <c r="G529" t="s">
        <v>590</v>
      </c>
      <c r="H529">
        <v>21</v>
      </c>
      <c r="I529">
        <v>2024</v>
      </c>
      <c r="J529" s="7">
        <v>0.31430555555555556</v>
      </c>
      <c r="K529" t="s">
        <v>384</v>
      </c>
      <c r="L529" t="s">
        <v>383</v>
      </c>
      <c r="M529" t="s">
        <v>537</v>
      </c>
    </row>
    <row r="530" spans="1:13" x14ac:dyDescent="0.35">
      <c r="A530" t="s">
        <v>48</v>
      </c>
      <c r="B530" t="s">
        <v>1</v>
      </c>
      <c r="C530" s="14">
        <v>37.5</v>
      </c>
      <c r="D530">
        <v>4</v>
      </c>
      <c r="E530">
        <v>30</v>
      </c>
      <c r="F530" t="s">
        <v>588</v>
      </c>
      <c r="G530" t="s">
        <v>590</v>
      </c>
      <c r="H530">
        <v>22</v>
      </c>
      <c r="I530">
        <v>2024</v>
      </c>
      <c r="J530" s="7">
        <v>0.20196759259259259</v>
      </c>
      <c r="K530" t="s">
        <v>338</v>
      </c>
      <c r="L530" t="s">
        <v>506</v>
      </c>
      <c r="M530" t="s">
        <v>118</v>
      </c>
    </row>
    <row r="531" spans="1:13" x14ac:dyDescent="0.35">
      <c r="A531" t="s">
        <v>27</v>
      </c>
      <c r="B531" t="s">
        <v>1</v>
      </c>
      <c r="C531" s="14">
        <v>37.590000000000003</v>
      </c>
      <c r="D531">
        <v>10</v>
      </c>
      <c r="E531">
        <v>78</v>
      </c>
      <c r="F531" t="s">
        <v>588</v>
      </c>
      <c r="G531" t="s">
        <v>591</v>
      </c>
      <c r="H531">
        <v>12</v>
      </c>
      <c r="I531">
        <v>2024</v>
      </c>
      <c r="J531" s="7">
        <v>0.39858796296296295</v>
      </c>
      <c r="K531" t="s">
        <v>301</v>
      </c>
      <c r="L531" t="s">
        <v>506</v>
      </c>
      <c r="M531" t="s">
        <v>118</v>
      </c>
    </row>
    <row r="532" spans="1:13" x14ac:dyDescent="0.35">
      <c r="A532" t="s">
        <v>4</v>
      </c>
      <c r="B532" t="s">
        <v>3</v>
      </c>
      <c r="C532" s="14">
        <v>37.799999999999997</v>
      </c>
      <c r="D532">
        <v>10</v>
      </c>
      <c r="E532">
        <v>300</v>
      </c>
      <c r="F532" t="s">
        <v>588</v>
      </c>
      <c r="G532" t="s">
        <v>590</v>
      </c>
      <c r="H532">
        <v>23</v>
      </c>
      <c r="I532">
        <v>2024</v>
      </c>
      <c r="J532" s="7">
        <v>0.3910763888888889</v>
      </c>
      <c r="K532" t="s">
        <v>313</v>
      </c>
      <c r="L532" t="s">
        <v>506</v>
      </c>
      <c r="M532" t="s">
        <v>118</v>
      </c>
    </row>
    <row r="533" spans="1:13" x14ac:dyDescent="0.35">
      <c r="A533" t="s">
        <v>20</v>
      </c>
      <c r="B533" t="s">
        <v>1</v>
      </c>
      <c r="C533" s="14">
        <v>37.89</v>
      </c>
      <c r="D533">
        <v>0</v>
      </c>
      <c r="E533">
        <v>1242</v>
      </c>
      <c r="F533" t="s">
        <v>589</v>
      </c>
      <c r="G533" t="s">
        <v>590</v>
      </c>
      <c r="H533">
        <v>24</v>
      </c>
      <c r="I533">
        <v>2024</v>
      </c>
      <c r="J533" s="7">
        <v>0.28825231481481484</v>
      </c>
      <c r="K533" t="s">
        <v>290</v>
      </c>
      <c r="L533" t="s">
        <v>506</v>
      </c>
      <c r="M533" t="s">
        <v>118</v>
      </c>
    </row>
    <row r="534" spans="1:13" x14ac:dyDescent="0.35">
      <c r="A534" t="s">
        <v>4</v>
      </c>
      <c r="B534" t="s">
        <v>3</v>
      </c>
      <c r="C534" s="14">
        <v>37.950000000000003</v>
      </c>
      <c r="D534">
        <v>6</v>
      </c>
      <c r="E534">
        <v>20</v>
      </c>
      <c r="F534" t="s">
        <v>588</v>
      </c>
      <c r="G534" t="s">
        <v>590</v>
      </c>
      <c r="H534">
        <v>20</v>
      </c>
      <c r="I534">
        <v>2024</v>
      </c>
      <c r="J534" s="7">
        <v>0.24344907407407407</v>
      </c>
      <c r="K534" t="s">
        <v>280</v>
      </c>
      <c r="L534" t="s">
        <v>266</v>
      </c>
      <c r="M534" t="s">
        <v>118</v>
      </c>
    </row>
    <row r="535" spans="1:13" x14ac:dyDescent="0.35">
      <c r="A535" t="s">
        <v>58</v>
      </c>
      <c r="B535" t="s">
        <v>3</v>
      </c>
      <c r="C535" s="14">
        <v>37.979999999999997</v>
      </c>
      <c r="D535">
        <v>10</v>
      </c>
      <c r="E535">
        <v>612</v>
      </c>
      <c r="F535" t="s">
        <v>588</v>
      </c>
      <c r="G535" t="s">
        <v>590</v>
      </c>
      <c r="H535">
        <v>21</v>
      </c>
      <c r="I535">
        <v>2024</v>
      </c>
      <c r="J535" s="7">
        <v>0.76427083333333334</v>
      </c>
      <c r="K535" t="s">
        <v>290</v>
      </c>
      <c r="L535" t="s">
        <v>506</v>
      </c>
      <c r="M535" t="s">
        <v>118</v>
      </c>
    </row>
    <row r="536" spans="1:13" x14ac:dyDescent="0.35">
      <c r="A536" t="s">
        <v>14</v>
      </c>
      <c r="B536" t="s">
        <v>1</v>
      </c>
      <c r="C536" s="14">
        <v>37.99</v>
      </c>
      <c r="D536">
        <v>2</v>
      </c>
      <c r="E536">
        <v>44</v>
      </c>
      <c r="F536" t="s">
        <v>588</v>
      </c>
      <c r="G536" t="s">
        <v>590</v>
      </c>
      <c r="H536">
        <v>24</v>
      </c>
      <c r="I536">
        <v>2024</v>
      </c>
      <c r="J536" s="7">
        <v>0.34355324074074073</v>
      </c>
      <c r="K536" t="s">
        <v>285</v>
      </c>
      <c r="L536" t="s">
        <v>286</v>
      </c>
      <c r="M536" t="s">
        <v>118</v>
      </c>
    </row>
    <row r="537" spans="1:13" x14ac:dyDescent="0.35">
      <c r="A537" t="s">
        <v>12</v>
      </c>
      <c r="B537" t="s">
        <v>3</v>
      </c>
      <c r="C537" s="14">
        <v>37.99</v>
      </c>
      <c r="D537">
        <v>10</v>
      </c>
      <c r="E537">
        <v>26</v>
      </c>
      <c r="F537" t="s">
        <v>588</v>
      </c>
      <c r="G537" t="s">
        <v>592</v>
      </c>
      <c r="H537">
        <v>1</v>
      </c>
      <c r="I537">
        <v>2024</v>
      </c>
      <c r="J537" s="7">
        <v>0.47783564814814816</v>
      </c>
      <c r="K537" t="s">
        <v>285</v>
      </c>
      <c r="L537" t="s">
        <v>286</v>
      </c>
      <c r="M537" t="s">
        <v>118</v>
      </c>
    </row>
    <row r="538" spans="1:13" x14ac:dyDescent="0.35">
      <c r="A538" t="s">
        <v>107</v>
      </c>
      <c r="B538" t="s">
        <v>3</v>
      </c>
      <c r="C538" s="14">
        <v>37.99</v>
      </c>
      <c r="D538">
        <v>10</v>
      </c>
      <c r="E538">
        <v>2</v>
      </c>
      <c r="F538" t="s">
        <v>588</v>
      </c>
      <c r="G538" t="s">
        <v>590</v>
      </c>
      <c r="H538">
        <v>22</v>
      </c>
      <c r="I538">
        <v>2024</v>
      </c>
      <c r="J538" s="7">
        <v>0.94239583333333332</v>
      </c>
      <c r="K538" t="s">
        <v>369</v>
      </c>
      <c r="L538" t="s">
        <v>506</v>
      </c>
      <c r="M538" t="s">
        <v>118</v>
      </c>
    </row>
    <row r="539" spans="1:13" x14ac:dyDescent="0.35">
      <c r="A539" t="s">
        <v>234</v>
      </c>
      <c r="B539" t="s">
        <v>3</v>
      </c>
      <c r="C539" s="14">
        <v>38</v>
      </c>
      <c r="D539">
        <v>8</v>
      </c>
      <c r="E539">
        <v>42</v>
      </c>
      <c r="F539" t="s">
        <v>588</v>
      </c>
      <c r="G539" t="s">
        <v>590</v>
      </c>
      <c r="H539">
        <v>8</v>
      </c>
      <c r="I539">
        <v>2024</v>
      </c>
      <c r="J539" s="7">
        <v>0.1542476851851852</v>
      </c>
      <c r="K539" t="s">
        <v>462</v>
      </c>
      <c r="L539" t="s">
        <v>463</v>
      </c>
      <c r="M539" t="s">
        <v>333</v>
      </c>
    </row>
    <row r="540" spans="1:13" x14ac:dyDescent="0.35">
      <c r="A540" t="s">
        <v>25</v>
      </c>
      <c r="B540" t="s">
        <v>1</v>
      </c>
      <c r="C540" s="14">
        <v>38</v>
      </c>
      <c r="D540">
        <v>29</v>
      </c>
      <c r="E540">
        <v>12</v>
      </c>
      <c r="F540" t="s">
        <v>588</v>
      </c>
      <c r="G540" t="s">
        <v>590</v>
      </c>
      <c r="H540">
        <v>17</v>
      </c>
      <c r="I540">
        <v>2024</v>
      </c>
      <c r="J540" s="7">
        <v>0.76086805555555559</v>
      </c>
      <c r="K540" t="s">
        <v>557</v>
      </c>
      <c r="L540" t="s">
        <v>486</v>
      </c>
      <c r="M540" t="s">
        <v>538</v>
      </c>
    </row>
    <row r="541" spans="1:13" x14ac:dyDescent="0.35">
      <c r="A541" t="s">
        <v>51</v>
      </c>
      <c r="B541" t="s">
        <v>3</v>
      </c>
      <c r="C541" s="14">
        <v>38.24</v>
      </c>
      <c r="D541">
        <v>65</v>
      </c>
      <c r="E541">
        <v>13549</v>
      </c>
      <c r="F541" t="s">
        <v>589</v>
      </c>
      <c r="G541" t="s">
        <v>590</v>
      </c>
      <c r="H541">
        <v>24</v>
      </c>
      <c r="I541">
        <v>2024</v>
      </c>
      <c r="J541" s="7">
        <v>0.43540509259259258</v>
      </c>
      <c r="K541" t="s">
        <v>290</v>
      </c>
      <c r="L541" t="s">
        <v>506</v>
      </c>
      <c r="M541" t="s">
        <v>118</v>
      </c>
    </row>
    <row r="542" spans="1:13" x14ac:dyDescent="0.35">
      <c r="A542" t="s">
        <v>4</v>
      </c>
      <c r="B542" t="s">
        <v>3</v>
      </c>
      <c r="C542" s="14">
        <v>38.25</v>
      </c>
      <c r="D542">
        <v>2</v>
      </c>
      <c r="E542">
        <v>363</v>
      </c>
      <c r="F542" t="s">
        <v>588</v>
      </c>
      <c r="G542" t="s">
        <v>590</v>
      </c>
      <c r="H542">
        <v>23</v>
      </c>
      <c r="I542">
        <v>2024</v>
      </c>
      <c r="J542" s="7">
        <v>0.31907407407407407</v>
      </c>
      <c r="K542" t="s">
        <v>279</v>
      </c>
      <c r="L542" t="s">
        <v>266</v>
      </c>
      <c r="M542" t="s">
        <v>118</v>
      </c>
    </row>
    <row r="543" spans="1:13" x14ac:dyDescent="0.35">
      <c r="A543" t="s">
        <v>4</v>
      </c>
      <c r="B543" t="s">
        <v>3</v>
      </c>
      <c r="C543" s="14">
        <v>38.25</v>
      </c>
      <c r="D543">
        <v>2</v>
      </c>
      <c r="E543">
        <v>8</v>
      </c>
      <c r="F543" t="s">
        <v>588</v>
      </c>
      <c r="G543" t="s">
        <v>590</v>
      </c>
      <c r="H543">
        <v>23</v>
      </c>
      <c r="I543">
        <v>2024</v>
      </c>
      <c r="J543" s="7">
        <v>0.32555555555555554</v>
      </c>
      <c r="K543" t="s">
        <v>414</v>
      </c>
      <c r="L543" t="s">
        <v>266</v>
      </c>
      <c r="M543" t="s">
        <v>118</v>
      </c>
    </row>
    <row r="544" spans="1:13" x14ac:dyDescent="0.35">
      <c r="A544" t="s">
        <v>20</v>
      </c>
      <c r="B544" t="s">
        <v>1</v>
      </c>
      <c r="C544" s="14">
        <v>38.409999999999997</v>
      </c>
      <c r="D544">
        <v>5</v>
      </c>
      <c r="E544">
        <v>147</v>
      </c>
      <c r="F544" t="s">
        <v>588</v>
      </c>
      <c r="G544" t="s">
        <v>590</v>
      </c>
      <c r="H544">
        <v>24</v>
      </c>
      <c r="I544">
        <v>2024</v>
      </c>
      <c r="J544" s="7">
        <v>0.43134259259259261</v>
      </c>
      <c r="K544" t="s">
        <v>301</v>
      </c>
      <c r="L544" t="s">
        <v>506</v>
      </c>
      <c r="M544" t="s">
        <v>118</v>
      </c>
    </row>
    <row r="545" spans="1:13" x14ac:dyDescent="0.35">
      <c r="A545" t="s">
        <v>74</v>
      </c>
      <c r="B545" t="s">
        <v>1</v>
      </c>
      <c r="C545" s="14">
        <v>38.53</v>
      </c>
      <c r="D545">
        <v>10</v>
      </c>
      <c r="E545">
        <v>33</v>
      </c>
      <c r="F545" t="s">
        <v>588</v>
      </c>
      <c r="G545" t="s">
        <v>590</v>
      </c>
      <c r="H545">
        <v>23</v>
      </c>
      <c r="I545">
        <v>2024</v>
      </c>
      <c r="J545" s="7">
        <v>0.39777777777777779</v>
      </c>
      <c r="K545" t="s">
        <v>509</v>
      </c>
      <c r="L545" t="s">
        <v>505</v>
      </c>
      <c r="M545" t="s">
        <v>118</v>
      </c>
    </row>
    <row r="546" spans="1:13" x14ac:dyDescent="0.35">
      <c r="A546" t="s">
        <v>98</v>
      </c>
      <c r="B546" t="s">
        <v>1</v>
      </c>
      <c r="C546" s="14">
        <v>38.53</v>
      </c>
      <c r="D546">
        <v>10</v>
      </c>
      <c r="E546">
        <v>12</v>
      </c>
      <c r="F546" t="s">
        <v>588</v>
      </c>
      <c r="G546" t="s">
        <v>590</v>
      </c>
      <c r="H546">
        <v>22</v>
      </c>
      <c r="I546">
        <v>2024</v>
      </c>
      <c r="J546" s="7">
        <v>0.24760416666666665</v>
      </c>
      <c r="K546" t="s">
        <v>509</v>
      </c>
      <c r="L546" t="s">
        <v>505</v>
      </c>
      <c r="M546" t="s">
        <v>118</v>
      </c>
    </row>
    <row r="547" spans="1:13" x14ac:dyDescent="0.35">
      <c r="A547" t="s">
        <v>9</v>
      </c>
      <c r="B547" t="s">
        <v>3</v>
      </c>
      <c r="C547" s="14">
        <v>38.57</v>
      </c>
      <c r="D547">
        <v>10</v>
      </c>
      <c r="E547">
        <v>1503</v>
      </c>
      <c r="F547" t="s">
        <v>589</v>
      </c>
      <c r="G547" t="s">
        <v>590</v>
      </c>
      <c r="H547">
        <v>22</v>
      </c>
      <c r="I547">
        <v>2024</v>
      </c>
      <c r="J547" s="7">
        <v>0.73025462962962961</v>
      </c>
      <c r="K547" t="s">
        <v>291</v>
      </c>
      <c r="L547" t="s">
        <v>274</v>
      </c>
      <c r="M547" t="s">
        <v>118</v>
      </c>
    </row>
    <row r="548" spans="1:13" x14ac:dyDescent="0.35">
      <c r="A548" t="s">
        <v>37</v>
      </c>
      <c r="B548" t="s">
        <v>3</v>
      </c>
      <c r="C548" s="14">
        <v>38.94</v>
      </c>
      <c r="D548">
        <v>5</v>
      </c>
      <c r="E548">
        <v>2247</v>
      </c>
      <c r="F548" t="s">
        <v>589</v>
      </c>
      <c r="G548" t="s">
        <v>590</v>
      </c>
      <c r="H548">
        <v>24</v>
      </c>
      <c r="I548">
        <v>2024</v>
      </c>
      <c r="J548" s="7">
        <v>0.4292361111111111</v>
      </c>
      <c r="K548" t="s">
        <v>291</v>
      </c>
      <c r="L548" t="s">
        <v>274</v>
      </c>
      <c r="M548" t="s">
        <v>118</v>
      </c>
    </row>
    <row r="549" spans="1:13" x14ac:dyDescent="0.35">
      <c r="A549" t="s">
        <v>214</v>
      </c>
      <c r="B549" t="s">
        <v>37</v>
      </c>
      <c r="C549" s="14">
        <v>38.950000000000003</v>
      </c>
      <c r="D549">
        <v>7</v>
      </c>
      <c r="E549">
        <v>114</v>
      </c>
      <c r="F549" t="s">
        <v>588</v>
      </c>
      <c r="G549" t="s">
        <v>590</v>
      </c>
      <c r="H549">
        <v>15</v>
      </c>
      <c r="I549">
        <v>2024</v>
      </c>
      <c r="J549" s="7">
        <v>0.47645833333333332</v>
      </c>
      <c r="K549" t="s">
        <v>451</v>
      </c>
      <c r="L549" t="s">
        <v>282</v>
      </c>
      <c r="M549" t="s">
        <v>118</v>
      </c>
    </row>
    <row r="550" spans="1:13" x14ac:dyDescent="0.35">
      <c r="A550" t="s">
        <v>15</v>
      </c>
      <c r="B550" t="s">
        <v>1</v>
      </c>
      <c r="C550" s="14">
        <v>38.97</v>
      </c>
      <c r="D550">
        <v>4</v>
      </c>
      <c r="E550">
        <v>4</v>
      </c>
      <c r="F550" t="s">
        <v>588</v>
      </c>
      <c r="G550" t="s">
        <v>239</v>
      </c>
      <c r="H550">
        <v>0</v>
      </c>
      <c r="I550">
        <v>0</v>
      </c>
      <c r="J550" s="7">
        <v>0</v>
      </c>
      <c r="K550" t="s">
        <v>369</v>
      </c>
      <c r="L550" t="s">
        <v>506</v>
      </c>
      <c r="M550" t="s">
        <v>118</v>
      </c>
    </row>
    <row r="551" spans="1:13" x14ac:dyDescent="0.35">
      <c r="A551" t="s">
        <v>126</v>
      </c>
      <c r="B551" t="s">
        <v>1</v>
      </c>
      <c r="C551" s="14">
        <v>38.979999999999997</v>
      </c>
      <c r="D551">
        <v>10</v>
      </c>
      <c r="E551">
        <v>129</v>
      </c>
      <c r="F551" t="s">
        <v>588</v>
      </c>
      <c r="G551" t="s">
        <v>590</v>
      </c>
      <c r="H551">
        <v>24</v>
      </c>
      <c r="I551">
        <v>2024</v>
      </c>
      <c r="J551" s="7">
        <v>0.43138888888888888</v>
      </c>
      <c r="K551" t="s">
        <v>301</v>
      </c>
      <c r="L551" t="s">
        <v>506</v>
      </c>
      <c r="M551" t="s">
        <v>118</v>
      </c>
    </row>
    <row r="552" spans="1:13" x14ac:dyDescent="0.35">
      <c r="A552" t="s">
        <v>10</v>
      </c>
      <c r="B552" t="s">
        <v>3</v>
      </c>
      <c r="C552" s="14">
        <v>38.99</v>
      </c>
      <c r="D552">
        <v>0</v>
      </c>
      <c r="E552">
        <v>40</v>
      </c>
      <c r="F552" t="s">
        <v>588</v>
      </c>
      <c r="G552" t="s">
        <v>590</v>
      </c>
      <c r="H552">
        <v>21</v>
      </c>
      <c r="I552">
        <v>2024</v>
      </c>
      <c r="J552" s="7">
        <v>0.36759259259259258</v>
      </c>
      <c r="K552" t="s">
        <v>325</v>
      </c>
      <c r="L552" t="s">
        <v>266</v>
      </c>
      <c r="M552" t="s">
        <v>118</v>
      </c>
    </row>
    <row r="553" spans="1:13" x14ac:dyDescent="0.35">
      <c r="A553" t="s">
        <v>36</v>
      </c>
      <c r="B553" t="s">
        <v>37</v>
      </c>
      <c r="C553" s="14">
        <v>38.99</v>
      </c>
      <c r="D553">
        <v>4</v>
      </c>
      <c r="E553">
        <v>919</v>
      </c>
      <c r="F553" t="s">
        <v>588</v>
      </c>
      <c r="G553" t="s">
        <v>590</v>
      </c>
      <c r="H553">
        <v>24</v>
      </c>
      <c r="I553">
        <v>2024</v>
      </c>
      <c r="J553" s="7">
        <v>0.34015046296296297</v>
      </c>
      <c r="K553" t="s">
        <v>325</v>
      </c>
      <c r="L553" t="s">
        <v>266</v>
      </c>
      <c r="M553" t="s">
        <v>118</v>
      </c>
    </row>
    <row r="554" spans="1:13" x14ac:dyDescent="0.35">
      <c r="A554" t="s">
        <v>107</v>
      </c>
      <c r="B554" t="s">
        <v>3</v>
      </c>
      <c r="C554" s="14">
        <v>38.99</v>
      </c>
      <c r="D554">
        <v>10</v>
      </c>
      <c r="E554">
        <v>7</v>
      </c>
      <c r="F554" t="s">
        <v>588</v>
      </c>
      <c r="G554" t="s">
        <v>590</v>
      </c>
      <c r="H554">
        <v>20</v>
      </c>
      <c r="I554">
        <v>2024</v>
      </c>
      <c r="J554" s="7">
        <v>0.73979166666666663</v>
      </c>
      <c r="K554" t="s">
        <v>285</v>
      </c>
      <c r="L554" t="s">
        <v>286</v>
      </c>
      <c r="M554" t="s">
        <v>118</v>
      </c>
    </row>
    <row r="555" spans="1:13" x14ac:dyDescent="0.35">
      <c r="A555" t="s">
        <v>27</v>
      </c>
      <c r="B555" t="s">
        <v>3</v>
      </c>
      <c r="C555" s="14">
        <v>38.99</v>
      </c>
      <c r="D555">
        <v>3</v>
      </c>
      <c r="E555">
        <v>41</v>
      </c>
      <c r="F555" t="s">
        <v>588</v>
      </c>
      <c r="G555" t="s">
        <v>590</v>
      </c>
      <c r="H555">
        <v>23</v>
      </c>
      <c r="I555">
        <v>2024</v>
      </c>
      <c r="J555" s="7">
        <v>0.19858796296296297</v>
      </c>
      <c r="K555" t="s">
        <v>450</v>
      </c>
      <c r="L555" t="s">
        <v>347</v>
      </c>
      <c r="M555" t="s">
        <v>118</v>
      </c>
    </row>
    <row r="556" spans="1:13" x14ac:dyDescent="0.35">
      <c r="A556" t="s">
        <v>70</v>
      </c>
      <c r="B556" t="s">
        <v>1</v>
      </c>
      <c r="C556" s="14">
        <v>38.99</v>
      </c>
      <c r="D556">
        <v>10</v>
      </c>
      <c r="E556">
        <v>20</v>
      </c>
      <c r="F556" t="s">
        <v>588</v>
      </c>
      <c r="G556" t="s">
        <v>590</v>
      </c>
      <c r="H556">
        <v>22</v>
      </c>
      <c r="I556">
        <v>2024</v>
      </c>
      <c r="J556" s="7">
        <v>0.58545138888888892</v>
      </c>
      <c r="K556" t="s">
        <v>509</v>
      </c>
      <c r="L556" t="s">
        <v>505</v>
      </c>
      <c r="M556" t="s">
        <v>118</v>
      </c>
    </row>
    <row r="557" spans="1:13" x14ac:dyDescent="0.35">
      <c r="A557" t="s">
        <v>11</v>
      </c>
      <c r="B557" t="s">
        <v>3</v>
      </c>
      <c r="C557" s="14">
        <v>38.99</v>
      </c>
      <c r="D557">
        <v>0</v>
      </c>
      <c r="E557">
        <v>37</v>
      </c>
      <c r="F557" t="s">
        <v>588</v>
      </c>
      <c r="G557" t="s">
        <v>590</v>
      </c>
      <c r="H557">
        <v>23</v>
      </c>
      <c r="I557">
        <v>2024</v>
      </c>
      <c r="J557" s="7">
        <v>0.73284722222222221</v>
      </c>
      <c r="K557" t="s">
        <v>506</v>
      </c>
      <c r="L557" t="s">
        <v>118</v>
      </c>
      <c r="M557" t="s">
        <v>333</v>
      </c>
    </row>
    <row r="558" spans="1:13" x14ac:dyDescent="0.35">
      <c r="A558" t="s">
        <v>15</v>
      </c>
      <c r="B558" t="s">
        <v>1</v>
      </c>
      <c r="C558" s="14">
        <v>39</v>
      </c>
      <c r="D558">
        <v>10</v>
      </c>
      <c r="E558">
        <v>24</v>
      </c>
      <c r="F558" t="s">
        <v>588</v>
      </c>
      <c r="G558" t="s">
        <v>590</v>
      </c>
      <c r="H558">
        <v>22</v>
      </c>
      <c r="I558">
        <v>2024</v>
      </c>
      <c r="J558" s="7">
        <v>0.42912037037037037</v>
      </c>
      <c r="K558" t="s">
        <v>509</v>
      </c>
      <c r="L558" t="s">
        <v>505</v>
      </c>
      <c r="M558" t="s">
        <v>118</v>
      </c>
    </row>
    <row r="559" spans="1:13" x14ac:dyDescent="0.35">
      <c r="A559" t="s">
        <v>232</v>
      </c>
      <c r="B559" t="s">
        <v>3</v>
      </c>
      <c r="C559" s="14">
        <v>39.25</v>
      </c>
      <c r="D559">
        <v>10</v>
      </c>
      <c r="E559">
        <v>30</v>
      </c>
      <c r="F559" t="s">
        <v>588</v>
      </c>
      <c r="G559" t="s">
        <v>590</v>
      </c>
      <c r="H559">
        <v>23</v>
      </c>
      <c r="I559">
        <v>2024</v>
      </c>
      <c r="J559" s="7">
        <v>0.22251157407407407</v>
      </c>
      <c r="K559" t="s">
        <v>291</v>
      </c>
      <c r="L559" t="s">
        <v>274</v>
      </c>
      <c r="M559" t="s">
        <v>118</v>
      </c>
    </row>
    <row r="560" spans="1:13" x14ac:dyDescent="0.35">
      <c r="A560" t="s">
        <v>12</v>
      </c>
      <c r="B560" t="s">
        <v>3</v>
      </c>
      <c r="C560" s="14">
        <v>39.770000000000003</v>
      </c>
      <c r="D560">
        <v>0</v>
      </c>
      <c r="E560">
        <v>31718</v>
      </c>
      <c r="F560" t="s">
        <v>589</v>
      </c>
      <c r="G560" t="s">
        <v>590</v>
      </c>
      <c r="H560">
        <v>24</v>
      </c>
      <c r="I560">
        <v>2024</v>
      </c>
      <c r="J560" s="7">
        <v>0.43540509259259258</v>
      </c>
      <c r="K560" t="s">
        <v>290</v>
      </c>
      <c r="L560" t="s">
        <v>506</v>
      </c>
      <c r="M560" t="s">
        <v>118</v>
      </c>
    </row>
    <row r="561" spans="1:13" x14ac:dyDescent="0.35">
      <c r="A561" t="s">
        <v>191</v>
      </c>
      <c r="B561" t="s">
        <v>34</v>
      </c>
      <c r="C561" s="14">
        <v>39.950000000000003</v>
      </c>
      <c r="D561">
        <v>10</v>
      </c>
      <c r="E561">
        <v>353</v>
      </c>
      <c r="F561" t="s">
        <v>588</v>
      </c>
      <c r="G561" t="s">
        <v>590</v>
      </c>
      <c r="H561">
        <v>6</v>
      </c>
      <c r="I561">
        <v>2024</v>
      </c>
      <c r="J561" s="7">
        <v>0.79259259259259263</v>
      </c>
      <c r="K561" t="s">
        <v>319</v>
      </c>
      <c r="L561" t="s">
        <v>320</v>
      </c>
      <c r="M561" t="s">
        <v>118</v>
      </c>
    </row>
    <row r="562" spans="1:13" x14ac:dyDescent="0.35">
      <c r="A562" t="s">
        <v>229</v>
      </c>
      <c r="B562" t="s">
        <v>3</v>
      </c>
      <c r="C562" s="14">
        <v>39.950000000000003</v>
      </c>
      <c r="D562">
        <v>10</v>
      </c>
      <c r="E562">
        <v>178</v>
      </c>
      <c r="F562" t="s">
        <v>588</v>
      </c>
      <c r="G562" t="s">
        <v>590</v>
      </c>
      <c r="H562">
        <v>21</v>
      </c>
      <c r="I562">
        <v>2024</v>
      </c>
      <c r="J562" s="7">
        <v>0.57046296296296295</v>
      </c>
      <c r="K562" t="s">
        <v>404</v>
      </c>
      <c r="L562" t="s">
        <v>286</v>
      </c>
      <c r="M562" t="s">
        <v>118</v>
      </c>
    </row>
    <row r="563" spans="1:13" x14ac:dyDescent="0.35">
      <c r="A563" t="s">
        <v>38</v>
      </c>
      <c r="B563" t="s">
        <v>1</v>
      </c>
      <c r="C563" s="14">
        <v>39.950000000000003</v>
      </c>
      <c r="D563">
        <v>2</v>
      </c>
      <c r="E563">
        <v>5</v>
      </c>
      <c r="F563" t="s">
        <v>588</v>
      </c>
      <c r="G563" t="s">
        <v>590</v>
      </c>
      <c r="H563">
        <v>1</v>
      </c>
      <c r="I563">
        <v>2024</v>
      </c>
      <c r="J563" s="7">
        <v>0.41454861111111113</v>
      </c>
      <c r="K563" t="s">
        <v>471</v>
      </c>
      <c r="L563" t="s">
        <v>505</v>
      </c>
      <c r="M563" t="s">
        <v>118</v>
      </c>
    </row>
    <row r="564" spans="1:13" x14ac:dyDescent="0.35">
      <c r="A564" t="s">
        <v>16</v>
      </c>
      <c r="B564" t="s">
        <v>3</v>
      </c>
      <c r="C564" s="14">
        <v>39.99</v>
      </c>
      <c r="D564">
        <v>10</v>
      </c>
      <c r="E564">
        <v>236</v>
      </c>
      <c r="F564" t="s">
        <v>588</v>
      </c>
      <c r="G564" t="s">
        <v>590</v>
      </c>
      <c r="H564">
        <v>23</v>
      </c>
      <c r="I564">
        <v>2024</v>
      </c>
      <c r="J564" s="7">
        <v>0.36692129629629627</v>
      </c>
      <c r="K564" t="s">
        <v>288</v>
      </c>
      <c r="L564" t="s">
        <v>508</v>
      </c>
      <c r="M564" t="s">
        <v>118</v>
      </c>
    </row>
    <row r="565" spans="1:13" x14ac:dyDescent="0.35">
      <c r="A565" t="s">
        <v>15</v>
      </c>
      <c r="B565" t="s">
        <v>1</v>
      </c>
      <c r="C565" s="14">
        <v>39.99</v>
      </c>
      <c r="D565">
        <v>56</v>
      </c>
      <c r="E565">
        <v>276</v>
      </c>
      <c r="F565" t="s">
        <v>588</v>
      </c>
      <c r="G565" t="s">
        <v>590</v>
      </c>
      <c r="H565">
        <v>24</v>
      </c>
      <c r="I565">
        <v>2024</v>
      </c>
      <c r="J565" s="7">
        <v>0.26818287037037036</v>
      </c>
      <c r="K565" t="s">
        <v>298</v>
      </c>
      <c r="L565" t="s">
        <v>299</v>
      </c>
      <c r="M565" t="s">
        <v>118</v>
      </c>
    </row>
    <row r="566" spans="1:13" x14ac:dyDescent="0.35">
      <c r="A566" t="s">
        <v>36</v>
      </c>
      <c r="B566" t="s">
        <v>37</v>
      </c>
      <c r="C566" s="14">
        <v>39.99</v>
      </c>
      <c r="D566">
        <v>6</v>
      </c>
      <c r="E566">
        <v>275</v>
      </c>
      <c r="F566" t="s">
        <v>588</v>
      </c>
      <c r="G566" t="s">
        <v>590</v>
      </c>
      <c r="H566">
        <v>24</v>
      </c>
      <c r="I566">
        <v>2024</v>
      </c>
      <c r="J566" s="7">
        <v>6.9456018518518514E-2</v>
      </c>
      <c r="K566" t="s">
        <v>330</v>
      </c>
      <c r="L566" t="s">
        <v>282</v>
      </c>
      <c r="M566" t="s">
        <v>118</v>
      </c>
    </row>
    <row r="567" spans="1:13" x14ac:dyDescent="0.35">
      <c r="A567" t="s">
        <v>15</v>
      </c>
      <c r="B567" t="s">
        <v>1</v>
      </c>
      <c r="C567" s="14">
        <v>39.99</v>
      </c>
      <c r="D567">
        <v>7</v>
      </c>
      <c r="E567">
        <v>76</v>
      </c>
      <c r="F567" t="s">
        <v>588</v>
      </c>
      <c r="G567" t="s">
        <v>590</v>
      </c>
      <c r="H567">
        <v>24</v>
      </c>
      <c r="I567">
        <v>2024</v>
      </c>
      <c r="J567" s="7">
        <v>3.9409722222222221E-2</v>
      </c>
      <c r="K567" t="s">
        <v>335</v>
      </c>
      <c r="L567" t="s">
        <v>282</v>
      </c>
      <c r="M567" t="s">
        <v>118</v>
      </c>
    </row>
    <row r="568" spans="1:13" x14ac:dyDescent="0.35">
      <c r="A568" t="s">
        <v>234</v>
      </c>
      <c r="B568" t="s">
        <v>1</v>
      </c>
      <c r="C568" s="14">
        <v>39.99</v>
      </c>
      <c r="D568">
        <v>10</v>
      </c>
      <c r="E568">
        <v>9</v>
      </c>
      <c r="F568" t="s">
        <v>588</v>
      </c>
      <c r="G568" t="s">
        <v>590</v>
      </c>
      <c r="H568">
        <v>21</v>
      </c>
      <c r="I568">
        <v>2024</v>
      </c>
      <c r="J568" s="7">
        <v>0.39842592592592591</v>
      </c>
      <c r="K568" t="s">
        <v>348</v>
      </c>
      <c r="L568" t="s">
        <v>282</v>
      </c>
      <c r="M568" t="s">
        <v>118</v>
      </c>
    </row>
    <row r="569" spans="1:13" x14ac:dyDescent="0.35">
      <c r="A569" t="s">
        <v>13</v>
      </c>
      <c r="B569" t="s">
        <v>3</v>
      </c>
      <c r="C569" s="14">
        <v>39.99</v>
      </c>
      <c r="D569">
        <v>10</v>
      </c>
      <c r="E569">
        <v>16</v>
      </c>
      <c r="F569" t="s">
        <v>588</v>
      </c>
      <c r="G569" t="s">
        <v>590</v>
      </c>
      <c r="H569">
        <v>23</v>
      </c>
      <c r="I569">
        <v>2024</v>
      </c>
      <c r="J569" s="7">
        <v>0.35938657407407409</v>
      </c>
      <c r="K569" t="s">
        <v>279</v>
      </c>
      <c r="L569" t="s">
        <v>266</v>
      </c>
      <c r="M569" t="s">
        <v>118</v>
      </c>
    </row>
    <row r="570" spans="1:13" x14ac:dyDescent="0.35">
      <c r="A570" t="s">
        <v>13</v>
      </c>
      <c r="B570" t="s">
        <v>3</v>
      </c>
      <c r="C570" s="14">
        <v>39.99</v>
      </c>
      <c r="D570">
        <v>5</v>
      </c>
      <c r="E570">
        <v>118</v>
      </c>
      <c r="F570" t="s">
        <v>588</v>
      </c>
      <c r="G570" t="s">
        <v>590</v>
      </c>
      <c r="H570">
        <v>17</v>
      </c>
      <c r="I570">
        <v>2024</v>
      </c>
      <c r="J570" s="7">
        <v>0.4428125</v>
      </c>
      <c r="K570" t="s">
        <v>366</v>
      </c>
      <c r="L570" t="s">
        <v>266</v>
      </c>
      <c r="M570" t="s">
        <v>118</v>
      </c>
    </row>
    <row r="571" spans="1:13" x14ac:dyDescent="0.35">
      <c r="A571" t="s">
        <v>13</v>
      </c>
      <c r="B571" t="s">
        <v>76</v>
      </c>
      <c r="C571" s="14">
        <v>39.99</v>
      </c>
      <c r="D571">
        <v>3</v>
      </c>
      <c r="E571">
        <v>3</v>
      </c>
      <c r="F571" t="s">
        <v>588</v>
      </c>
      <c r="G571" t="s">
        <v>590</v>
      </c>
      <c r="H571">
        <v>8</v>
      </c>
      <c r="I571">
        <v>2024</v>
      </c>
      <c r="J571" s="7">
        <v>0.60410879629629632</v>
      </c>
      <c r="K571" t="s">
        <v>506</v>
      </c>
      <c r="L571" t="s">
        <v>267</v>
      </c>
      <c r="M571" t="s">
        <v>118</v>
      </c>
    </row>
    <row r="572" spans="1:13" x14ac:dyDescent="0.35">
      <c r="A572" t="s">
        <v>16</v>
      </c>
      <c r="B572" t="s">
        <v>3</v>
      </c>
      <c r="C572" s="14">
        <v>39.99</v>
      </c>
      <c r="D572">
        <v>4</v>
      </c>
      <c r="E572">
        <v>25</v>
      </c>
      <c r="F572" t="s">
        <v>588</v>
      </c>
      <c r="G572" t="s">
        <v>590</v>
      </c>
      <c r="H572">
        <v>23</v>
      </c>
      <c r="I572">
        <v>2024</v>
      </c>
      <c r="J572" s="7">
        <v>0.38079861111111113</v>
      </c>
      <c r="K572" t="s">
        <v>325</v>
      </c>
      <c r="L572" t="s">
        <v>266</v>
      </c>
      <c r="M572" t="s">
        <v>118</v>
      </c>
    </row>
    <row r="573" spans="1:13" x14ac:dyDescent="0.35">
      <c r="A573" t="s">
        <v>2</v>
      </c>
      <c r="B573" t="s">
        <v>3</v>
      </c>
      <c r="C573" s="14">
        <v>39.99</v>
      </c>
      <c r="D573">
        <v>10</v>
      </c>
      <c r="E573">
        <v>18</v>
      </c>
      <c r="F573" t="s">
        <v>588</v>
      </c>
      <c r="G573" t="s">
        <v>590</v>
      </c>
      <c r="H573">
        <v>5</v>
      </c>
      <c r="I573">
        <v>2024</v>
      </c>
      <c r="J573" s="7">
        <v>0.96504629629629635</v>
      </c>
      <c r="K573" t="s">
        <v>317</v>
      </c>
      <c r="L573" t="s">
        <v>267</v>
      </c>
      <c r="M573" t="s">
        <v>333</v>
      </c>
    </row>
    <row r="574" spans="1:13" x14ac:dyDescent="0.35">
      <c r="A574" t="s">
        <v>12</v>
      </c>
      <c r="B574" t="s">
        <v>3</v>
      </c>
      <c r="C574" s="14">
        <v>39.99</v>
      </c>
      <c r="D574">
        <v>10</v>
      </c>
      <c r="E574">
        <v>4</v>
      </c>
      <c r="F574" t="s">
        <v>588</v>
      </c>
      <c r="G574" t="s">
        <v>590</v>
      </c>
      <c r="H574">
        <v>24</v>
      </c>
      <c r="I574">
        <v>2024</v>
      </c>
      <c r="J574" s="7">
        <v>0.35054398148148147</v>
      </c>
      <c r="K574" t="s">
        <v>377</v>
      </c>
      <c r="L574" t="s">
        <v>506</v>
      </c>
      <c r="M574" t="s">
        <v>118</v>
      </c>
    </row>
    <row r="575" spans="1:13" x14ac:dyDescent="0.35">
      <c r="A575" t="s">
        <v>193</v>
      </c>
      <c r="B575" t="s">
        <v>3</v>
      </c>
      <c r="C575" s="14">
        <v>39.99</v>
      </c>
      <c r="D575">
        <v>3</v>
      </c>
      <c r="E575">
        <v>40</v>
      </c>
      <c r="F575" t="s">
        <v>588</v>
      </c>
      <c r="G575" t="s">
        <v>593</v>
      </c>
      <c r="H575">
        <v>8</v>
      </c>
      <c r="I575">
        <v>2024</v>
      </c>
      <c r="J575" s="7">
        <v>0.44626157407407407</v>
      </c>
      <c r="K575" t="s">
        <v>285</v>
      </c>
      <c r="L575" t="s">
        <v>286</v>
      </c>
      <c r="M575" t="s">
        <v>118</v>
      </c>
    </row>
    <row r="576" spans="1:13" x14ac:dyDescent="0.35">
      <c r="A576" t="s">
        <v>11</v>
      </c>
      <c r="B576" t="s">
        <v>1</v>
      </c>
      <c r="C576" s="14">
        <v>39.99</v>
      </c>
      <c r="D576">
        <v>10</v>
      </c>
      <c r="E576">
        <v>10</v>
      </c>
      <c r="F576" t="s">
        <v>588</v>
      </c>
      <c r="G576" t="s">
        <v>590</v>
      </c>
      <c r="H576">
        <v>19</v>
      </c>
      <c r="I576">
        <v>2024</v>
      </c>
      <c r="J576" s="7">
        <v>0.75629629629629624</v>
      </c>
      <c r="K576" t="s">
        <v>510</v>
      </c>
      <c r="L576" t="s">
        <v>505</v>
      </c>
      <c r="M576" t="s">
        <v>333</v>
      </c>
    </row>
    <row r="577" spans="1:13" x14ac:dyDescent="0.35">
      <c r="A577" t="s">
        <v>16</v>
      </c>
      <c r="B577" t="s">
        <v>3</v>
      </c>
      <c r="C577" s="14">
        <v>39.99</v>
      </c>
      <c r="D577">
        <v>3</v>
      </c>
      <c r="E577">
        <v>52</v>
      </c>
      <c r="F577" t="s">
        <v>588</v>
      </c>
      <c r="G577" t="s">
        <v>590</v>
      </c>
      <c r="H577">
        <v>21</v>
      </c>
      <c r="I577">
        <v>2024</v>
      </c>
      <c r="J577" s="7">
        <v>0.27854166666666669</v>
      </c>
      <c r="K577" t="s">
        <v>297</v>
      </c>
      <c r="L577" t="s">
        <v>266</v>
      </c>
      <c r="M577" t="s">
        <v>118</v>
      </c>
    </row>
    <row r="578" spans="1:13" x14ac:dyDescent="0.35">
      <c r="A578" t="s">
        <v>16</v>
      </c>
      <c r="B578" t="s">
        <v>3</v>
      </c>
      <c r="C578" s="14">
        <v>39.99</v>
      </c>
      <c r="D578">
        <v>4</v>
      </c>
      <c r="E578">
        <v>19</v>
      </c>
      <c r="F578" t="s">
        <v>588</v>
      </c>
      <c r="G578" t="s">
        <v>590</v>
      </c>
      <c r="H578">
        <v>10</v>
      </c>
      <c r="I578">
        <v>2024</v>
      </c>
      <c r="J578" s="7">
        <v>0.45802083333333332</v>
      </c>
      <c r="K578" t="s">
        <v>325</v>
      </c>
      <c r="L578" t="s">
        <v>266</v>
      </c>
      <c r="M578" t="s">
        <v>118</v>
      </c>
    </row>
    <row r="579" spans="1:13" x14ac:dyDescent="0.35">
      <c r="A579" t="s">
        <v>81</v>
      </c>
      <c r="B579" t="s">
        <v>3</v>
      </c>
      <c r="C579" s="14">
        <v>39.99</v>
      </c>
      <c r="D579">
        <v>10</v>
      </c>
      <c r="E579">
        <v>35</v>
      </c>
      <c r="F579" t="s">
        <v>588</v>
      </c>
      <c r="G579" t="s">
        <v>590</v>
      </c>
      <c r="H579">
        <v>24</v>
      </c>
      <c r="I579">
        <v>2024</v>
      </c>
      <c r="J579" s="7">
        <v>0.27986111111111112</v>
      </c>
      <c r="K579" t="s">
        <v>329</v>
      </c>
      <c r="L579" t="s">
        <v>274</v>
      </c>
      <c r="M579" t="s">
        <v>118</v>
      </c>
    </row>
    <row r="580" spans="1:13" x14ac:dyDescent="0.35">
      <c r="A580" t="s">
        <v>4</v>
      </c>
      <c r="B580" t="s">
        <v>3</v>
      </c>
      <c r="C580" s="14">
        <v>39.99</v>
      </c>
      <c r="D580">
        <v>129</v>
      </c>
      <c r="E580">
        <v>26</v>
      </c>
      <c r="F580" t="s">
        <v>588</v>
      </c>
      <c r="G580" t="s">
        <v>590</v>
      </c>
      <c r="H580">
        <v>23</v>
      </c>
      <c r="I580">
        <v>2024</v>
      </c>
      <c r="J580" s="7">
        <v>0.44417824074074075</v>
      </c>
      <c r="K580" t="s">
        <v>413</v>
      </c>
      <c r="L580" t="s">
        <v>347</v>
      </c>
      <c r="M580" t="s">
        <v>118</v>
      </c>
    </row>
    <row r="581" spans="1:13" x14ac:dyDescent="0.35">
      <c r="A581" t="s">
        <v>16</v>
      </c>
      <c r="B581" t="s">
        <v>3</v>
      </c>
      <c r="C581" s="14">
        <v>39.99</v>
      </c>
      <c r="D581">
        <v>0</v>
      </c>
      <c r="E581">
        <v>207</v>
      </c>
      <c r="F581" t="s">
        <v>588</v>
      </c>
      <c r="G581" t="s">
        <v>590</v>
      </c>
      <c r="H581">
        <v>23</v>
      </c>
      <c r="I581">
        <v>2024</v>
      </c>
      <c r="J581" s="7">
        <v>0.33856481481481482</v>
      </c>
      <c r="K581" t="s">
        <v>416</v>
      </c>
      <c r="L581" t="s">
        <v>266</v>
      </c>
      <c r="M581" t="s">
        <v>118</v>
      </c>
    </row>
    <row r="582" spans="1:13" x14ac:dyDescent="0.35">
      <c r="A582" t="s">
        <v>13</v>
      </c>
      <c r="B582" t="s">
        <v>3</v>
      </c>
      <c r="C582" s="14">
        <v>39.99</v>
      </c>
      <c r="D582">
        <v>0</v>
      </c>
      <c r="E582">
        <v>40</v>
      </c>
      <c r="F582" t="s">
        <v>588</v>
      </c>
      <c r="G582" t="s">
        <v>590</v>
      </c>
      <c r="H582">
        <v>19</v>
      </c>
      <c r="I582">
        <v>2024</v>
      </c>
      <c r="J582" s="7">
        <v>0.43966435185185188</v>
      </c>
      <c r="K582" t="s">
        <v>288</v>
      </c>
      <c r="L582" t="s">
        <v>508</v>
      </c>
      <c r="M582" t="s">
        <v>118</v>
      </c>
    </row>
    <row r="583" spans="1:13" x14ac:dyDescent="0.35">
      <c r="A583" t="s">
        <v>140</v>
      </c>
      <c r="B583" t="s">
        <v>3</v>
      </c>
      <c r="C583" s="14">
        <v>39.99</v>
      </c>
      <c r="D583">
        <v>0</v>
      </c>
      <c r="E583">
        <v>11</v>
      </c>
      <c r="F583" t="s">
        <v>588</v>
      </c>
      <c r="G583" t="s">
        <v>591</v>
      </c>
      <c r="H583">
        <v>30</v>
      </c>
      <c r="I583">
        <v>2024</v>
      </c>
      <c r="J583" s="7">
        <v>0.84128472222222217</v>
      </c>
      <c r="K583" t="s">
        <v>465</v>
      </c>
      <c r="L583" t="s">
        <v>506</v>
      </c>
      <c r="M583" t="s">
        <v>333</v>
      </c>
    </row>
    <row r="584" spans="1:13" x14ac:dyDescent="0.35">
      <c r="A584" t="s">
        <v>217</v>
      </c>
      <c r="B584" t="s">
        <v>1</v>
      </c>
      <c r="C584" s="14">
        <v>39.99</v>
      </c>
      <c r="D584">
        <v>3</v>
      </c>
      <c r="E584">
        <v>153</v>
      </c>
      <c r="F584" t="s">
        <v>588</v>
      </c>
      <c r="G584" t="s">
        <v>590</v>
      </c>
      <c r="H584">
        <v>13</v>
      </c>
      <c r="I584">
        <v>2024</v>
      </c>
      <c r="J584" s="7">
        <v>0.79578703703703701</v>
      </c>
      <c r="K584" t="s">
        <v>339</v>
      </c>
      <c r="L584" t="s">
        <v>507</v>
      </c>
      <c r="M584" t="s">
        <v>118</v>
      </c>
    </row>
    <row r="585" spans="1:13" x14ac:dyDescent="0.35">
      <c r="A585" t="s">
        <v>229</v>
      </c>
      <c r="B585" t="s">
        <v>3</v>
      </c>
      <c r="C585" s="14">
        <v>39.99</v>
      </c>
      <c r="D585">
        <v>9</v>
      </c>
      <c r="E585">
        <v>45</v>
      </c>
      <c r="F585" t="s">
        <v>588</v>
      </c>
      <c r="G585" t="s">
        <v>590</v>
      </c>
      <c r="H585">
        <v>23</v>
      </c>
      <c r="I585">
        <v>2024</v>
      </c>
      <c r="J585" s="7">
        <v>0.79156249999999995</v>
      </c>
      <c r="K585" t="s">
        <v>317</v>
      </c>
      <c r="L585" t="s">
        <v>294</v>
      </c>
      <c r="M585" t="s">
        <v>333</v>
      </c>
    </row>
    <row r="586" spans="1:13" x14ac:dyDescent="0.35">
      <c r="A586" t="s">
        <v>13</v>
      </c>
      <c r="B586" t="s">
        <v>3</v>
      </c>
      <c r="C586" s="14">
        <v>39.99</v>
      </c>
      <c r="D586">
        <v>6</v>
      </c>
      <c r="E586">
        <v>23</v>
      </c>
      <c r="F586" t="s">
        <v>588</v>
      </c>
      <c r="G586" t="s">
        <v>590</v>
      </c>
      <c r="H586">
        <v>13</v>
      </c>
      <c r="I586">
        <v>2024</v>
      </c>
      <c r="J586" s="7">
        <v>0.48425925925925928</v>
      </c>
      <c r="K586" t="s">
        <v>325</v>
      </c>
      <c r="L586" t="s">
        <v>266</v>
      </c>
      <c r="M586" t="s">
        <v>118</v>
      </c>
    </row>
    <row r="587" spans="1:13" x14ac:dyDescent="0.35">
      <c r="A587" t="s">
        <v>13</v>
      </c>
      <c r="B587" t="s">
        <v>3</v>
      </c>
      <c r="C587" s="14">
        <v>39.99</v>
      </c>
      <c r="D587">
        <v>5</v>
      </c>
      <c r="E587">
        <v>5</v>
      </c>
      <c r="F587" t="s">
        <v>588</v>
      </c>
      <c r="G587" t="s">
        <v>590</v>
      </c>
      <c r="H587">
        <v>24</v>
      </c>
      <c r="I587">
        <v>2024</v>
      </c>
      <c r="J587" s="7">
        <v>0.30106481481481484</v>
      </c>
      <c r="K587" t="s">
        <v>325</v>
      </c>
      <c r="L587" t="s">
        <v>266</v>
      </c>
      <c r="M587" t="s">
        <v>118</v>
      </c>
    </row>
    <row r="588" spans="1:13" x14ac:dyDescent="0.35">
      <c r="A588" t="s">
        <v>13</v>
      </c>
      <c r="B588" t="s">
        <v>3</v>
      </c>
      <c r="C588" s="14">
        <v>39.99</v>
      </c>
      <c r="D588">
        <v>0</v>
      </c>
      <c r="E588">
        <v>305</v>
      </c>
      <c r="F588" t="s">
        <v>588</v>
      </c>
      <c r="G588" t="s">
        <v>590</v>
      </c>
      <c r="H588">
        <v>23</v>
      </c>
      <c r="I588">
        <v>2024</v>
      </c>
      <c r="J588" s="7">
        <v>0.6439583333333333</v>
      </c>
      <c r="K588" t="s">
        <v>432</v>
      </c>
      <c r="L588" t="s">
        <v>505</v>
      </c>
      <c r="M588" t="s">
        <v>118</v>
      </c>
    </row>
    <row r="589" spans="1:13" x14ac:dyDescent="0.35">
      <c r="A589" t="s">
        <v>255</v>
      </c>
      <c r="B589" t="s">
        <v>3</v>
      </c>
      <c r="C589" s="14">
        <v>40.130000000000003</v>
      </c>
      <c r="D589">
        <v>19</v>
      </c>
      <c r="E589">
        <v>2703</v>
      </c>
      <c r="F589" t="s">
        <v>589</v>
      </c>
      <c r="G589" t="s">
        <v>590</v>
      </c>
      <c r="H589">
        <v>22</v>
      </c>
      <c r="I589">
        <v>2024</v>
      </c>
      <c r="J589" s="7">
        <v>0.62886574074074075</v>
      </c>
      <c r="K589" t="s">
        <v>290</v>
      </c>
      <c r="L589" t="s">
        <v>506</v>
      </c>
      <c r="M589" t="s">
        <v>118</v>
      </c>
    </row>
    <row r="590" spans="1:13" x14ac:dyDescent="0.35">
      <c r="A590" t="s">
        <v>16</v>
      </c>
      <c r="B590" t="s">
        <v>3</v>
      </c>
      <c r="C590" s="14">
        <v>40.590000000000003</v>
      </c>
      <c r="D590">
        <v>2</v>
      </c>
      <c r="E590">
        <v>2934</v>
      </c>
      <c r="F590" t="s">
        <v>589</v>
      </c>
      <c r="G590" t="s">
        <v>590</v>
      </c>
      <c r="H590">
        <v>21</v>
      </c>
      <c r="I590">
        <v>2024</v>
      </c>
      <c r="J590" s="7">
        <v>0.95245370370370375</v>
      </c>
      <c r="K590" t="s">
        <v>291</v>
      </c>
      <c r="L590" t="s">
        <v>274</v>
      </c>
      <c r="M590" t="s">
        <v>118</v>
      </c>
    </row>
    <row r="591" spans="1:13" x14ac:dyDescent="0.35">
      <c r="A591" t="s">
        <v>26</v>
      </c>
      <c r="B591" t="s">
        <v>3</v>
      </c>
      <c r="C591" s="14">
        <v>40.6</v>
      </c>
      <c r="D591">
        <v>161</v>
      </c>
      <c r="E591">
        <v>5582</v>
      </c>
      <c r="F591" t="s">
        <v>589</v>
      </c>
      <c r="G591" t="s">
        <v>590</v>
      </c>
      <c r="H591">
        <v>24</v>
      </c>
      <c r="I591">
        <v>2024</v>
      </c>
      <c r="J591" s="7">
        <v>0.39937499999999998</v>
      </c>
      <c r="K591" t="s">
        <v>291</v>
      </c>
      <c r="L591" t="s">
        <v>274</v>
      </c>
      <c r="M591" t="s">
        <v>118</v>
      </c>
    </row>
    <row r="592" spans="1:13" x14ac:dyDescent="0.35">
      <c r="A592" t="s">
        <v>255</v>
      </c>
      <c r="B592" t="s">
        <v>45</v>
      </c>
      <c r="C592" s="14">
        <v>40.72</v>
      </c>
      <c r="D592">
        <v>0</v>
      </c>
      <c r="E592">
        <v>232</v>
      </c>
      <c r="F592" t="s">
        <v>588</v>
      </c>
      <c r="G592" t="s">
        <v>590</v>
      </c>
      <c r="H592">
        <v>24</v>
      </c>
      <c r="I592">
        <v>2024</v>
      </c>
      <c r="J592" s="7">
        <v>0.33256944444444442</v>
      </c>
      <c r="K592" t="s">
        <v>301</v>
      </c>
      <c r="L592" t="s">
        <v>506</v>
      </c>
      <c r="M592" t="s">
        <v>118</v>
      </c>
    </row>
    <row r="593" spans="1:13" x14ac:dyDescent="0.35">
      <c r="A593" t="s">
        <v>248</v>
      </c>
      <c r="B593" t="s">
        <v>3</v>
      </c>
      <c r="C593" s="14">
        <v>40.950000000000003</v>
      </c>
      <c r="D593">
        <v>4</v>
      </c>
      <c r="E593">
        <v>14</v>
      </c>
      <c r="F593" t="s">
        <v>588</v>
      </c>
      <c r="G593" t="s">
        <v>591</v>
      </c>
      <c r="H593">
        <v>26</v>
      </c>
      <c r="I593">
        <v>2024</v>
      </c>
      <c r="J593" s="7">
        <v>0.35569444444444442</v>
      </c>
      <c r="K593" t="s">
        <v>480</v>
      </c>
      <c r="L593" t="s">
        <v>286</v>
      </c>
      <c r="M593" t="s">
        <v>118</v>
      </c>
    </row>
    <row r="594" spans="1:13" x14ac:dyDescent="0.35">
      <c r="A594" t="s">
        <v>13</v>
      </c>
      <c r="B594" t="s">
        <v>3</v>
      </c>
      <c r="C594" s="14">
        <v>40.99</v>
      </c>
      <c r="D594">
        <v>3</v>
      </c>
      <c r="E594">
        <v>37</v>
      </c>
      <c r="F594" t="s">
        <v>588</v>
      </c>
      <c r="G594" t="s">
        <v>590</v>
      </c>
      <c r="H594">
        <v>22</v>
      </c>
      <c r="I594">
        <v>2024</v>
      </c>
      <c r="J594" s="7">
        <v>1.7986111111111112E-2</v>
      </c>
      <c r="K594" t="s">
        <v>293</v>
      </c>
      <c r="L594" t="s">
        <v>505</v>
      </c>
      <c r="M594" t="s">
        <v>118</v>
      </c>
    </row>
    <row r="595" spans="1:13" x14ac:dyDescent="0.35">
      <c r="A595" t="s">
        <v>10</v>
      </c>
      <c r="B595" t="s">
        <v>1</v>
      </c>
      <c r="C595" s="14">
        <v>40.99</v>
      </c>
      <c r="D595">
        <v>3</v>
      </c>
      <c r="E595">
        <v>16</v>
      </c>
      <c r="F595" t="s">
        <v>588</v>
      </c>
      <c r="G595" t="s">
        <v>590</v>
      </c>
      <c r="H595">
        <v>24</v>
      </c>
      <c r="I595">
        <v>2024</v>
      </c>
      <c r="J595" s="7">
        <v>0.43442129629629628</v>
      </c>
      <c r="K595" t="s">
        <v>325</v>
      </c>
      <c r="L595" t="s">
        <v>266</v>
      </c>
      <c r="M595" t="s">
        <v>118</v>
      </c>
    </row>
    <row r="596" spans="1:13" x14ac:dyDescent="0.35">
      <c r="A596" t="s">
        <v>39</v>
      </c>
      <c r="B596" t="s">
        <v>3</v>
      </c>
      <c r="C596" s="14">
        <v>40.99</v>
      </c>
      <c r="D596">
        <v>10</v>
      </c>
      <c r="E596">
        <v>17</v>
      </c>
      <c r="F596" t="s">
        <v>588</v>
      </c>
      <c r="G596" t="s">
        <v>590</v>
      </c>
      <c r="H596">
        <v>8</v>
      </c>
      <c r="I596">
        <v>2024</v>
      </c>
      <c r="J596" s="7">
        <v>7.2407407407407406E-2</v>
      </c>
      <c r="K596" t="s">
        <v>398</v>
      </c>
      <c r="L596" t="s">
        <v>399</v>
      </c>
      <c r="M596" t="s">
        <v>333</v>
      </c>
    </row>
    <row r="597" spans="1:13" x14ac:dyDescent="0.35">
      <c r="A597" t="s">
        <v>15</v>
      </c>
      <c r="B597" t="s">
        <v>1</v>
      </c>
      <c r="C597" s="14">
        <v>41</v>
      </c>
      <c r="D597">
        <v>130</v>
      </c>
      <c r="E597">
        <v>397</v>
      </c>
      <c r="F597" t="s">
        <v>588</v>
      </c>
      <c r="G597" t="s">
        <v>590</v>
      </c>
      <c r="H597">
        <v>16</v>
      </c>
      <c r="I597">
        <v>2024</v>
      </c>
      <c r="J597" s="7">
        <v>0.34718749999999998</v>
      </c>
      <c r="K597" t="s">
        <v>557</v>
      </c>
      <c r="L597" t="s">
        <v>486</v>
      </c>
      <c r="M597" t="s">
        <v>538</v>
      </c>
    </row>
    <row r="598" spans="1:13" x14ac:dyDescent="0.35">
      <c r="A598" t="s">
        <v>159</v>
      </c>
      <c r="B598" t="s">
        <v>3</v>
      </c>
      <c r="C598" s="14">
        <v>41.19</v>
      </c>
      <c r="D598">
        <v>3</v>
      </c>
      <c r="E598">
        <v>258</v>
      </c>
      <c r="F598" t="s">
        <v>588</v>
      </c>
      <c r="G598" t="s">
        <v>590</v>
      </c>
      <c r="H598">
        <v>24</v>
      </c>
      <c r="I598">
        <v>2024</v>
      </c>
      <c r="J598" s="7">
        <v>0.39038194444444446</v>
      </c>
      <c r="K598" t="s">
        <v>291</v>
      </c>
      <c r="L598" t="s">
        <v>274</v>
      </c>
      <c r="M598" t="s">
        <v>118</v>
      </c>
    </row>
    <row r="599" spans="1:13" x14ac:dyDescent="0.35">
      <c r="A599" t="s">
        <v>9</v>
      </c>
      <c r="B599" t="s">
        <v>37</v>
      </c>
      <c r="C599" s="14">
        <v>41.44</v>
      </c>
      <c r="D599">
        <v>3</v>
      </c>
      <c r="E599">
        <v>145</v>
      </c>
      <c r="F599" t="s">
        <v>588</v>
      </c>
      <c r="G599" t="s">
        <v>590</v>
      </c>
      <c r="H599">
        <v>20</v>
      </c>
      <c r="I599">
        <v>2024</v>
      </c>
      <c r="J599" s="7">
        <v>0.96209490740740744</v>
      </c>
      <c r="K599" t="s">
        <v>291</v>
      </c>
      <c r="L599" t="s">
        <v>274</v>
      </c>
      <c r="M599" t="s">
        <v>118</v>
      </c>
    </row>
    <row r="600" spans="1:13" x14ac:dyDescent="0.35">
      <c r="A600" t="s">
        <v>120</v>
      </c>
      <c r="B600" t="s">
        <v>3</v>
      </c>
      <c r="C600" s="14">
        <v>41.79</v>
      </c>
      <c r="D600">
        <v>4</v>
      </c>
      <c r="E600">
        <v>174</v>
      </c>
      <c r="F600" t="s">
        <v>588</v>
      </c>
      <c r="G600" t="s">
        <v>590</v>
      </c>
      <c r="H600">
        <v>19</v>
      </c>
      <c r="I600">
        <v>2024</v>
      </c>
      <c r="J600" s="7">
        <v>0.50307870370370367</v>
      </c>
      <c r="K600" t="s">
        <v>432</v>
      </c>
      <c r="L600" t="s">
        <v>505</v>
      </c>
      <c r="M600" t="s">
        <v>118</v>
      </c>
    </row>
    <row r="601" spans="1:13" x14ac:dyDescent="0.35">
      <c r="A601" t="s">
        <v>164</v>
      </c>
      <c r="B601" t="s">
        <v>45</v>
      </c>
      <c r="C601" s="14">
        <v>41.87</v>
      </c>
      <c r="D601">
        <v>10</v>
      </c>
      <c r="E601">
        <v>21</v>
      </c>
      <c r="F601" t="s">
        <v>588</v>
      </c>
      <c r="G601" t="s">
        <v>590</v>
      </c>
      <c r="H601">
        <v>23</v>
      </c>
      <c r="I601">
        <v>2024</v>
      </c>
      <c r="J601" s="7">
        <v>0.37293981481481481</v>
      </c>
      <c r="K601" t="s">
        <v>301</v>
      </c>
      <c r="L601" t="s">
        <v>506</v>
      </c>
      <c r="M601" t="s">
        <v>118</v>
      </c>
    </row>
    <row r="602" spans="1:13" x14ac:dyDescent="0.35">
      <c r="A602" t="s">
        <v>25</v>
      </c>
      <c r="B602" t="s">
        <v>1</v>
      </c>
      <c r="C602" s="14">
        <v>41.95</v>
      </c>
      <c r="D602">
        <v>0</v>
      </c>
      <c r="E602">
        <v>7</v>
      </c>
      <c r="F602" t="s">
        <v>588</v>
      </c>
      <c r="G602" t="s">
        <v>590</v>
      </c>
      <c r="H602">
        <v>20</v>
      </c>
      <c r="I602">
        <v>2024</v>
      </c>
      <c r="J602" s="7">
        <v>0.40415509259259258</v>
      </c>
      <c r="K602" t="s">
        <v>415</v>
      </c>
      <c r="L602" t="s">
        <v>356</v>
      </c>
      <c r="M602" t="s">
        <v>118</v>
      </c>
    </row>
    <row r="603" spans="1:13" x14ac:dyDescent="0.35">
      <c r="A603" t="s">
        <v>9</v>
      </c>
      <c r="B603" t="s">
        <v>3</v>
      </c>
      <c r="C603" s="14">
        <v>41.95</v>
      </c>
      <c r="D603">
        <v>8</v>
      </c>
      <c r="E603">
        <v>37</v>
      </c>
      <c r="F603" t="s">
        <v>588</v>
      </c>
      <c r="G603" t="s">
        <v>590</v>
      </c>
      <c r="H603">
        <v>19</v>
      </c>
      <c r="I603">
        <v>2024</v>
      </c>
      <c r="J603" s="7">
        <v>0.80593749999999997</v>
      </c>
      <c r="K603" t="s">
        <v>284</v>
      </c>
      <c r="L603" t="s">
        <v>282</v>
      </c>
      <c r="M603" t="s">
        <v>118</v>
      </c>
    </row>
    <row r="604" spans="1:13" x14ac:dyDescent="0.35">
      <c r="A604" t="s">
        <v>12</v>
      </c>
      <c r="B604" t="s">
        <v>3</v>
      </c>
      <c r="C604" s="14">
        <v>41.98</v>
      </c>
      <c r="D604">
        <v>3</v>
      </c>
      <c r="E604">
        <v>4234</v>
      </c>
      <c r="F604" t="s">
        <v>589</v>
      </c>
      <c r="G604" t="s">
        <v>590</v>
      </c>
      <c r="H604">
        <v>23</v>
      </c>
      <c r="I604">
        <v>2024</v>
      </c>
      <c r="J604" s="7">
        <v>0.63769675925925928</v>
      </c>
      <c r="K604" t="s">
        <v>291</v>
      </c>
      <c r="L604" t="s">
        <v>274</v>
      </c>
      <c r="M604" t="s">
        <v>118</v>
      </c>
    </row>
    <row r="605" spans="1:13" x14ac:dyDescent="0.35">
      <c r="A605" t="s">
        <v>27</v>
      </c>
      <c r="B605" t="s">
        <v>3</v>
      </c>
      <c r="C605" s="14">
        <v>41.99</v>
      </c>
      <c r="D605">
        <v>7</v>
      </c>
      <c r="E605">
        <v>38</v>
      </c>
      <c r="F605" t="s">
        <v>588</v>
      </c>
      <c r="G605" t="s">
        <v>590</v>
      </c>
      <c r="H605">
        <v>19</v>
      </c>
      <c r="I605">
        <v>2024</v>
      </c>
      <c r="J605" s="7">
        <v>0.62782407407407403</v>
      </c>
      <c r="K605" t="s">
        <v>272</v>
      </c>
      <c r="L605" t="s">
        <v>507</v>
      </c>
      <c r="M605" t="s">
        <v>118</v>
      </c>
    </row>
    <row r="606" spans="1:13" x14ac:dyDescent="0.35">
      <c r="A606" t="s">
        <v>37</v>
      </c>
      <c r="B606" t="s">
        <v>37</v>
      </c>
      <c r="C606" s="14">
        <v>41.99</v>
      </c>
      <c r="D606">
        <v>10</v>
      </c>
      <c r="E606">
        <v>15</v>
      </c>
      <c r="F606" t="s">
        <v>588</v>
      </c>
      <c r="G606" t="s">
        <v>590</v>
      </c>
      <c r="H606">
        <v>2</v>
      </c>
      <c r="I606">
        <v>2024</v>
      </c>
      <c r="J606" s="7">
        <v>0.87633101851851847</v>
      </c>
      <c r="K606" t="s">
        <v>374</v>
      </c>
      <c r="L606" t="s">
        <v>315</v>
      </c>
      <c r="M606" t="s">
        <v>118</v>
      </c>
    </row>
    <row r="607" spans="1:13" x14ac:dyDescent="0.35">
      <c r="A607" t="s">
        <v>81</v>
      </c>
      <c r="B607" t="s">
        <v>3</v>
      </c>
      <c r="C607" s="14">
        <v>41.99</v>
      </c>
      <c r="D607">
        <v>9</v>
      </c>
      <c r="E607">
        <v>248</v>
      </c>
      <c r="F607" t="s">
        <v>588</v>
      </c>
      <c r="G607" t="s">
        <v>590</v>
      </c>
      <c r="H607">
        <v>24</v>
      </c>
      <c r="I607">
        <v>2024</v>
      </c>
      <c r="J607" s="7">
        <v>0.30658564814814815</v>
      </c>
      <c r="K607" t="s">
        <v>291</v>
      </c>
      <c r="L607" t="s">
        <v>274</v>
      </c>
      <c r="M607" t="s">
        <v>118</v>
      </c>
    </row>
    <row r="608" spans="1:13" x14ac:dyDescent="0.35">
      <c r="A608" t="s">
        <v>4</v>
      </c>
      <c r="B608" t="s">
        <v>3</v>
      </c>
      <c r="C608" s="14">
        <v>41.99</v>
      </c>
      <c r="D608">
        <v>2</v>
      </c>
      <c r="E608">
        <v>132</v>
      </c>
      <c r="F608" t="s">
        <v>588</v>
      </c>
      <c r="G608" t="s">
        <v>590</v>
      </c>
      <c r="H608">
        <v>24</v>
      </c>
      <c r="I608">
        <v>2024</v>
      </c>
      <c r="J608" s="7">
        <v>0.18069444444444444</v>
      </c>
      <c r="K608" t="s">
        <v>346</v>
      </c>
      <c r="L608" t="s">
        <v>347</v>
      </c>
      <c r="M608" t="s">
        <v>118</v>
      </c>
    </row>
    <row r="609" spans="1:13" x14ac:dyDescent="0.35">
      <c r="A609" t="s">
        <v>198</v>
      </c>
      <c r="B609" t="s">
        <v>1</v>
      </c>
      <c r="C609" s="14">
        <v>42.39</v>
      </c>
      <c r="D609">
        <v>9</v>
      </c>
      <c r="E609">
        <v>4</v>
      </c>
      <c r="F609" t="s">
        <v>588</v>
      </c>
      <c r="G609" t="s">
        <v>590</v>
      </c>
      <c r="H609">
        <v>20</v>
      </c>
      <c r="I609">
        <v>2024</v>
      </c>
      <c r="J609" s="7">
        <v>0.80320601851851847</v>
      </c>
      <c r="K609" t="s">
        <v>317</v>
      </c>
      <c r="L609" t="s">
        <v>118</v>
      </c>
      <c r="M609" t="s">
        <v>333</v>
      </c>
    </row>
    <row r="610" spans="1:13" x14ac:dyDescent="0.35">
      <c r="A610" t="s">
        <v>121</v>
      </c>
      <c r="B610" t="s">
        <v>3</v>
      </c>
      <c r="C610" s="14">
        <v>42.95</v>
      </c>
      <c r="D610">
        <v>2</v>
      </c>
      <c r="E610">
        <v>8</v>
      </c>
      <c r="F610" t="s">
        <v>588</v>
      </c>
      <c r="G610" t="s">
        <v>590</v>
      </c>
      <c r="H610">
        <v>4</v>
      </c>
      <c r="I610">
        <v>2024</v>
      </c>
      <c r="J610" s="7">
        <v>0.21106481481481482</v>
      </c>
      <c r="K610" t="s">
        <v>524</v>
      </c>
      <c r="L610" t="s">
        <v>506</v>
      </c>
      <c r="M610" t="s">
        <v>118</v>
      </c>
    </row>
    <row r="611" spans="1:13" x14ac:dyDescent="0.35">
      <c r="A611" t="s">
        <v>197</v>
      </c>
      <c r="B611" t="s">
        <v>1</v>
      </c>
      <c r="C611" s="14">
        <v>42.99</v>
      </c>
      <c r="D611">
        <v>8</v>
      </c>
      <c r="E611">
        <v>26</v>
      </c>
      <c r="F611" t="s">
        <v>588</v>
      </c>
      <c r="G611" t="s">
        <v>239</v>
      </c>
      <c r="H611">
        <v>0</v>
      </c>
      <c r="I611">
        <v>0</v>
      </c>
      <c r="J611" s="7">
        <v>0</v>
      </c>
      <c r="K611" t="s">
        <v>478</v>
      </c>
      <c r="L611" t="s">
        <v>282</v>
      </c>
      <c r="M611" t="s">
        <v>118</v>
      </c>
    </row>
    <row r="612" spans="1:13" x14ac:dyDescent="0.35">
      <c r="A612" t="s">
        <v>9</v>
      </c>
      <c r="B612" t="s">
        <v>1</v>
      </c>
      <c r="C612" s="14">
        <v>43</v>
      </c>
      <c r="D612">
        <v>3</v>
      </c>
      <c r="E612">
        <v>32</v>
      </c>
      <c r="F612" t="s">
        <v>588</v>
      </c>
      <c r="G612" t="s">
        <v>590</v>
      </c>
      <c r="H612">
        <v>20</v>
      </c>
      <c r="I612">
        <v>2024</v>
      </c>
      <c r="J612" s="7">
        <v>0.4400810185185185</v>
      </c>
      <c r="K612" t="s">
        <v>287</v>
      </c>
      <c r="L612" t="s">
        <v>266</v>
      </c>
      <c r="M612" t="s">
        <v>118</v>
      </c>
    </row>
    <row r="613" spans="1:13" x14ac:dyDescent="0.35">
      <c r="A613" t="s">
        <v>15</v>
      </c>
      <c r="B613" t="s">
        <v>1</v>
      </c>
      <c r="C613" s="14">
        <v>43.45</v>
      </c>
      <c r="D613">
        <v>0</v>
      </c>
      <c r="E613">
        <v>955</v>
      </c>
      <c r="F613" t="s">
        <v>588</v>
      </c>
      <c r="G613" t="s">
        <v>590</v>
      </c>
      <c r="H613">
        <v>17</v>
      </c>
      <c r="I613">
        <v>2024</v>
      </c>
      <c r="J613" s="7">
        <v>0.48629629629629628</v>
      </c>
      <c r="K613" t="s">
        <v>273</v>
      </c>
      <c r="L613" t="s">
        <v>274</v>
      </c>
      <c r="M613" t="s">
        <v>118</v>
      </c>
    </row>
    <row r="614" spans="1:13" x14ac:dyDescent="0.35">
      <c r="A614" t="s">
        <v>198</v>
      </c>
      <c r="B614" t="s">
        <v>3</v>
      </c>
      <c r="C614" s="14">
        <v>43.47</v>
      </c>
      <c r="D614">
        <v>49</v>
      </c>
      <c r="E614">
        <v>34</v>
      </c>
      <c r="F614" t="s">
        <v>588</v>
      </c>
      <c r="G614" t="s">
        <v>590</v>
      </c>
      <c r="H614">
        <v>12</v>
      </c>
      <c r="I614">
        <v>2024</v>
      </c>
      <c r="J614" s="7">
        <v>0.73649305555555555</v>
      </c>
      <c r="K614" t="s">
        <v>549</v>
      </c>
      <c r="L614" t="s">
        <v>283</v>
      </c>
      <c r="M614" t="s">
        <v>536</v>
      </c>
    </row>
    <row r="615" spans="1:13" x14ac:dyDescent="0.35">
      <c r="A615" t="s">
        <v>36</v>
      </c>
      <c r="B615" t="s">
        <v>37</v>
      </c>
      <c r="C615" s="14">
        <v>43.49</v>
      </c>
      <c r="D615">
        <v>0</v>
      </c>
      <c r="E615">
        <v>3</v>
      </c>
      <c r="F615" t="s">
        <v>588</v>
      </c>
      <c r="G615" t="s">
        <v>590</v>
      </c>
      <c r="H615">
        <v>24</v>
      </c>
      <c r="I615">
        <v>2024</v>
      </c>
      <c r="J615" s="7">
        <v>0.1425925925925926</v>
      </c>
      <c r="K615" t="s">
        <v>392</v>
      </c>
      <c r="L615" t="s">
        <v>286</v>
      </c>
      <c r="M615" t="s">
        <v>118</v>
      </c>
    </row>
    <row r="616" spans="1:13" x14ac:dyDescent="0.35">
      <c r="A616" t="s">
        <v>36</v>
      </c>
      <c r="B616" t="s">
        <v>3</v>
      </c>
      <c r="C616" s="14">
        <v>44</v>
      </c>
      <c r="D616">
        <v>10</v>
      </c>
      <c r="E616">
        <v>24</v>
      </c>
      <c r="F616" t="s">
        <v>588</v>
      </c>
      <c r="G616" t="s">
        <v>590</v>
      </c>
      <c r="H616">
        <v>20</v>
      </c>
      <c r="I616">
        <v>2024</v>
      </c>
      <c r="J616" s="7">
        <v>1.8807870370370371E-2</v>
      </c>
      <c r="K616" t="s">
        <v>280</v>
      </c>
      <c r="L616" t="s">
        <v>266</v>
      </c>
      <c r="M616" t="s">
        <v>118</v>
      </c>
    </row>
    <row r="617" spans="1:13" x14ac:dyDescent="0.35">
      <c r="A617" t="s">
        <v>21</v>
      </c>
      <c r="B617" t="s">
        <v>1</v>
      </c>
      <c r="C617" s="14">
        <v>44</v>
      </c>
      <c r="D617">
        <v>10</v>
      </c>
      <c r="E617">
        <v>83</v>
      </c>
      <c r="F617" t="s">
        <v>588</v>
      </c>
      <c r="G617" t="s">
        <v>590</v>
      </c>
      <c r="H617">
        <v>23</v>
      </c>
      <c r="I617">
        <v>2024</v>
      </c>
      <c r="J617" s="7">
        <v>0.22736111111111112</v>
      </c>
      <c r="K617" t="s">
        <v>511</v>
      </c>
      <c r="L617" t="s">
        <v>274</v>
      </c>
      <c r="M617" t="s">
        <v>118</v>
      </c>
    </row>
    <row r="618" spans="1:13" x14ac:dyDescent="0.35">
      <c r="A618" t="s">
        <v>9</v>
      </c>
      <c r="B618" t="s">
        <v>3</v>
      </c>
      <c r="C618" s="14">
        <v>44.49</v>
      </c>
      <c r="D618">
        <v>5</v>
      </c>
      <c r="E618">
        <v>4</v>
      </c>
      <c r="F618" t="s">
        <v>588</v>
      </c>
      <c r="G618" t="s">
        <v>590</v>
      </c>
      <c r="H618">
        <v>18</v>
      </c>
      <c r="I618">
        <v>2024</v>
      </c>
      <c r="J618" s="7">
        <v>0.35181712962962963</v>
      </c>
      <c r="K618" t="s">
        <v>288</v>
      </c>
      <c r="L618" t="s">
        <v>508</v>
      </c>
      <c r="M618" t="s">
        <v>118</v>
      </c>
    </row>
    <row r="619" spans="1:13" x14ac:dyDescent="0.35">
      <c r="A619" t="s">
        <v>236</v>
      </c>
      <c r="B619" t="s">
        <v>3</v>
      </c>
      <c r="C619" s="14">
        <v>44.61</v>
      </c>
      <c r="D619">
        <v>6</v>
      </c>
      <c r="E619">
        <v>27</v>
      </c>
      <c r="F619" t="s">
        <v>588</v>
      </c>
      <c r="G619" t="s">
        <v>590</v>
      </c>
      <c r="H619">
        <v>8</v>
      </c>
      <c r="I619">
        <v>2024</v>
      </c>
      <c r="J619" s="7">
        <v>0.32633101851851853</v>
      </c>
      <c r="K619" t="s">
        <v>291</v>
      </c>
      <c r="L619" t="s">
        <v>274</v>
      </c>
      <c r="M619" t="s">
        <v>118</v>
      </c>
    </row>
    <row r="620" spans="1:13" x14ac:dyDescent="0.35">
      <c r="A620" t="s">
        <v>133</v>
      </c>
      <c r="B620" t="s">
        <v>3</v>
      </c>
      <c r="C620" s="14">
        <v>44.93</v>
      </c>
      <c r="D620">
        <v>4</v>
      </c>
      <c r="E620">
        <v>2098</v>
      </c>
      <c r="F620" t="s">
        <v>589</v>
      </c>
      <c r="G620" t="s">
        <v>590</v>
      </c>
      <c r="H620">
        <v>21</v>
      </c>
      <c r="I620">
        <v>2024</v>
      </c>
      <c r="J620" s="7">
        <v>0.94392361111111112</v>
      </c>
      <c r="K620" t="s">
        <v>291</v>
      </c>
      <c r="L620" t="s">
        <v>274</v>
      </c>
      <c r="M620" t="s">
        <v>118</v>
      </c>
    </row>
    <row r="621" spans="1:13" x14ac:dyDescent="0.35">
      <c r="A621" t="s">
        <v>12</v>
      </c>
      <c r="B621" t="s">
        <v>3</v>
      </c>
      <c r="C621" s="14">
        <v>44.94</v>
      </c>
      <c r="D621">
        <v>6</v>
      </c>
      <c r="E621">
        <v>21310</v>
      </c>
      <c r="F621" t="s">
        <v>589</v>
      </c>
      <c r="G621" t="s">
        <v>590</v>
      </c>
      <c r="H621">
        <v>23</v>
      </c>
      <c r="I621">
        <v>2024</v>
      </c>
      <c r="J621" s="7">
        <v>0.82263888888888892</v>
      </c>
      <c r="K621" t="s">
        <v>290</v>
      </c>
      <c r="L621" t="s">
        <v>506</v>
      </c>
      <c r="M621" t="s">
        <v>118</v>
      </c>
    </row>
    <row r="622" spans="1:13" x14ac:dyDescent="0.35">
      <c r="A622" t="s">
        <v>230</v>
      </c>
      <c r="B622" t="s">
        <v>1</v>
      </c>
      <c r="C622" s="14">
        <v>44.95</v>
      </c>
      <c r="D622">
        <v>0</v>
      </c>
      <c r="E622">
        <v>75</v>
      </c>
      <c r="F622" t="s">
        <v>588</v>
      </c>
      <c r="G622" t="s">
        <v>590</v>
      </c>
      <c r="H622">
        <v>23</v>
      </c>
      <c r="I622">
        <v>2024</v>
      </c>
      <c r="J622" s="7">
        <v>0.65856481481481477</v>
      </c>
      <c r="K622" t="s">
        <v>547</v>
      </c>
      <c r="L622" t="s">
        <v>267</v>
      </c>
      <c r="M622" t="s">
        <v>118</v>
      </c>
    </row>
    <row r="623" spans="1:13" x14ac:dyDescent="0.35">
      <c r="A623" t="s">
        <v>4</v>
      </c>
      <c r="B623" t="s">
        <v>3</v>
      </c>
      <c r="C623" s="14">
        <v>44.99</v>
      </c>
      <c r="D623">
        <v>7</v>
      </c>
      <c r="E623">
        <v>159</v>
      </c>
      <c r="F623" t="s">
        <v>588</v>
      </c>
      <c r="G623" t="s">
        <v>590</v>
      </c>
      <c r="H623">
        <v>24</v>
      </c>
      <c r="I623">
        <v>2024</v>
      </c>
      <c r="J623" s="7">
        <v>0.14633101851851851</v>
      </c>
      <c r="K623" t="s">
        <v>272</v>
      </c>
      <c r="L623" t="s">
        <v>507</v>
      </c>
      <c r="M623" t="s">
        <v>118</v>
      </c>
    </row>
    <row r="624" spans="1:13" x14ac:dyDescent="0.35">
      <c r="A624" t="s">
        <v>9</v>
      </c>
      <c r="B624" t="s">
        <v>3</v>
      </c>
      <c r="C624" s="14">
        <v>44.99</v>
      </c>
      <c r="D624">
        <v>10</v>
      </c>
      <c r="E624">
        <v>14</v>
      </c>
      <c r="F624" t="s">
        <v>588</v>
      </c>
      <c r="G624" t="s">
        <v>590</v>
      </c>
      <c r="H624">
        <v>21</v>
      </c>
      <c r="I624">
        <v>2024</v>
      </c>
      <c r="J624" s="7">
        <v>0.96945601851851848</v>
      </c>
      <c r="K624" t="s">
        <v>280</v>
      </c>
      <c r="L624" t="s">
        <v>266</v>
      </c>
      <c r="M624" t="s">
        <v>118</v>
      </c>
    </row>
    <row r="625" spans="1:13" x14ac:dyDescent="0.35">
      <c r="A625" t="s">
        <v>9</v>
      </c>
      <c r="B625" t="s">
        <v>3</v>
      </c>
      <c r="C625" s="14">
        <v>44.99</v>
      </c>
      <c r="D625">
        <v>4</v>
      </c>
      <c r="E625">
        <v>27</v>
      </c>
      <c r="F625" t="s">
        <v>588</v>
      </c>
      <c r="G625" t="s">
        <v>590</v>
      </c>
      <c r="H625">
        <v>8</v>
      </c>
      <c r="I625">
        <v>2024</v>
      </c>
      <c r="J625" s="7">
        <v>0.42983796296296295</v>
      </c>
      <c r="K625" t="s">
        <v>285</v>
      </c>
      <c r="L625" t="s">
        <v>286</v>
      </c>
      <c r="M625" t="s">
        <v>118</v>
      </c>
    </row>
    <row r="626" spans="1:13" x14ac:dyDescent="0.35">
      <c r="A626" t="s">
        <v>36</v>
      </c>
      <c r="B626" t="s">
        <v>37</v>
      </c>
      <c r="C626" s="14">
        <v>44.99</v>
      </c>
      <c r="D626">
        <v>36</v>
      </c>
      <c r="E626">
        <v>38</v>
      </c>
      <c r="F626" t="s">
        <v>588</v>
      </c>
      <c r="G626" t="s">
        <v>590</v>
      </c>
      <c r="H626">
        <v>22</v>
      </c>
      <c r="I626">
        <v>2024</v>
      </c>
      <c r="J626" s="7">
        <v>0.35344907407407405</v>
      </c>
      <c r="K626" t="s">
        <v>278</v>
      </c>
      <c r="L626" t="s">
        <v>266</v>
      </c>
      <c r="M626" t="s">
        <v>118</v>
      </c>
    </row>
    <row r="627" spans="1:13" x14ac:dyDescent="0.35">
      <c r="A627" t="s">
        <v>229</v>
      </c>
      <c r="B627" t="s">
        <v>3</v>
      </c>
      <c r="C627" s="14">
        <v>44.99</v>
      </c>
      <c r="D627">
        <v>7</v>
      </c>
      <c r="E627">
        <v>32</v>
      </c>
      <c r="F627" t="s">
        <v>588</v>
      </c>
      <c r="G627" t="s">
        <v>590</v>
      </c>
      <c r="H627">
        <v>8</v>
      </c>
      <c r="I627">
        <v>2024</v>
      </c>
      <c r="J627" s="7">
        <v>0.43892361111111111</v>
      </c>
      <c r="K627" t="s">
        <v>285</v>
      </c>
      <c r="L627" t="s">
        <v>286</v>
      </c>
      <c r="M627" t="s">
        <v>118</v>
      </c>
    </row>
    <row r="628" spans="1:13" x14ac:dyDescent="0.35">
      <c r="A628" t="s">
        <v>4</v>
      </c>
      <c r="B628" t="s">
        <v>3</v>
      </c>
      <c r="C628" s="14">
        <v>44.99</v>
      </c>
      <c r="D628">
        <v>8</v>
      </c>
      <c r="E628">
        <v>19</v>
      </c>
      <c r="F628" t="s">
        <v>588</v>
      </c>
      <c r="G628" t="s">
        <v>590</v>
      </c>
      <c r="H628">
        <v>22</v>
      </c>
      <c r="I628">
        <v>2024</v>
      </c>
      <c r="J628" s="7">
        <v>0.23630787037037038</v>
      </c>
      <c r="K628" t="s">
        <v>280</v>
      </c>
      <c r="L628" t="s">
        <v>266</v>
      </c>
      <c r="M628" t="s">
        <v>118</v>
      </c>
    </row>
    <row r="629" spans="1:13" x14ac:dyDescent="0.35">
      <c r="A629" t="s">
        <v>36</v>
      </c>
      <c r="B629" t="s">
        <v>37</v>
      </c>
      <c r="C629" s="14">
        <v>44.99</v>
      </c>
      <c r="D629">
        <v>5</v>
      </c>
      <c r="E629">
        <v>129</v>
      </c>
      <c r="F629" t="s">
        <v>588</v>
      </c>
      <c r="G629" t="s">
        <v>590</v>
      </c>
      <c r="H629">
        <v>19</v>
      </c>
      <c r="I629">
        <v>2024</v>
      </c>
      <c r="J629" s="7">
        <v>0.62731481481481477</v>
      </c>
      <c r="K629" t="s">
        <v>272</v>
      </c>
      <c r="L629" t="s">
        <v>507</v>
      </c>
      <c r="M629" t="s">
        <v>118</v>
      </c>
    </row>
    <row r="630" spans="1:13" x14ac:dyDescent="0.35">
      <c r="A630" t="s">
        <v>234</v>
      </c>
      <c r="B630" t="s">
        <v>1</v>
      </c>
      <c r="C630" s="14">
        <v>44.99</v>
      </c>
      <c r="D630">
        <v>68</v>
      </c>
      <c r="E630">
        <v>13</v>
      </c>
      <c r="F630" t="s">
        <v>588</v>
      </c>
      <c r="G630" t="s">
        <v>590</v>
      </c>
      <c r="H630">
        <v>15</v>
      </c>
      <c r="I630">
        <v>2024</v>
      </c>
      <c r="J630" s="7">
        <v>0.73763888888888884</v>
      </c>
      <c r="K630" t="s">
        <v>301</v>
      </c>
      <c r="L630" t="s">
        <v>506</v>
      </c>
      <c r="M630" t="s">
        <v>333</v>
      </c>
    </row>
    <row r="631" spans="1:13" x14ac:dyDescent="0.35">
      <c r="A631" t="s">
        <v>25</v>
      </c>
      <c r="B631" t="s">
        <v>1</v>
      </c>
      <c r="C631" s="14">
        <v>45</v>
      </c>
      <c r="D631">
        <v>10</v>
      </c>
      <c r="E631">
        <v>37</v>
      </c>
      <c r="F631" t="s">
        <v>588</v>
      </c>
      <c r="G631" t="s">
        <v>590</v>
      </c>
      <c r="H631">
        <v>17</v>
      </c>
      <c r="I631">
        <v>2024</v>
      </c>
      <c r="J631" s="7">
        <v>0.39065972222222223</v>
      </c>
      <c r="K631" t="s">
        <v>387</v>
      </c>
      <c r="L631" t="s">
        <v>282</v>
      </c>
      <c r="M631" t="s">
        <v>118</v>
      </c>
    </row>
    <row r="632" spans="1:13" x14ac:dyDescent="0.35">
      <c r="A632" t="s">
        <v>15</v>
      </c>
      <c r="B632" t="s">
        <v>1</v>
      </c>
      <c r="C632" s="14">
        <v>45</v>
      </c>
      <c r="D632">
        <v>7</v>
      </c>
      <c r="E632">
        <v>150</v>
      </c>
      <c r="F632" t="s">
        <v>588</v>
      </c>
      <c r="G632" t="s">
        <v>590</v>
      </c>
      <c r="H632">
        <v>15</v>
      </c>
      <c r="I632">
        <v>2024</v>
      </c>
      <c r="J632" s="7">
        <v>0.63497685185185182</v>
      </c>
      <c r="K632" t="s">
        <v>387</v>
      </c>
      <c r="L632" t="s">
        <v>282</v>
      </c>
      <c r="M632" t="s">
        <v>118</v>
      </c>
    </row>
    <row r="633" spans="1:13" x14ac:dyDescent="0.35">
      <c r="A633" t="s">
        <v>25</v>
      </c>
      <c r="B633" t="s">
        <v>1</v>
      </c>
      <c r="C633" s="14">
        <v>45.11</v>
      </c>
      <c r="D633">
        <v>756</v>
      </c>
      <c r="E633">
        <v>258</v>
      </c>
      <c r="F633" t="s">
        <v>588</v>
      </c>
      <c r="G633" t="s">
        <v>590</v>
      </c>
      <c r="H633">
        <v>24</v>
      </c>
      <c r="I633">
        <v>2024</v>
      </c>
      <c r="J633" s="7">
        <v>0.4100462962962963</v>
      </c>
      <c r="K633" t="s">
        <v>509</v>
      </c>
      <c r="L633" t="s">
        <v>505</v>
      </c>
      <c r="M633" t="s">
        <v>118</v>
      </c>
    </row>
    <row r="634" spans="1:13" x14ac:dyDescent="0.35">
      <c r="A634" t="s">
        <v>15</v>
      </c>
      <c r="B634" t="s">
        <v>1</v>
      </c>
      <c r="C634" s="14">
        <v>45.35</v>
      </c>
      <c r="D634">
        <v>5</v>
      </c>
      <c r="E634">
        <v>1</v>
      </c>
      <c r="F634" t="s">
        <v>588</v>
      </c>
      <c r="G634" t="s">
        <v>590</v>
      </c>
      <c r="H634">
        <v>23</v>
      </c>
      <c r="I634">
        <v>2024</v>
      </c>
      <c r="J634" s="7">
        <v>6.9814814814814816E-2</v>
      </c>
      <c r="K634" t="s">
        <v>557</v>
      </c>
      <c r="L634" t="s">
        <v>486</v>
      </c>
      <c r="M634" t="s">
        <v>538</v>
      </c>
    </row>
    <row r="635" spans="1:13" x14ac:dyDescent="0.35">
      <c r="A635" t="s">
        <v>50</v>
      </c>
      <c r="B635" t="s">
        <v>3</v>
      </c>
      <c r="C635" s="14">
        <v>45.49</v>
      </c>
      <c r="D635">
        <v>10</v>
      </c>
      <c r="E635">
        <v>116</v>
      </c>
      <c r="F635" t="s">
        <v>588</v>
      </c>
      <c r="G635" t="s">
        <v>590</v>
      </c>
      <c r="H635">
        <v>24</v>
      </c>
      <c r="I635">
        <v>2024</v>
      </c>
      <c r="J635" s="7">
        <v>0.13915509259259259</v>
      </c>
      <c r="K635" t="s">
        <v>359</v>
      </c>
      <c r="L635" t="s">
        <v>360</v>
      </c>
      <c r="M635" t="s">
        <v>118</v>
      </c>
    </row>
    <row r="636" spans="1:13" x14ac:dyDescent="0.35">
      <c r="A636" t="s">
        <v>53</v>
      </c>
      <c r="B636" t="s">
        <v>45</v>
      </c>
      <c r="C636" s="14">
        <v>45.68</v>
      </c>
      <c r="D636">
        <v>10</v>
      </c>
      <c r="E636">
        <v>5</v>
      </c>
      <c r="F636" t="s">
        <v>588</v>
      </c>
      <c r="G636" t="s">
        <v>590</v>
      </c>
      <c r="H636">
        <v>22</v>
      </c>
      <c r="I636">
        <v>2024</v>
      </c>
      <c r="J636" s="7">
        <v>0.81998842592592591</v>
      </c>
      <c r="K636" t="s">
        <v>310</v>
      </c>
      <c r="L636" t="s">
        <v>282</v>
      </c>
      <c r="M636" t="s">
        <v>118</v>
      </c>
    </row>
    <row r="637" spans="1:13" x14ac:dyDescent="0.35">
      <c r="A637" t="s">
        <v>53</v>
      </c>
      <c r="B637" t="s">
        <v>3</v>
      </c>
      <c r="C637" s="14">
        <v>45.69</v>
      </c>
      <c r="D637">
        <v>0</v>
      </c>
      <c r="E637">
        <v>31</v>
      </c>
      <c r="F637" t="s">
        <v>588</v>
      </c>
      <c r="G637" t="s">
        <v>590</v>
      </c>
      <c r="H637">
        <v>15</v>
      </c>
      <c r="I637">
        <v>2024</v>
      </c>
      <c r="J637" s="7">
        <v>0.13483796296296297</v>
      </c>
      <c r="K637" t="s">
        <v>273</v>
      </c>
      <c r="L637" t="s">
        <v>274</v>
      </c>
      <c r="M637" t="s">
        <v>342</v>
      </c>
    </row>
    <row r="638" spans="1:13" x14ac:dyDescent="0.35">
      <c r="A638" t="s">
        <v>116</v>
      </c>
      <c r="B638" t="s">
        <v>1</v>
      </c>
      <c r="C638" s="14">
        <v>45.7</v>
      </c>
      <c r="D638">
        <v>3</v>
      </c>
      <c r="E638">
        <v>420</v>
      </c>
      <c r="F638" t="s">
        <v>588</v>
      </c>
      <c r="G638" t="s">
        <v>590</v>
      </c>
      <c r="H638">
        <v>23</v>
      </c>
      <c r="I638">
        <v>2024</v>
      </c>
      <c r="J638" s="7">
        <v>0.18057870370370371</v>
      </c>
      <c r="K638" t="s">
        <v>291</v>
      </c>
      <c r="L638" t="s">
        <v>274</v>
      </c>
      <c r="M638" t="s">
        <v>118</v>
      </c>
    </row>
    <row r="639" spans="1:13" x14ac:dyDescent="0.35">
      <c r="A639" t="s">
        <v>93</v>
      </c>
      <c r="B639" t="s">
        <v>3</v>
      </c>
      <c r="C639" s="14">
        <v>45.9</v>
      </c>
      <c r="D639">
        <v>10</v>
      </c>
      <c r="E639">
        <v>74</v>
      </c>
      <c r="F639" t="s">
        <v>588</v>
      </c>
      <c r="G639" t="s">
        <v>590</v>
      </c>
      <c r="H639">
        <v>23</v>
      </c>
      <c r="I639">
        <v>2024</v>
      </c>
      <c r="J639" s="7">
        <v>0.13077546296296297</v>
      </c>
      <c r="K639" t="s">
        <v>444</v>
      </c>
      <c r="L639" t="s">
        <v>445</v>
      </c>
      <c r="M639" t="s">
        <v>118</v>
      </c>
    </row>
    <row r="640" spans="1:13" x14ac:dyDescent="0.35">
      <c r="A640" t="s">
        <v>4</v>
      </c>
      <c r="B640" t="s">
        <v>3</v>
      </c>
      <c r="C640" s="14">
        <v>45.95</v>
      </c>
      <c r="D640">
        <v>10</v>
      </c>
      <c r="E640">
        <v>578</v>
      </c>
      <c r="F640" t="s">
        <v>588</v>
      </c>
      <c r="G640" t="s">
        <v>590</v>
      </c>
      <c r="H640">
        <v>23</v>
      </c>
      <c r="I640">
        <v>2024</v>
      </c>
      <c r="J640" s="7">
        <v>0.80320601851851847</v>
      </c>
      <c r="K640" t="s">
        <v>303</v>
      </c>
      <c r="L640" t="s">
        <v>266</v>
      </c>
      <c r="M640" t="s">
        <v>118</v>
      </c>
    </row>
    <row r="641" spans="1:13" x14ac:dyDescent="0.35">
      <c r="A641" t="s">
        <v>231</v>
      </c>
      <c r="B641" t="s">
        <v>3</v>
      </c>
      <c r="C641" s="14">
        <v>45.98</v>
      </c>
      <c r="D641">
        <v>10</v>
      </c>
      <c r="E641">
        <v>343</v>
      </c>
      <c r="F641" t="s">
        <v>588</v>
      </c>
      <c r="G641" t="s">
        <v>590</v>
      </c>
      <c r="H641">
        <v>20</v>
      </c>
      <c r="I641">
        <v>2024</v>
      </c>
      <c r="J641" s="7">
        <v>0.51951388888888894</v>
      </c>
      <c r="K641" t="s">
        <v>509</v>
      </c>
      <c r="L641" t="s">
        <v>505</v>
      </c>
      <c r="M641" t="s">
        <v>118</v>
      </c>
    </row>
    <row r="642" spans="1:13" x14ac:dyDescent="0.35">
      <c r="A642" t="s">
        <v>4</v>
      </c>
      <c r="B642" t="s">
        <v>3</v>
      </c>
      <c r="C642" s="14">
        <v>45.99</v>
      </c>
      <c r="D642">
        <v>0</v>
      </c>
      <c r="E642">
        <v>101</v>
      </c>
      <c r="F642" t="s">
        <v>588</v>
      </c>
      <c r="G642" t="s">
        <v>590</v>
      </c>
      <c r="H642">
        <v>24</v>
      </c>
      <c r="I642">
        <v>2024</v>
      </c>
      <c r="J642" s="7">
        <v>0.11758101851851852</v>
      </c>
      <c r="K642" t="s">
        <v>316</v>
      </c>
      <c r="L642" t="s">
        <v>305</v>
      </c>
      <c r="M642" t="s">
        <v>118</v>
      </c>
    </row>
    <row r="643" spans="1:13" x14ac:dyDescent="0.35">
      <c r="A643" t="s">
        <v>12</v>
      </c>
      <c r="B643" t="s">
        <v>3</v>
      </c>
      <c r="C643" s="14">
        <v>45.99</v>
      </c>
      <c r="D643">
        <v>0</v>
      </c>
      <c r="E643">
        <v>37</v>
      </c>
      <c r="F643" t="s">
        <v>588</v>
      </c>
      <c r="G643" t="s">
        <v>590</v>
      </c>
      <c r="H643">
        <v>21</v>
      </c>
      <c r="I643">
        <v>2024</v>
      </c>
      <c r="J643" s="7">
        <v>0.31696759259259261</v>
      </c>
      <c r="K643" t="s">
        <v>285</v>
      </c>
      <c r="L643" t="s">
        <v>286</v>
      </c>
      <c r="M643" t="s">
        <v>118</v>
      </c>
    </row>
    <row r="644" spans="1:13" x14ac:dyDescent="0.35">
      <c r="A644" t="s">
        <v>13</v>
      </c>
      <c r="B644" t="s">
        <v>3</v>
      </c>
      <c r="C644" s="14">
        <v>45.99</v>
      </c>
      <c r="D644">
        <v>96</v>
      </c>
      <c r="E644">
        <v>2452</v>
      </c>
      <c r="F644" t="s">
        <v>589</v>
      </c>
      <c r="G644" t="s">
        <v>590</v>
      </c>
      <c r="H644">
        <v>24</v>
      </c>
      <c r="I644">
        <v>2024</v>
      </c>
      <c r="J644" s="7">
        <v>0.38721064814814815</v>
      </c>
      <c r="K644" t="s">
        <v>290</v>
      </c>
      <c r="L644" t="s">
        <v>506</v>
      </c>
      <c r="M644" t="s">
        <v>118</v>
      </c>
    </row>
    <row r="645" spans="1:13" x14ac:dyDescent="0.35">
      <c r="A645" t="s">
        <v>13</v>
      </c>
      <c r="B645" t="s">
        <v>3</v>
      </c>
      <c r="C645" s="14">
        <v>46</v>
      </c>
      <c r="D645">
        <v>10</v>
      </c>
      <c r="E645">
        <v>1207</v>
      </c>
      <c r="F645" t="s">
        <v>589</v>
      </c>
      <c r="G645" t="s">
        <v>590</v>
      </c>
      <c r="H645">
        <v>22</v>
      </c>
      <c r="I645">
        <v>2024</v>
      </c>
      <c r="J645" s="7">
        <v>0.484375</v>
      </c>
      <c r="K645" t="s">
        <v>291</v>
      </c>
      <c r="L645" t="s">
        <v>274</v>
      </c>
      <c r="M645" t="s">
        <v>118</v>
      </c>
    </row>
    <row r="646" spans="1:13" x14ac:dyDescent="0.35">
      <c r="A646" t="s">
        <v>17</v>
      </c>
      <c r="B646" t="s">
        <v>1</v>
      </c>
      <c r="C646" s="14">
        <v>46.15</v>
      </c>
      <c r="D646">
        <v>0</v>
      </c>
      <c r="E646">
        <v>494</v>
      </c>
      <c r="F646" t="s">
        <v>588</v>
      </c>
      <c r="G646" t="s">
        <v>590</v>
      </c>
      <c r="H646">
        <v>23</v>
      </c>
      <c r="I646">
        <v>2024</v>
      </c>
      <c r="J646" s="7">
        <v>0.36564814814814817</v>
      </c>
      <c r="K646" t="s">
        <v>291</v>
      </c>
      <c r="L646" t="s">
        <v>274</v>
      </c>
      <c r="M646" t="s">
        <v>118</v>
      </c>
    </row>
    <row r="647" spans="1:13" x14ac:dyDescent="0.35">
      <c r="A647" t="s">
        <v>21</v>
      </c>
      <c r="B647" t="s">
        <v>3</v>
      </c>
      <c r="C647" s="14">
        <v>46.33</v>
      </c>
      <c r="D647">
        <v>56</v>
      </c>
      <c r="E647">
        <v>30655</v>
      </c>
      <c r="F647" t="s">
        <v>589</v>
      </c>
      <c r="G647" t="s">
        <v>590</v>
      </c>
      <c r="H647">
        <v>24</v>
      </c>
      <c r="I647">
        <v>2024</v>
      </c>
      <c r="J647" s="7">
        <v>0.33195601851851853</v>
      </c>
      <c r="K647" t="s">
        <v>290</v>
      </c>
      <c r="L647" t="s">
        <v>506</v>
      </c>
      <c r="M647" t="s">
        <v>118</v>
      </c>
    </row>
    <row r="648" spans="1:13" x14ac:dyDescent="0.35">
      <c r="A648" t="s">
        <v>231</v>
      </c>
      <c r="B648" t="s">
        <v>1</v>
      </c>
      <c r="C648" s="14">
        <v>46.48</v>
      </c>
      <c r="D648">
        <v>10</v>
      </c>
      <c r="E648">
        <v>7</v>
      </c>
      <c r="F648" t="s">
        <v>588</v>
      </c>
      <c r="G648" t="s">
        <v>590</v>
      </c>
      <c r="H648">
        <v>24</v>
      </c>
      <c r="I648">
        <v>2024</v>
      </c>
      <c r="J648" s="7">
        <v>5.6018518518518516E-2</v>
      </c>
      <c r="K648" t="s">
        <v>273</v>
      </c>
      <c r="L648" t="s">
        <v>274</v>
      </c>
      <c r="M648" t="s">
        <v>342</v>
      </c>
    </row>
    <row r="649" spans="1:13" x14ac:dyDescent="0.35">
      <c r="A649" t="s">
        <v>102</v>
      </c>
      <c r="B649" t="s">
        <v>37</v>
      </c>
      <c r="C649" s="14">
        <v>46.75</v>
      </c>
      <c r="D649">
        <v>4</v>
      </c>
      <c r="E649">
        <v>3</v>
      </c>
      <c r="F649" t="s">
        <v>588</v>
      </c>
      <c r="G649" t="s">
        <v>239</v>
      </c>
      <c r="H649">
        <v>0</v>
      </c>
      <c r="I649">
        <v>0</v>
      </c>
      <c r="J649" s="7">
        <v>0</v>
      </c>
      <c r="K649" t="s">
        <v>525</v>
      </c>
      <c r="L649" t="s">
        <v>434</v>
      </c>
      <c r="M649" t="s">
        <v>118</v>
      </c>
    </row>
    <row r="650" spans="1:13" x14ac:dyDescent="0.35">
      <c r="A650" t="s">
        <v>196</v>
      </c>
      <c r="B650" t="s">
        <v>1</v>
      </c>
      <c r="C650" s="14">
        <v>46.99</v>
      </c>
      <c r="D650">
        <v>2</v>
      </c>
      <c r="E650">
        <v>3</v>
      </c>
      <c r="F650" t="s">
        <v>588</v>
      </c>
      <c r="G650" t="s">
        <v>590</v>
      </c>
      <c r="H650">
        <v>24</v>
      </c>
      <c r="I650">
        <v>2024</v>
      </c>
      <c r="J650" s="7">
        <v>1.7291666666666667E-2</v>
      </c>
      <c r="K650" t="s">
        <v>515</v>
      </c>
      <c r="L650" t="s">
        <v>505</v>
      </c>
      <c r="M650" t="s">
        <v>118</v>
      </c>
    </row>
    <row r="651" spans="1:13" x14ac:dyDescent="0.35">
      <c r="A651" t="s">
        <v>4</v>
      </c>
      <c r="B651" t="s">
        <v>3</v>
      </c>
      <c r="C651" s="14">
        <v>46.99</v>
      </c>
      <c r="D651">
        <v>10</v>
      </c>
      <c r="E651">
        <v>15</v>
      </c>
      <c r="F651" t="s">
        <v>588</v>
      </c>
      <c r="G651" t="s">
        <v>590</v>
      </c>
      <c r="H651">
        <v>21</v>
      </c>
      <c r="I651">
        <v>2024</v>
      </c>
      <c r="J651" s="7">
        <v>0.92777777777777781</v>
      </c>
      <c r="K651" t="s">
        <v>509</v>
      </c>
      <c r="L651" t="s">
        <v>505</v>
      </c>
      <c r="M651" t="s">
        <v>118</v>
      </c>
    </row>
    <row r="652" spans="1:13" x14ac:dyDescent="0.35">
      <c r="A652" t="s">
        <v>133</v>
      </c>
      <c r="B652" t="s">
        <v>3</v>
      </c>
      <c r="C652" s="14">
        <v>47.26</v>
      </c>
      <c r="D652">
        <v>3</v>
      </c>
      <c r="E652">
        <v>52</v>
      </c>
      <c r="F652" t="s">
        <v>588</v>
      </c>
      <c r="G652" t="s">
        <v>590</v>
      </c>
      <c r="H652">
        <v>9</v>
      </c>
      <c r="I652">
        <v>2024</v>
      </c>
      <c r="J652" s="7">
        <v>0.48252314814814817</v>
      </c>
      <c r="K652" t="s">
        <v>291</v>
      </c>
      <c r="L652" t="s">
        <v>274</v>
      </c>
      <c r="M652" t="s">
        <v>118</v>
      </c>
    </row>
    <row r="653" spans="1:13" x14ac:dyDescent="0.35">
      <c r="A653" t="s">
        <v>44</v>
      </c>
      <c r="B653" t="s">
        <v>3</v>
      </c>
      <c r="C653" s="14">
        <v>47.34</v>
      </c>
      <c r="D653">
        <v>12</v>
      </c>
      <c r="E653">
        <v>14</v>
      </c>
      <c r="F653" t="s">
        <v>588</v>
      </c>
      <c r="G653" t="s">
        <v>239</v>
      </c>
      <c r="H653">
        <v>0</v>
      </c>
      <c r="I653">
        <v>0</v>
      </c>
      <c r="J653" s="7">
        <v>0</v>
      </c>
      <c r="K653" t="s">
        <v>400</v>
      </c>
      <c r="L653" t="s">
        <v>282</v>
      </c>
      <c r="M653" t="s">
        <v>118</v>
      </c>
    </row>
    <row r="654" spans="1:13" x14ac:dyDescent="0.35">
      <c r="A654" t="s">
        <v>231</v>
      </c>
      <c r="B654" t="s">
        <v>1</v>
      </c>
      <c r="C654" s="14">
        <v>47.88</v>
      </c>
      <c r="D654">
        <v>8</v>
      </c>
      <c r="E654">
        <v>25</v>
      </c>
      <c r="F654" t="s">
        <v>588</v>
      </c>
      <c r="G654" t="s">
        <v>590</v>
      </c>
      <c r="H654">
        <v>23</v>
      </c>
      <c r="I654">
        <v>2024</v>
      </c>
      <c r="J654" s="7">
        <v>0.86592592592592588</v>
      </c>
      <c r="K654" t="s">
        <v>310</v>
      </c>
      <c r="L654" t="s">
        <v>282</v>
      </c>
      <c r="M654" t="s">
        <v>118</v>
      </c>
    </row>
    <row r="655" spans="1:13" x14ac:dyDescent="0.35">
      <c r="A655" t="s">
        <v>13</v>
      </c>
      <c r="B655" t="s">
        <v>3</v>
      </c>
      <c r="C655" s="14">
        <v>47.99</v>
      </c>
      <c r="D655">
        <v>0</v>
      </c>
      <c r="E655">
        <v>8877</v>
      </c>
      <c r="F655" t="s">
        <v>589</v>
      </c>
      <c r="G655" t="s">
        <v>590</v>
      </c>
      <c r="H655">
        <v>23</v>
      </c>
      <c r="I655">
        <v>2024</v>
      </c>
      <c r="J655" s="7">
        <v>0.84946759259259264</v>
      </c>
      <c r="K655" t="s">
        <v>290</v>
      </c>
      <c r="L655" t="s">
        <v>506</v>
      </c>
      <c r="M655" t="s">
        <v>118</v>
      </c>
    </row>
    <row r="656" spans="1:13" x14ac:dyDescent="0.35">
      <c r="A656" t="s">
        <v>92</v>
      </c>
      <c r="B656" t="s">
        <v>1</v>
      </c>
      <c r="C656" s="14">
        <v>47.99</v>
      </c>
      <c r="D656">
        <v>82</v>
      </c>
      <c r="E656">
        <v>13</v>
      </c>
      <c r="F656" t="s">
        <v>588</v>
      </c>
      <c r="G656" t="s">
        <v>592</v>
      </c>
      <c r="H656">
        <v>16</v>
      </c>
      <c r="I656">
        <v>2024</v>
      </c>
      <c r="J656" s="7">
        <v>0.77503472222222225</v>
      </c>
      <c r="K656" t="s">
        <v>397</v>
      </c>
      <c r="L656" t="s">
        <v>315</v>
      </c>
      <c r="M656" t="s">
        <v>118</v>
      </c>
    </row>
    <row r="657" spans="1:13" x14ac:dyDescent="0.35">
      <c r="A657" t="s">
        <v>209</v>
      </c>
      <c r="B657" t="s">
        <v>3</v>
      </c>
      <c r="C657" s="14">
        <v>47.99</v>
      </c>
      <c r="D657">
        <v>3</v>
      </c>
      <c r="E657">
        <v>165</v>
      </c>
      <c r="F657" t="s">
        <v>588</v>
      </c>
      <c r="G657" t="s">
        <v>590</v>
      </c>
      <c r="H657">
        <v>24</v>
      </c>
      <c r="I657">
        <v>2024</v>
      </c>
      <c r="J657" s="7">
        <v>0.34767361111111111</v>
      </c>
      <c r="K657" t="s">
        <v>511</v>
      </c>
      <c r="L657" t="s">
        <v>274</v>
      </c>
      <c r="M657" t="s">
        <v>118</v>
      </c>
    </row>
    <row r="658" spans="1:13" x14ac:dyDescent="0.35">
      <c r="A658" t="s">
        <v>107</v>
      </c>
      <c r="B658" t="s">
        <v>3</v>
      </c>
      <c r="C658" s="14">
        <v>47.99</v>
      </c>
      <c r="D658">
        <v>10</v>
      </c>
      <c r="E658">
        <v>17</v>
      </c>
      <c r="F658" t="s">
        <v>588</v>
      </c>
      <c r="G658" t="s">
        <v>590</v>
      </c>
      <c r="H658">
        <v>16</v>
      </c>
      <c r="I658">
        <v>2024</v>
      </c>
      <c r="J658" s="7">
        <v>0.91244212962962967</v>
      </c>
      <c r="K658" t="s">
        <v>301</v>
      </c>
      <c r="L658" t="s">
        <v>506</v>
      </c>
      <c r="M658" t="s">
        <v>118</v>
      </c>
    </row>
    <row r="659" spans="1:13" x14ac:dyDescent="0.35">
      <c r="A659" t="s">
        <v>11</v>
      </c>
      <c r="B659" t="s">
        <v>3</v>
      </c>
      <c r="C659" s="14">
        <v>47.99</v>
      </c>
      <c r="D659">
        <v>10</v>
      </c>
      <c r="E659">
        <v>16</v>
      </c>
      <c r="F659" t="s">
        <v>588</v>
      </c>
      <c r="G659" t="s">
        <v>590</v>
      </c>
      <c r="H659">
        <v>21</v>
      </c>
      <c r="I659">
        <v>2024</v>
      </c>
      <c r="J659" s="7">
        <v>0.40274305555555556</v>
      </c>
      <c r="K659" t="s">
        <v>317</v>
      </c>
      <c r="L659" t="s">
        <v>118</v>
      </c>
      <c r="M659" t="s">
        <v>118</v>
      </c>
    </row>
    <row r="660" spans="1:13" x14ac:dyDescent="0.35">
      <c r="A660" t="s">
        <v>2</v>
      </c>
      <c r="B660" t="s">
        <v>1</v>
      </c>
      <c r="C660" s="14">
        <v>48</v>
      </c>
      <c r="D660">
        <v>3</v>
      </c>
      <c r="E660">
        <v>7</v>
      </c>
      <c r="F660" t="s">
        <v>588</v>
      </c>
      <c r="G660" t="s">
        <v>239</v>
      </c>
      <c r="H660">
        <v>0</v>
      </c>
      <c r="I660">
        <v>0</v>
      </c>
      <c r="J660" s="7">
        <v>0</v>
      </c>
      <c r="K660" t="s">
        <v>343</v>
      </c>
      <c r="L660" t="s">
        <v>286</v>
      </c>
      <c r="M660" t="s">
        <v>118</v>
      </c>
    </row>
    <row r="661" spans="1:13" x14ac:dyDescent="0.35">
      <c r="A661" t="s">
        <v>229</v>
      </c>
      <c r="B661" t="s">
        <v>1</v>
      </c>
      <c r="C661" s="14">
        <v>48.87</v>
      </c>
      <c r="D661">
        <v>10</v>
      </c>
      <c r="E661">
        <v>8</v>
      </c>
      <c r="F661" t="s">
        <v>588</v>
      </c>
      <c r="G661" t="s">
        <v>590</v>
      </c>
      <c r="H661">
        <v>20</v>
      </c>
      <c r="I661">
        <v>2024</v>
      </c>
      <c r="J661" s="7">
        <v>0.86421296296296302</v>
      </c>
      <c r="K661" t="s">
        <v>509</v>
      </c>
      <c r="L661" t="s">
        <v>505</v>
      </c>
      <c r="M661" t="s">
        <v>118</v>
      </c>
    </row>
    <row r="662" spans="1:13" x14ac:dyDescent="0.35">
      <c r="A662" t="s">
        <v>4</v>
      </c>
      <c r="B662" t="s">
        <v>3</v>
      </c>
      <c r="C662" s="14">
        <v>48.95</v>
      </c>
      <c r="D662">
        <v>10</v>
      </c>
      <c r="E662">
        <v>969</v>
      </c>
      <c r="F662" t="s">
        <v>588</v>
      </c>
      <c r="G662" t="s">
        <v>590</v>
      </c>
      <c r="H662">
        <v>23</v>
      </c>
      <c r="I662">
        <v>2024</v>
      </c>
      <c r="J662" s="7">
        <v>0.33847222222222223</v>
      </c>
      <c r="K662" t="s">
        <v>325</v>
      </c>
      <c r="L662" t="s">
        <v>266</v>
      </c>
      <c r="M662" t="s">
        <v>118</v>
      </c>
    </row>
    <row r="663" spans="1:13" x14ac:dyDescent="0.35">
      <c r="A663" t="s">
        <v>4</v>
      </c>
      <c r="B663" t="s">
        <v>3</v>
      </c>
      <c r="C663" s="14">
        <v>48.95</v>
      </c>
      <c r="D663">
        <v>44</v>
      </c>
      <c r="E663">
        <v>121</v>
      </c>
      <c r="F663" t="s">
        <v>588</v>
      </c>
      <c r="G663" t="s">
        <v>590</v>
      </c>
      <c r="H663">
        <v>23</v>
      </c>
      <c r="I663">
        <v>2024</v>
      </c>
      <c r="J663" s="7">
        <v>0.36395833333333333</v>
      </c>
      <c r="K663" t="s">
        <v>345</v>
      </c>
      <c r="L663" t="s">
        <v>266</v>
      </c>
      <c r="M663" t="s">
        <v>118</v>
      </c>
    </row>
    <row r="664" spans="1:13" x14ac:dyDescent="0.35">
      <c r="A664" t="s">
        <v>4</v>
      </c>
      <c r="B664" t="s">
        <v>3</v>
      </c>
      <c r="C664" s="14">
        <v>48.95</v>
      </c>
      <c r="D664">
        <v>4</v>
      </c>
      <c r="E664">
        <v>40</v>
      </c>
      <c r="F664" t="s">
        <v>588</v>
      </c>
      <c r="G664" t="s">
        <v>590</v>
      </c>
      <c r="H664">
        <v>22</v>
      </c>
      <c r="I664">
        <v>2024</v>
      </c>
      <c r="J664" s="7">
        <v>0.42836805555555557</v>
      </c>
      <c r="K664" t="s">
        <v>417</v>
      </c>
      <c r="L664" t="s">
        <v>508</v>
      </c>
      <c r="M664" t="s">
        <v>118</v>
      </c>
    </row>
    <row r="665" spans="1:13" x14ac:dyDescent="0.35">
      <c r="A665" t="s">
        <v>48</v>
      </c>
      <c r="B665" t="s">
        <v>1</v>
      </c>
      <c r="C665" s="14">
        <v>48.97</v>
      </c>
      <c r="D665">
        <v>0</v>
      </c>
      <c r="E665">
        <v>30</v>
      </c>
      <c r="F665" t="s">
        <v>588</v>
      </c>
      <c r="G665" t="s">
        <v>590</v>
      </c>
      <c r="H665">
        <v>13</v>
      </c>
      <c r="I665">
        <v>2024</v>
      </c>
      <c r="J665" s="7">
        <v>0.12429398148148148</v>
      </c>
      <c r="K665" t="s">
        <v>476</v>
      </c>
      <c r="L665" t="s">
        <v>477</v>
      </c>
      <c r="M665" t="s">
        <v>118</v>
      </c>
    </row>
    <row r="666" spans="1:13" x14ac:dyDescent="0.35">
      <c r="A666" t="s">
        <v>39</v>
      </c>
      <c r="B666" t="s">
        <v>3</v>
      </c>
      <c r="C666" s="14">
        <v>48.99</v>
      </c>
      <c r="D666">
        <v>6</v>
      </c>
      <c r="E666">
        <v>101</v>
      </c>
      <c r="F666" t="s">
        <v>588</v>
      </c>
      <c r="G666" t="s">
        <v>590</v>
      </c>
      <c r="H666">
        <v>20</v>
      </c>
      <c r="I666">
        <v>2024</v>
      </c>
      <c r="J666" s="7">
        <v>0.73454861111111114</v>
      </c>
      <c r="K666" t="s">
        <v>333</v>
      </c>
      <c r="L666" t="s">
        <v>283</v>
      </c>
      <c r="M666" t="s">
        <v>536</v>
      </c>
    </row>
    <row r="667" spans="1:13" x14ac:dyDescent="0.35">
      <c r="A667" t="s">
        <v>50</v>
      </c>
      <c r="B667" t="s">
        <v>3</v>
      </c>
      <c r="C667" s="14">
        <v>48.99</v>
      </c>
      <c r="D667">
        <v>5</v>
      </c>
      <c r="E667">
        <v>30</v>
      </c>
      <c r="F667" t="s">
        <v>588</v>
      </c>
      <c r="G667" t="s">
        <v>590</v>
      </c>
      <c r="H667">
        <v>24</v>
      </c>
      <c r="I667">
        <v>2024</v>
      </c>
      <c r="J667" s="7">
        <v>0.3008912037037037</v>
      </c>
      <c r="K667" t="s">
        <v>325</v>
      </c>
      <c r="L667" t="s">
        <v>266</v>
      </c>
      <c r="M667" t="s">
        <v>118</v>
      </c>
    </row>
    <row r="668" spans="1:13" x14ac:dyDescent="0.35">
      <c r="A668" t="s">
        <v>36</v>
      </c>
      <c r="B668" t="s">
        <v>37</v>
      </c>
      <c r="C668" s="14">
        <v>49.49</v>
      </c>
      <c r="D668">
        <v>5</v>
      </c>
      <c r="E668">
        <v>463</v>
      </c>
      <c r="F668" t="s">
        <v>588</v>
      </c>
      <c r="G668" t="s">
        <v>590</v>
      </c>
      <c r="H668">
        <v>23</v>
      </c>
      <c r="I668">
        <v>2024</v>
      </c>
      <c r="J668" s="7">
        <v>0.33871527777777777</v>
      </c>
      <c r="K668" t="s">
        <v>325</v>
      </c>
      <c r="L668" t="s">
        <v>266</v>
      </c>
      <c r="M668" t="s">
        <v>118</v>
      </c>
    </row>
    <row r="669" spans="1:13" x14ac:dyDescent="0.35">
      <c r="A669" t="s">
        <v>25</v>
      </c>
      <c r="B669" t="s">
        <v>1</v>
      </c>
      <c r="C669" s="14">
        <v>49.5</v>
      </c>
      <c r="D669">
        <v>10</v>
      </c>
      <c r="E669">
        <v>2</v>
      </c>
      <c r="F669" t="s">
        <v>588</v>
      </c>
      <c r="G669" t="s">
        <v>239</v>
      </c>
      <c r="H669">
        <v>0</v>
      </c>
      <c r="I669">
        <v>0</v>
      </c>
      <c r="J669" s="7">
        <v>0</v>
      </c>
      <c r="K669" t="s">
        <v>285</v>
      </c>
      <c r="L669" t="s">
        <v>286</v>
      </c>
      <c r="M669" t="s">
        <v>118</v>
      </c>
    </row>
    <row r="670" spans="1:13" x14ac:dyDescent="0.35">
      <c r="A670" t="s">
        <v>136</v>
      </c>
      <c r="B670" t="s">
        <v>3</v>
      </c>
      <c r="C670" s="14">
        <v>49.52</v>
      </c>
      <c r="D670">
        <v>31</v>
      </c>
      <c r="E670">
        <v>20</v>
      </c>
      <c r="F670" t="s">
        <v>588</v>
      </c>
      <c r="G670" t="s">
        <v>590</v>
      </c>
      <c r="H670">
        <v>11</v>
      </c>
      <c r="I670">
        <v>2024</v>
      </c>
      <c r="J670" s="7">
        <v>0.86493055555555554</v>
      </c>
      <c r="K670" t="s">
        <v>290</v>
      </c>
      <c r="L670" t="s">
        <v>506</v>
      </c>
      <c r="M670" t="s">
        <v>118</v>
      </c>
    </row>
    <row r="671" spans="1:13" x14ac:dyDescent="0.35">
      <c r="A671" t="s">
        <v>39</v>
      </c>
      <c r="B671" t="s">
        <v>3</v>
      </c>
      <c r="C671" s="14">
        <v>49.63</v>
      </c>
      <c r="D671">
        <v>5</v>
      </c>
      <c r="E671">
        <v>5</v>
      </c>
      <c r="F671" t="s">
        <v>588</v>
      </c>
      <c r="G671" t="s">
        <v>590</v>
      </c>
      <c r="H671">
        <v>21</v>
      </c>
      <c r="I671">
        <v>2024</v>
      </c>
      <c r="J671" s="7">
        <v>0.73825231481481479</v>
      </c>
      <c r="K671" t="s">
        <v>506</v>
      </c>
      <c r="L671" t="s">
        <v>283</v>
      </c>
      <c r="M671" t="s">
        <v>118</v>
      </c>
    </row>
    <row r="672" spans="1:13" x14ac:dyDescent="0.35">
      <c r="A672" t="s">
        <v>107</v>
      </c>
      <c r="B672" t="s">
        <v>3</v>
      </c>
      <c r="C672" s="14">
        <v>49.81</v>
      </c>
      <c r="D672">
        <v>4</v>
      </c>
      <c r="E672">
        <v>15</v>
      </c>
      <c r="F672" t="s">
        <v>588</v>
      </c>
      <c r="G672" t="s">
        <v>590</v>
      </c>
      <c r="H672">
        <v>22</v>
      </c>
      <c r="I672">
        <v>2024</v>
      </c>
      <c r="J672" s="7">
        <v>0.87263888888888885</v>
      </c>
      <c r="K672" t="s">
        <v>509</v>
      </c>
      <c r="L672" t="s">
        <v>505</v>
      </c>
      <c r="M672" t="s">
        <v>118</v>
      </c>
    </row>
    <row r="673" spans="1:13" x14ac:dyDescent="0.35">
      <c r="A673" t="s">
        <v>13</v>
      </c>
      <c r="B673" t="s">
        <v>3</v>
      </c>
      <c r="C673" s="14">
        <v>49.96</v>
      </c>
      <c r="D673">
        <v>10</v>
      </c>
      <c r="E673">
        <v>19</v>
      </c>
      <c r="F673" t="s">
        <v>588</v>
      </c>
      <c r="G673" t="s">
        <v>590</v>
      </c>
      <c r="H673">
        <v>23</v>
      </c>
      <c r="I673">
        <v>2024</v>
      </c>
      <c r="J673" s="7">
        <v>0.23854166666666668</v>
      </c>
      <c r="K673" t="s">
        <v>280</v>
      </c>
      <c r="L673" t="s">
        <v>266</v>
      </c>
      <c r="M673" t="s">
        <v>118</v>
      </c>
    </row>
    <row r="674" spans="1:13" x14ac:dyDescent="0.35">
      <c r="A674" t="s">
        <v>8</v>
      </c>
      <c r="B674" t="s">
        <v>1</v>
      </c>
      <c r="C674" s="14">
        <v>49.99</v>
      </c>
      <c r="D674">
        <v>4</v>
      </c>
      <c r="E674">
        <v>68</v>
      </c>
      <c r="F674" t="s">
        <v>588</v>
      </c>
      <c r="G674" t="s">
        <v>590</v>
      </c>
      <c r="H674">
        <v>23</v>
      </c>
      <c r="I674">
        <v>2024</v>
      </c>
      <c r="J674" s="7">
        <v>0.30651620370370369</v>
      </c>
      <c r="K674" t="s">
        <v>278</v>
      </c>
      <c r="L674" t="s">
        <v>266</v>
      </c>
      <c r="M674" t="s">
        <v>118</v>
      </c>
    </row>
    <row r="675" spans="1:13" x14ac:dyDescent="0.35">
      <c r="A675" t="s">
        <v>19</v>
      </c>
      <c r="B675" t="s">
        <v>1</v>
      </c>
      <c r="C675" s="14">
        <v>49.99</v>
      </c>
      <c r="D675">
        <v>10</v>
      </c>
      <c r="E675">
        <v>187</v>
      </c>
      <c r="F675" t="s">
        <v>588</v>
      </c>
      <c r="G675" t="s">
        <v>590</v>
      </c>
      <c r="H675">
        <v>24</v>
      </c>
      <c r="I675">
        <v>2024</v>
      </c>
      <c r="J675" s="7">
        <v>0.37684027777777779</v>
      </c>
      <c r="K675" t="s">
        <v>509</v>
      </c>
      <c r="L675" t="s">
        <v>505</v>
      </c>
      <c r="M675" t="s">
        <v>118</v>
      </c>
    </row>
    <row r="676" spans="1:13" x14ac:dyDescent="0.35">
      <c r="A676" t="s">
        <v>13</v>
      </c>
      <c r="B676" t="s">
        <v>3</v>
      </c>
      <c r="C676" s="14">
        <v>49.99</v>
      </c>
      <c r="D676">
        <v>10</v>
      </c>
      <c r="E676">
        <v>170</v>
      </c>
      <c r="F676" t="s">
        <v>588</v>
      </c>
      <c r="G676" t="s">
        <v>590</v>
      </c>
      <c r="H676">
        <v>23</v>
      </c>
      <c r="I676">
        <v>2024</v>
      </c>
      <c r="J676" s="7">
        <v>0.29415509259259259</v>
      </c>
      <c r="K676" t="s">
        <v>297</v>
      </c>
      <c r="L676" t="s">
        <v>266</v>
      </c>
      <c r="M676" t="s">
        <v>118</v>
      </c>
    </row>
    <row r="677" spans="1:13" x14ac:dyDescent="0.35">
      <c r="A677" t="s">
        <v>39</v>
      </c>
      <c r="B677" t="s">
        <v>1</v>
      </c>
      <c r="C677" s="14">
        <v>49.99</v>
      </c>
      <c r="D677">
        <v>48</v>
      </c>
      <c r="E677">
        <v>45</v>
      </c>
      <c r="F677" t="s">
        <v>588</v>
      </c>
      <c r="G677" t="s">
        <v>590</v>
      </c>
      <c r="H677">
        <v>24</v>
      </c>
      <c r="I677">
        <v>2024</v>
      </c>
      <c r="J677" s="7">
        <v>1.0671296296296297E-2</v>
      </c>
      <c r="K677" t="s">
        <v>327</v>
      </c>
      <c r="L677" t="s">
        <v>317</v>
      </c>
      <c r="M677" t="s">
        <v>537</v>
      </c>
    </row>
    <row r="678" spans="1:13" x14ac:dyDescent="0.35">
      <c r="A678" t="s">
        <v>13</v>
      </c>
      <c r="B678" t="s">
        <v>3</v>
      </c>
      <c r="C678" s="14">
        <v>49.99</v>
      </c>
      <c r="D678">
        <v>10</v>
      </c>
      <c r="E678">
        <v>165</v>
      </c>
      <c r="F678" t="s">
        <v>588</v>
      </c>
      <c r="G678" t="s">
        <v>590</v>
      </c>
      <c r="H678">
        <v>24</v>
      </c>
      <c r="I678">
        <v>2024</v>
      </c>
      <c r="J678" s="7">
        <v>0.41114583333333332</v>
      </c>
      <c r="K678" t="s">
        <v>288</v>
      </c>
      <c r="L678" t="s">
        <v>508</v>
      </c>
      <c r="M678" t="s">
        <v>118</v>
      </c>
    </row>
    <row r="679" spans="1:13" x14ac:dyDescent="0.35">
      <c r="A679" t="s">
        <v>36</v>
      </c>
      <c r="B679" t="s">
        <v>37</v>
      </c>
      <c r="C679" s="14">
        <v>49.99</v>
      </c>
      <c r="D679">
        <v>124</v>
      </c>
      <c r="E679">
        <v>916</v>
      </c>
      <c r="F679" t="s">
        <v>588</v>
      </c>
      <c r="G679" t="s">
        <v>590</v>
      </c>
      <c r="H679">
        <v>21</v>
      </c>
      <c r="I679">
        <v>2024</v>
      </c>
      <c r="J679" s="7">
        <v>0.37640046296296298</v>
      </c>
      <c r="K679" t="s">
        <v>345</v>
      </c>
      <c r="L679" t="s">
        <v>266</v>
      </c>
      <c r="M679" t="s">
        <v>118</v>
      </c>
    </row>
    <row r="680" spans="1:13" x14ac:dyDescent="0.35">
      <c r="A680" t="s">
        <v>9</v>
      </c>
      <c r="B680" t="s">
        <v>3</v>
      </c>
      <c r="C680" s="14">
        <v>49.99</v>
      </c>
      <c r="D680">
        <v>5</v>
      </c>
      <c r="E680">
        <v>243</v>
      </c>
      <c r="F680" t="s">
        <v>588</v>
      </c>
      <c r="G680" t="s">
        <v>592</v>
      </c>
      <c r="H680">
        <v>12</v>
      </c>
      <c r="I680">
        <v>2024</v>
      </c>
      <c r="J680" s="7">
        <v>0.35059027777777779</v>
      </c>
      <c r="K680" t="s">
        <v>285</v>
      </c>
      <c r="L680" t="s">
        <v>286</v>
      </c>
      <c r="M680" t="s">
        <v>118</v>
      </c>
    </row>
    <row r="681" spans="1:13" x14ac:dyDescent="0.35">
      <c r="A681" t="s">
        <v>2</v>
      </c>
      <c r="B681" t="s">
        <v>239</v>
      </c>
      <c r="C681" s="14">
        <v>49.99</v>
      </c>
      <c r="D681">
        <v>5</v>
      </c>
      <c r="E681">
        <v>68</v>
      </c>
      <c r="F681" t="s">
        <v>588</v>
      </c>
      <c r="G681" t="s">
        <v>590</v>
      </c>
      <c r="H681">
        <v>19</v>
      </c>
      <c r="I681">
        <v>2024</v>
      </c>
      <c r="J681" s="7">
        <v>0.77680555555555553</v>
      </c>
      <c r="K681" t="s">
        <v>505</v>
      </c>
      <c r="L681" t="s">
        <v>267</v>
      </c>
      <c r="M681" t="s">
        <v>536</v>
      </c>
    </row>
    <row r="682" spans="1:13" x14ac:dyDescent="0.35">
      <c r="A682" t="s">
        <v>39</v>
      </c>
      <c r="B682" t="s">
        <v>3</v>
      </c>
      <c r="C682" s="14">
        <v>49.99</v>
      </c>
      <c r="D682">
        <v>10</v>
      </c>
      <c r="E682">
        <v>24</v>
      </c>
      <c r="F682" t="s">
        <v>588</v>
      </c>
      <c r="G682" t="s">
        <v>590</v>
      </c>
      <c r="H682">
        <v>22</v>
      </c>
      <c r="I682">
        <v>2024</v>
      </c>
      <c r="J682" s="7">
        <v>0.72765046296296299</v>
      </c>
      <c r="K682" t="s">
        <v>364</v>
      </c>
      <c r="L682" t="s">
        <v>283</v>
      </c>
      <c r="M682" t="s">
        <v>333</v>
      </c>
    </row>
    <row r="683" spans="1:13" x14ac:dyDescent="0.35">
      <c r="A683" t="s">
        <v>39</v>
      </c>
      <c r="B683" t="s">
        <v>1</v>
      </c>
      <c r="C683" s="14">
        <v>49.99</v>
      </c>
      <c r="D683">
        <v>5</v>
      </c>
      <c r="E683">
        <v>43</v>
      </c>
      <c r="F683" t="s">
        <v>588</v>
      </c>
      <c r="G683" t="s">
        <v>590</v>
      </c>
      <c r="H683">
        <v>22</v>
      </c>
      <c r="I683">
        <v>2024</v>
      </c>
      <c r="J683" s="7">
        <v>0.76623842592592595</v>
      </c>
      <c r="K683" t="s">
        <v>544</v>
      </c>
      <c r="L683" t="s">
        <v>317</v>
      </c>
      <c r="M683" t="s">
        <v>333</v>
      </c>
    </row>
    <row r="684" spans="1:13" x14ac:dyDescent="0.35">
      <c r="A684" t="s">
        <v>8</v>
      </c>
      <c r="B684" t="s">
        <v>1</v>
      </c>
      <c r="C684" s="14">
        <v>49.99</v>
      </c>
      <c r="D684">
        <v>10</v>
      </c>
      <c r="E684">
        <v>78</v>
      </c>
      <c r="F684" t="s">
        <v>588</v>
      </c>
      <c r="G684" t="s">
        <v>590</v>
      </c>
      <c r="H684">
        <v>24</v>
      </c>
      <c r="I684">
        <v>2024</v>
      </c>
      <c r="J684" s="7">
        <v>0.3009722222222222</v>
      </c>
      <c r="K684" t="s">
        <v>325</v>
      </c>
      <c r="L684" t="s">
        <v>266</v>
      </c>
      <c r="M684" t="s">
        <v>118</v>
      </c>
    </row>
    <row r="685" spans="1:13" x14ac:dyDescent="0.35">
      <c r="A685" t="s">
        <v>11</v>
      </c>
      <c r="B685" t="s">
        <v>1</v>
      </c>
      <c r="C685" s="14">
        <v>49.99</v>
      </c>
      <c r="D685">
        <v>10</v>
      </c>
      <c r="E685">
        <v>25</v>
      </c>
      <c r="F685" t="s">
        <v>588</v>
      </c>
      <c r="G685" t="s">
        <v>590</v>
      </c>
      <c r="H685">
        <v>24</v>
      </c>
      <c r="I685">
        <v>2024</v>
      </c>
      <c r="J685" s="7">
        <v>1.7071759259259259E-2</v>
      </c>
      <c r="K685" t="s">
        <v>548</v>
      </c>
      <c r="L685" t="s">
        <v>283</v>
      </c>
      <c r="M685" t="s">
        <v>536</v>
      </c>
    </row>
    <row r="686" spans="1:13" x14ac:dyDescent="0.35">
      <c r="A686" t="s">
        <v>53</v>
      </c>
      <c r="B686" t="s">
        <v>3</v>
      </c>
      <c r="C686" s="14">
        <v>49.99</v>
      </c>
      <c r="D686">
        <v>6</v>
      </c>
      <c r="E686">
        <v>3</v>
      </c>
      <c r="F686" t="s">
        <v>588</v>
      </c>
      <c r="G686" t="s">
        <v>590</v>
      </c>
      <c r="H686">
        <v>24</v>
      </c>
      <c r="I686">
        <v>2024</v>
      </c>
      <c r="J686" s="7">
        <v>0.28162037037037035</v>
      </c>
      <c r="K686" t="s">
        <v>550</v>
      </c>
      <c r="L686" t="s">
        <v>283</v>
      </c>
      <c r="M686" t="s">
        <v>536</v>
      </c>
    </row>
    <row r="687" spans="1:13" x14ac:dyDescent="0.35">
      <c r="A687" t="s">
        <v>2</v>
      </c>
      <c r="B687" t="s">
        <v>1</v>
      </c>
      <c r="C687" s="14">
        <v>49.99</v>
      </c>
      <c r="D687">
        <v>10</v>
      </c>
      <c r="E687">
        <v>45</v>
      </c>
      <c r="F687" t="s">
        <v>588</v>
      </c>
      <c r="G687" t="s">
        <v>590</v>
      </c>
      <c r="H687">
        <v>21</v>
      </c>
      <c r="I687">
        <v>2024</v>
      </c>
      <c r="J687" s="7">
        <v>0.6743865740740741</v>
      </c>
      <c r="K687" t="s">
        <v>273</v>
      </c>
      <c r="L687" t="s">
        <v>274</v>
      </c>
      <c r="M687" t="s">
        <v>118</v>
      </c>
    </row>
    <row r="688" spans="1:13" x14ac:dyDescent="0.35">
      <c r="A688" t="s">
        <v>11</v>
      </c>
      <c r="B688" t="s">
        <v>3</v>
      </c>
      <c r="C688" s="14">
        <v>49.99</v>
      </c>
      <c r="D688">
        <v>10</v>
      </c>
      <c r="E688">
        <v>15</v>
      </c>
      <c r="F688" t="s">
        <v>588</v>
      </c>
      <c r="G688" t="s">
        <v>590</v>
      </c>
      <c r="H688">
        <v>24</v>
      </c>
      <c r="I688">
        <v>2024</v>
      </c>
      <c r="J688" s="7">
        <v>0.10415509259259259</v>
      </c>
      <c r="K688" t="s">
        <v>510</v>
      </c>
      <c r="L688" t="s">
        <v>505</v>
      </c>
      <c r="M688" t="s">
        <v>333</v>
      </c>
    </row>
    <row r="689" spans="1:13" x14ac:dyDescent="0.35">
      <c r="A689" t="s">
        <v>13</v>
      </c>
      <c r="B689" t="s">
        <v>3</v>
      </c>
      <c r="C689" s="14">
        <v>49.99</v>
      </c>
      <c r="D689">
        <v>3</v>
      </c>
      <c r="E689">
        <v>21</v>
      </c>
      <c r="F689" t="s">
        <v>588</v>
      </c>
      <c r="G689" t="s">
        <v>590</v>
      </c>
      <c r="H689">
        <v>18</v>
      </c>
      <c r="I689">
        <v>2024</v>
      </c>
      <c r="J689" s="7">
        <v>0.35745370370370372</v>
      </c>
      <c r="K689" t="s">
        <v>357</v>
      </c>
      <c r="L689" t="s">
        <v>266</v>
      </c>
      <c r="M689" t="s">
        <v>118</v>
      </c>
    </row>
    <row r="690" spans="1:13" x14ac:dyDescent="0.35">
      <c r="A690" t="s">
        <v>234</v>
      </c>
      <c r="B690" t="s">
        <v>1</v>
      </c>
      <c r="C690" s="14">
        <v>49.99</v>
      </c>
      <c r="D690">
        <v>3</v>
      </c>
      <c r="E690">
        <v>12</v>
      </c>
      <c r="F690" t="s">
        <v>588</v>
      </c>
      <c r="G690" t="s">
        <v>591</v>
      </c>
      <c r="H690">
        <v>29</v>
      </c>
      <c r="I690">
        <v>2024</v>
      </c>
      <c r="J690" s="7">
        <v>0.74386574074074074</v>
      </c>
      <c r="K690" t="s">
        <v>510</v>
      </c>
      <c r="L690" t="s">
        <v>505</v>
      </c>
      <c r="M690" t="s">
        <v>118</v>
      </c>
    </row>
    <row r="691" spans="1:13" x14ac:dyDescent="0.35">
      <c r="A691" t="s">
        <v>36</v>
      </c>
      <c r="B691" t="s">
        <v>37</v>
      </c>
      <c r="C691" s="14">
        <v>49.99</v>
      </c>
      <c r="D691">
        <v>2</v>
      </c>
      <c r="E691">
        <v>376</v>
      </c>
      <c r="F691" t="s">
        <v>588</v>
      </c>
      <c r="G691" t="s">
        <v>590</v>
      </c>
      <c r="H691">
        <v>24</v>
      </c>
      <c r="I691">
        <v>2024</v>
      </c>
      <c r="J691" s="7">
        <v>1.5625000000000001E-3</v>
      </c>
      <c r="K691" t="s">
        <v>280</v>
      </c>
      <c r="L691" t="s">
        <v>266</v>
      </c>
      <c r="M691" t="s">
        <v>118</v>
      </c>
    </row>
    <row r="692" spans="1:13" x14ac:dyDescent="0.35">
      <c r="A692" t="s">
        <v>36</v>
      </c>
      <c r="B692" t="s">
        <v>37</v>
      </c>
      <c r="C692" s="14">
        <v>49.99</v>
      </c>
      <c r="D692">
        <v>5</v>
      </c>
      <c r="E692">
        <v>381</v>
      </c>
      <c r="F692" t="s">
        <v>588</v>
      </c>
      <c r="G692" t="s">
        <v>591</v>
      </c>
      <c r="H692">
        <v>12</v>
      </c>
      <c r="I692">
        <v>2024</v>
      </c>
      <c r="J692" s="7">
        <v>0.45962962962962961</v>
      </c>
      <c r="K692" t="s">
        <v>380</v>
      </c>
      <c r="L692" t="s">
        <v>505</v>
      </c>
      <c r="M692" t="s">
        <v>118</v>
      </c>
    </row>
    <row r="693" spans="1:13" x14ac:dyDescent="0.35">
      <c r="A693" t="s">
        <v>256</v>
      </c>
      <c r="B693" t="s">
        <v>3</v>
      </c>
      <c r="C693" s="14">
        <v>49.99</v>
      </c>
      <c r="D693">
        <v>10</v>
      </c>
      <c r="E693">
        <v>19</v>
      </c>
      <c r="F693" t="s">
        <v>588</v>
      </c>
      <c r="G693" t="s">
        <v>590</v>
      </c>
      <c r="H693">
        <v>1</v>
      </c>
      <c r="I693">
        <v>2024</v>
      </c>
      <c r="J693" s="7">
        <v>0.97305555555555556</v>
      </c>
      <c r="K693" t="s">
        <v>548</v>
      </c>
      <c r="L693" t="s">
        <v>283</v>
      </c>
      <c r="M693" t="s">
        <v>118</v>
      </c>
    </row>
    <row r="694" spans="1:13" x14ac:dyDescent="0.35">
      <c r="A694" t="s">
        <v>80</v>
      </c>
      <c r="B694" t="s">
        <v>1</v>
      </c>
      <c r="C694" s="14">
        <v>50</v>
      </c>
      <c r="D694">
        <v>8</v>
      </c>
      <c r="E694">
        <v>19</v>
      </c>
      <c r="F694" t="s">
        <v>588</v>
      </c>
      <c r="G694" t="s">
        <v>590</v>
      </c>
      <c r="H694">
        <v>23</v>
      </c>
      <c r="I694">
        <v>2024</v>
      </c>
      <c r="J694" s="7">
        <v>0.66923611111111114</v>
      </c>
      <c r="K694" t="s">
        <v>384</v>
      </c>
      <c r="L694" t="s">
        <v>383</v>
      </c>
      <c r="M694" t="s">
        <v>537</v>
      </c>
    </row>
    <row r="695" spans="1:13" x14ac:dyDescent="0.35">
      <c r="A695" t="s">
        <v>17</v>
      </c>
      <c r="B695" t="s">
        <v>45</v>
      </c>
      <c r="C695" s="14">
        <v>50.08</v>
      </c>
      <c r="D695">
        <v>9</v>
      </c>
      <c r="E695">
        <v>182</v>
      </c>
      <c r="F695" t="s">
        <v>588</v>
      </c>
      <c r="G695" t="s">
        <v>590</v>
      </c>
      <c r="H695">
        <v>24</v>
      </c>
      <c r="I695">
        <v>2024</v>
      </c>
      <c r="J695" s="7">
        <v>0.3321412037037037</v>
      </c>
      <c r="K695" t="s">
        <v>301</v>
      </c>
      <c r="L695" t="s">
        <v>506</v>
      </c>
      <c r="M695" t="s">
        <v>118</v>
      </c>
    </row>
    <row r="696" spans="1:13" x14ac:dyDescent="0.35">
      <c r="A696" t="s">
        <v>229</v>
      </c>
      <c r="B696" t="s">
        <v>3</v>
      </c>
      <c r="C696" s="14">
        <v>50.44</v>
      </c>
      <c r="D696">
        <v>8</v>
      </c>
      <c r="E696">
        <v>636</v>
      </c>
      <c r="F696" t="s">
        <v>588</v>
      </c>
      <c r="G696" t="s">
        <v>590</v>
      </c>
      <c r="H696">
        <v>24</v>
      </c>
      <c r="I696">
        <v>2024</v>
      </c>
      <c r="J696" s="7">
        <v>0.33966435185185184</v>
      </c>
      <c r="K696" t="s">
        <v>291</v>
      </c>
      <c r="L696" t="s">
        <v>274</v>
      </c>
      <c r="M696" t="s">
        <v>118</v>
      </c>
    </row>
    <row r="697" spans="1:13" x14ac:dyDescent="0.35">
      <c r="A697" t="s">
        <v>133</v>
      </c>
      <c r="B697" t="s">
        <v>3</v>
      </c>
      <c r="C697" s="14">
        <v>50.79</v>
      </c>
      <c r="D697">
        <v>0</v>
      </c>
      <c r="E697">
        <v>7506</v>
      </c>
      <c r="F697" t="s">
        <v>589</v>
      </c>
      <c r="G697" t="s">
        <v>590</v>
      </c>
      <c r="H697">
        <v>24</v>
      </c>
      <c r="I697">
        <v>2024</v>
      </c>
      <c r="J697" s="7">
        <v>0.43540509259259258</v>
      </c>
      <c r="K697" t="s">
        <v>290</v>
      </c>
      <c r="L697" t="s">
        <v>506</v>
      </c>
      <c r="M697" t="s">
        <v>118</v>
      </c>
    </row>
    <row r="698" spans="1:13" x14ac:dyDescent="0.35">
      <c r="A698" t="s">
        <v>13</v>
      </c>
      <c r="B698" t="s">
        <v>3</v>
      </c>
      <c r="C698" s="14">
        <v>50.99</v>
      </c>
      <c r="D698">
        <v>13</v>
      </c>
      <c r="E698">
        <v>15</v>
      </c>
      <c r="F698" t="s">
        <v>588</v>
      </c>
      <c r="G698" t="s">
        <v>590</v>
      </c>
      <c r="H698">
        <v>23</v>
      </c>
      <c r="I698">
        <v>2024</v>
      </c>
      <c r="J698" s="7">
        <v>0.45893518518518517</v>
      </c>
      <c r="K698" t="s">
        <v>278</v>
      </c>
      <c r="L698" t="s">
        <v>266</v>
      </c>
      <c r="M698" t="s">
        <v>118</v>
      </c>
    </row>
    <row r="699" spans="1:13" x14ac:dyDescent="0.35">
      <c r="A699" t="s">
        <v>93</v>
      </c>
      <c r="B699" t="s">
        <v>37</v>
      </c>
      <c r="C699" s="14">
        <v>51.49</v>
      </c>
      <c r="D699">
        <v>6</v>
      </c>
      <c r="E699">
        <v>37</v>
      </c>
      <c r="F699" t="s">
        <v>588</v>
      </c>
      <c r="G699" t="s">
        <v>594</v>
      </c>
      <c r="H699">
        <v>8</v>
      </c>
      <c r="I699">
        <v>2024</v>
      </c>
      <c r="J699" s="7">
        <v>0.7354398148148148</v>
      </c>
      <c r="K699" t="s">
        <v>469</v>
      </c>
      <c r="L699" t="s">
        <v>470</v>
      </c>
      <c r="M699" t="s">
        <v>118</v>
      </c>
    </row>
    <row r="700" spans="1:13" x14ac:dyDescent="0.35">
      <c r="A700" t="s">
        <v>22</v>
      </c>
      <c r="B700" t="s">
        <v>1</v>
      </c>
      <c r="C700" s="14">
        <v>51.91</v>
      </c>
      <c r="D700">
        <v>10</v>
      </c>
      <c r="E700">
        <v>47</v>
      </c>
      <c r="F700" t="s">
        <v>588</v>
      </c>
      <c r="G700" t="s">
        <v>590</v>
      </c>
      <c r="H700">
        <v>19</v>
      </c>
      <c r="I700">
        <v>2024</v>
      </c>
      <c r="J700" s="7">
        <v>0.55246527777777776</v>
      </c>
      <c r="K700" t="s">
        <v>296</v>
      </c>
      <c r="L700" t="s">
        <v>505</v>
      </c>
      <c r="M700" t="s">
        <v>118</v>
      </c>
    </row>
    <row r="701" spans="1:13" x14ac:dyDescent="0.35">
      <c r="A701" t="s">
        <v>50</v>
      </c>
      <c r="B701" t="s">
        <v>3</v>
      </c>
      <c r="C701" s="14">
        <v>51.99</v>
      </c>
      <c r="D701">
        <v>10</v>
      </c>
      <c r="E701">
        <v>73</v>
      </c>
      <c r="F701" t="s">
        <v>588</v>
      </c>
      <c r="G701" t="s">
        <v>590</v>
      </c>
      <c r="H701">
        <v>22</v>
      </c>
      <c r="I701">
        <v>2024</v>
      </c>
      <c r="J701" s="7">
        <v>0.35356481481481483</v>
      </c>
      <c r="K701" t="s">
        <v>278</v>
      </c>
      <c r="L701" t="s">
        <v>266</v>
      </c>
      <c r="M701" t="s">
        <v>118</v>
      </c>
    </row>
    <row r="702" spans="1:13" x14ac:dyDescent="0.35">
      <c r="A702" t="s">
        <v>50</v>
      </c>
      <c r="B702" t="s">
        <v>3</v>
      </c>
      <c r="C702" s="14">
        <v>51.99</v>
      </c>
      <c r="D702">
        <v>0</v>
      </c>
      <c r="E702">
        <v>248</v>
      </c>
      <c r="F702" t="s">
        <v>588</v>
      </c>
      <c r="G702" t="s">
        <v>590</v>
      </c>
      <c r="H702">
        <v>24</v>
      </c>
      <c r="I702">
        <v>2024</v>
      </c>
      <c r="J702" s="7">
        <v>0.42899305555555556</v>
      </c>
      <c r="K702" t="s">
        <v>325</v>
      </c>
      <c r="L702" t="s">
        <v>266</v>
      </c>
      <c r="M702" t="s">
        <v>118</v>
      </c>
    </row>
    <row r="703" spans="1:13" x14ac:dyDescent="0.35">
      <c r="A703" t="s">
        <v>4</v>
      </c>
      <c r="B703" t="s">
        <v>3</v>
      </c>
      <c r="C703" s="14">
        <v>51.99</v>
      </c>
      <c r="D703">
        <v>7</v>
      </c>
      <c r="E703">
        <v>111</v>
      </c>
      <c r="F703" t="s">
        <v>588</v>
      </c>
      <c r="G703" t="s">
        <v>590</v>
      </c>
      <c r="H703">
        <v>18</v>
      </c>
      <c r="I703">
        <v>2024</v>
      </c>
      <c r="J703" s="7">
        <v>0.14922453703703703</v>
      </c>
      <c r="K703" t="s">
        <v>346</v>
      </c>
      <c r="L703" t="s">
        <v>347</v>
      </c>
      <c r="M703" t="s">
        <v>118</v>
      </c>
    </row>
    <row r="704" spans="1:13" x14ac:dyDescent="0.35">
      <c r="A704" t="s">
        <v>4</v>
      </c>
      <c r="B704" t="s">
        <v>3</v>
      </c>
      <c r="C704" s="14">
        <v>51.99</v>
      </c>
      <c r="D704">
        <v>3</v>
      </c>
      <c r="E704">
        <v>28</v>
      </c>
      <c r="F704" t="s">
        <v>588</v>
      </c>
      <c r="G704" t="s">
        <v>591</v>
      </c>
      <c r="H704">
        <v>23</v>
      </c>
      <c r="I704">
        <v>2024</v>
      </c>
      <c r="J704" s="7">
        <v>0.20506944444444444</v>
      </c>
      <c r="K704" t="s">
        <v>273</v>
      </c>
      <c r="L704" t="s">
        <v>274</v>
      </c>
      <c r="M704" t="s">
        <v>118</v>
      </c>
    </row>
    <row r="705" spans="1:13" x14ac:dyDescent="0.35">
      <c r="A705" t="s">
        <v>24</v>
      </c>
      <c r="B705" t="s">
        <v>3</v>
      </c>
      <c r="C705" s="14">
        <v>52.62</v>
      </c>
      <c r="D705">
        <v>0</v>
      </c>
      <c r="E705">
        <v>5098</v>
      </c>
      <c r="F705" t="s">
        <v>589</v>
      </c>
      <c r="G705" t="s">
        <v>590</v>
      </c>
      <c r="H705">
        <v>24</v>
      </c>
      <c r="I705">
        <v>2024</v>
      </c>
      <c r="J705" s="7">
        <v>0.42922453703703706</v>
      </c>
      <c r="K705" t="s">
        <v>290</v>
      </c>
      <c r="L705" t="s">
        <v>506</v>
      </c>
      <c r="M705" t="s">
        <v>118</v>
      </c>
    </row>
    <row r="706" spans="1:13" x14ac:dyDescent="0.35">
      <c r="A706" t="s">
        <v>24</v>
      </c>
      <c r="B706" t="s">
        <v>1</v>
      </c>
      <c r="C706" s="14">
        <v>52.94</v>
      </c>
      <c r="D706">
        <v>0</v>
      </c>
      <c r="E706">
        <v>100</v>
      </c>
      <c r="F706" t="s">
        <v>588</v>
      </c>
      <c r="G706" t="s">
        <v>590</v>
      </c>
      <c r="H706">
        <v>22</v>
      </c>
      <c r="I706">
        <v>2024</v>
      </c>
      <c r="J706" s="7">
        <v>0.36118055555555556</v>
      </c>
      <c r="K706" t="s">
        <v>290</v>
      </c>
      <c r="L706" t="s">
        <v>506</v>
      </c>
      <c r="M706" t="s">
        <v>118</v>
      </c>
    </row>
    <row r="707" spans="1:13" x14ac:dyDescent="0.35">
      <c r="A707" t="s">
        <v>9</v>
      </c>
      <c r="B707" t="s">
        <v>1</v>
      </c>
      <c r="C707" s="14">
        <v>52.97</v>
      </c>
      <c r="D707">
        <v>0</v>
      </c>
      <c r="E707">
        <v>1683</v>
      </c>
      <c r="F707" t="s">
        <v>589</v>
      </c>
      <c r="G707" t="s">
        <v>590</v>
      </c>
      <c r="H707">
        <v>24</v>
      </c>
      <c r="I707">
        <v>2024</v>
      </c>
      <c r="J707" s="7">
        <v>0.34369212962962964</v>
      </c>
      <c r="K707" t="s">
        <v>290</v>
      </c>
      <c r="L707" t="s">
        <v>506</v>
      </c>
      <c r="M707" t="s">
        <v>118</v>
      </c>
    </row>
    <row r="708" spans="1:13" x14ac:dyDescent="0.35">
      <c r="A708" t="s">
        <v>39</v>
      </c>
      <c r="B708" t="s">
        <v>3</v>
      </c>
      <c r="C708" s="14">
        <v>52.99</v>
      </c>
      <c r="D708">
        <v>10</v>
      </c>
      <c r="E708">
        <v>34</v>
      </c>
      <c r="F708" t="s">
        <v>588</v>
      </c>
      <c r="G708" t="s">
        <v>590</v>
      </c>
      <c r="H708">
        <v>22</v>
      </c>
      <c r="I708">
        <v>2024</v>
      </c>
      <c r="J708" s="7">
        <v>0.73556712962962967</v>
      </c>
      <c r="K708" t="s">
        <v>544</v>
      </c>
      <c r="L708" t="s">
        <v>317</v>
      </c>
      <c r="M708" t="s">
        <v>333</v>
      </c>
    </row>
    <row r="709" spans="1:13" x14ac:dyDescent="0.35">
      <c r="A709" t="s">
        <v>193</v>
      </c>
      <c r="B709" t="s">
        <v>3</v>
      </c>
      <c r="C709" s="14">
        <v>52.99</v>
      </c>
      <c r="D709">
        <v>6</v>
      </c>
      <c r="E709">
        <v>117</v>
      </c>
      <c r="F709" t="s">
        <v>588</v>
      </c>
      <c r="G709" t="s">
        <v>591</v>
      </c>
      <c r="H709">
        <v>15</v>
      </c>
      <c r="I709">
        <v>2024</v>
      </c>
      <c r="J709" s="7">
        <v>0.42982638888888891</v>
      </c>
      <c r="K709" t="s">
        <v>285</v>
      </c>
      <c r="L709" t="s">
        <v>286</v>
      </c>
      <c r="M709" t="s">
        <v>118</v>
      </c>
    </row>
    <row r="710" spans="1:13" x14ac:dyDescent="0.35">
      <c r="A710" t="s">
        <v>133</v>
      </c>
      <c r="B710" t="s">
        <v>1</v>
      </c>
      <c r="C710" s="14">
        <v>52.99</v>
      </c>
      <c r="D710">
        <v>0</v>
      </c>
      <c r="E710">
        <v>7</v>
      </c>
      <c r="F710" t="s">
        <v>588</v>
      </c>
      <c r="G710" t="s">
        <v>239</v>
      </c>
      <c r="H710">
        <v>0</v>
      </c>
      <c r="I710">
        <v>0</v>
      </c>
      <c r="J710" s="7">
        <v>0</v>
      </c>
      <c r="K710" t="s">
        <v>285</v>
      </c>
      <c r="L710" t="s">
        <v>286</v>
      </c>
      <c r="M710" t="s">
        <v>118</v>
      </c>
    </row>
    <row r="711" spans="1:13" x14ac:dyDescent="0.35">
      <c r="A711" t="s">
        <v>234</v>
      </c>
      <c r="B711" t="s">
        <v>3</v>
      </c>
      <c r="C711" s="14">
        <v>52.99</v>
      </c>
      <c r="D711">
        <v>3</v>
      </c>
      <c r="E711">
        <v>60</v>
      </c>
      <c r="F711" t="s">
        <v>588</v>
      </c>
      <c r="G711" t="s">
        <v>590</v>
      </c>
      <c r="H711">
        <v>23</v>
      </c>
      <c r="I711">
        <v>2024</v>
      </c>
      <c r="J711" s="7">
        <v>0.11021990740740741</v>
      </c>
      <c r="K711" t="s">
        <v>505</v>
      </c>
      <c r="L711" t="s">
        <v>283</v>
      </c>
      <c r="M711" t="s">
        <v>118</v>
      </c>
    </row>
    <row r="712" spans="1:13" x14ac:dyDescent="0.35">
      <c r="A712" t="s">
        <v>126</v>
      </c>
      <c r="B712" t="s">
        <v>1</v>
      </c>
      <c r="C712" s="14">
        <v>53.42</v>
      </c>
      <c r="D712">
        <v>10</v>
      </c>
      <c r="E712">
        <v>4</v>
      </c>
      <c r="F712" t="s">
        <v>588</v>
      </c>
      <c r="G712" t="s">
        <v>590</v>
      </c>
      <c r="H712">
        <v>24</v>
      </c>
      <c r="I712">
        <v>2024</v>
      </c>
      <c r="J712" s="7">
        <v>0.36796296296296294</v>
      </c>
      <c r="K712" t="s">
        <v>301</v>
      </c>
      <c r="L712" t="s">
        <v>506</v>
      </c>
      <c r="M712" t="s">
        <v>118</v>
      </c>
    </row>
    <row r="713" spans="1:13" x14ac:dyDescent="0.35">
      <c r="A713" t="s">
        <v>10</v>
      </c>
      <c r="B713" t="s">
        <v>3</v>
      </c>
      <c r="C713" s="14">
        <v>53.45</v>
      </c>
      <c r="D713">
        <v>0</v>
      </c>
      <c r="E713">
        <v>3787</v>
      </c>
      <c r="F713" t="s">
        <v>589</v>
      </c>
      <c r="G713" t="s">
        <v>590</v>
      </c>
      <c r="H713">
        <v>23</v>
      </c>
      <c r="I713">
        <v>2024</v>
      </c>
      <c r="J713" s="7">
        <v>0.84960648148148143</v>
      </c>
      <c r="K713" t="s">
        <v>290</v>
      </c>
      <c r="L713" t="s">
        <v>506</v>
      </c>
      <c r="M713" t="s">
        <v>118</v>
      </c>
    </row>
    <row r="714" spans="1:13" x14ac:dyDescent="0.35">
      <c r="A714" t="s">
        <v>9</v>
      </c>
      <c r="B714" t="s">
        <v>1</v>
      </c>
      <c r="C714" s="14">
        <v>53.98</v>
      </c>
      <c r="D714">
        <v>0</v>
      </c>
      <c r="E714">
        <v>869</v>
      </c>
      <c r="F714" t="s">
        <v>588</v>
      </c>
      <c r="G714" t="s">
        <v>590</v>
      </c>
      <c r="H714">
        <v>24</v>
      </c>
      <c r="I714">
        <v>2024</v>
      </c>
      <c r="J714" s="7">
        <v>0.16453703703703704</v>
      </c>
      <c r="K714" t="s">
        <v>290</v>
      </c>
      <c r="L714" t="s">
        <v>506</v>
      </c>
      <c r="M714" t="s">
        <v>118</v>
      </c>
    </row>
    <row r="715" spans="1:13" x14ac:dyDescent="0.35">
      <c r="A715" t="s">
        <v>22</v>
      </c>
      <c r="B715" t="s">
        <v>1</v>
      </c>
      <c r="C715" s="14">
        <v>53.99</v>
      </c>
      <c r="D715">
        <v>6</v>
      </c>
      <c r="E715">
        <v>512</v>
      </c>
      <c r="F715" t="s">
        <v>588</v>
      </c>
      <c r="G715" t="s">
        <v>590</v>
      </c>
      <c r="H715">
        <v>24</v>
      </c>
      <c r="I715">
        <v>2024</v>
      </c>
      <c r="J715" s="7">
        <v>0.22710648148148149</v>
      </c>
      <c r="K715" t="s">
        <v>329</v>
      </c>
      <c r="L715" t="s">
        <v>274</v>
      </c>
      <c r="M715" t="s">
        <v>118</v>
      </c>
    </row>
    <row r="716" spans="1:13" x14ac:dyDescent="0.35">
      <c r="A716" t="s">
        <v>25</v>
      </c>
      <c r="B716" t="s">
        <v>1</v>
      </c>
      <c r="C716" s="14">
        <v>53.99</v>
      </c>
      <c r="D716">
        <v>3</v>
      </c>
      <c r="E716">
        <v>140</v>
      </c>
      <c r="F716" t="s">
        <v>588</v>
      </c>
      <c r="G716" t="s">
        <v>590</v>
      </c>
      <c r="H716">
        <v>24</v>
      </c>
      <c r="I716">
        <v>2024</v>
      </c>
      <c r="J716" s="7">
        <v>0.39109953703703704</v>
      </c>
      <c r="K716" t="s">
        <v>329</v>
      </c>
      <c r="L716" t="s">
        <v>274</v>
      </c>
      <c r="M716" t="s">
        <v>118</v>
      </c>
    </row>
    <row r="717" spans="1:13" x14ac:dyDescent="0.35">
      <c r="A717" t="s">
        <v>9</v>
      </c>
      <c r="B717" t="s">
        <v>37</v>
      </c>
      <c r="C717" s="14">
        <v>53.99</v>
      </c>
      <c r="D717">
        <v>10</v>
      </c>
      <c r="E717">
        <v>229</v>
      </c>
      <c r="F717" t="s">
        <v>588</v>
      </c>
      <c r="G717" t="s">
        <v>590</v>
      </c>
      <c r="H717">
        <v>24</v>
      </c>
      <c r="I717">
        <v>2024</v>
      </c>
      <c r="J717" s="7">
        <v>0.25643518518518521</v>
      </c>
      <c r="K717" t="s">
        <v>291</v>
      </c>
      <c r="L717" t="s">
        <v>274</v>
      </c>
      <c r="M717" t="s">
        <v>118</v>
      </c>
    </row>
    <row r="718" spans="1:13" x14ac:dyDescent="0.35">
      <c r="A718" t="s">
        <v>8</v>
      </c>
      <c r="B718" t="s">
        <v>3</v>
      </c>
      <c r="C718" s="14">
        <v>53.99</v>
      </c>
      <c r="D718">
        <v>8</v>
      </c>
      <c r="E718">
        <v>3</v>
      </c>
      <c r="F718" t="s">
        <v>588</v>
      </c>
      <c r="G718" t="s">
        <v>239</v>
      </c>
      <c r="H718">
        <v>0</v>
      </c>
      <c r="I718">
        <v>0</v>
      </c>
      <c r="J718" s="7">
        <v>0</v>
      </c>
      <c r="K718" t="s">
        <v>285</v>
      </c>
      <c r="L718" t="s">
        <v>286</v>
      </c>
      <c r="M718" t="s">
        <v>118</v>
      </c>
    </row>
    <row r="719" spans="1:13" x14ac:dyDescent="0.35">
      <c r="A719" t="s">
        <v>9</v>
      </c>
      <c r="B719" t="s">
        <v>1</v>
      </c>
      <c r="C719" s="14">
        <v>53.99</v>
      </c>
      <c r="D719">
        <v>10</v>
      </c>
      <c r="E719">
        <v>16</v>
      </c>
      <c r="F719" t="s">
        <v>588</v>
      </c>
      <c r="G719" t="s">
        <v>590</v>
      </c>
      <c r="H719">
        <v>20</v>
      </c>
      <c r="I719">
        <v>2024</v>
      </c>
      <c r="J719" s="7">
        <v>5.828703703703704E-2</v>
      </c>
      <c r="K719" t="s">
        <v>382</v>
      </c>
      <c r="L719" t="s">
        <v>286</v>
      </c>
      <c r="M719" t="s">
        <v>118</v>
      </c>
    </row>
    <row r="720" spans="1:13" x14ac:dyDescent="0.35">
      <c r="A720" t="s">
        <v>15</v>
      </c>
      <c r="B720" t="s">
        <v>1</v>
      </c>
      <c r="C720" s="14">
        <v>54.26</v>
      </c>
      <c r="D720">
        <v>0</v>
      </c>
      <c r="E720">
        <v>2550</v>
      </c>
      <c r="F720" t="s">
        <v>589</v>
      </c>
      <c r="G720" t="s">
        <v>590</v>
      </c>
      <c r="H720">
        <v>22</v>
      </c>
      <c r="I720">
        <v>2024</v>
      </c>
      <c r="J720" s="7">
        <v>0.25010416666666668</v>
      </c>
      <c r="K720" t="s">
        <v>290</v>
      </c>
      <c r="L720" t="s">
        <v>506</v>
      </c>
      <c r="M720" t="s">
        <v>118</v>
      </c>
    </row>
    <row r="721" spans="1:13" x14ac:dyDescent="0.35">
      <c r="A721" t="s">
        <v>44</v>
      </c>
      <c r="B721" t="s">
        <v>3</v>
      </c>
      <c r="C721" s="14">
        <v>54.5</v>
      </c>
      <c r="D721">
        <v>10</v>
      </c>
      <c r="E721">
        <v>1995</v>
      </c>
      <c r="F721" t="s">
        <v>589</v>
      </c>
      <c r="G721" t="s">
        <v>590</v>
      </c>
      <c r="H721">
        <v>21</v>
      </c>
      <c r="I721">
        <v>2024</v>
      </c>
      <c r="J721" s="7">
        <v>0.71405092592592589</v>
      </c>
      <c r="K721" t="s">
        <v>290</v>
      </c>
      <c r="L721" t="s">
        <v>506</v>
      </c>
      <c r="M721" t="s">
        <v>118</v>
      </c>
    </row>
    <row r="722" spans="1:13" x14ac:dyDescent="0.35">
      <c r="A722" t="s">
        <v>9</v>
      </c>
      <c r="B722" t="s">
        <v>3</v>
      </c>
      <c r="C722" s="14">
        <v>54.52</v>
      </c>
      <c r="D722">
        <v>66</v>
      </c>
      <c r="E722">
        <v>143</v>
      </c>
      <c r="F722" t="s">
        <v>588</v>
      </c>
      <c r="G722" t="s">
        <v>590</v>
      </c>
      <c r="H722">
        <v>23</v>
      </c>
      <c r="I722">
        <v>2024</v>
      </c>
      <c r="J722" s="7">
        <v>0.34875</v>
      </c>
      <c r="K722" t="s">
        <v>291</v>
      </c>
      <c r="L722" t="s">
        <v>274</v>
      </c>
      <c r="M722" t="s">
        <v>118</v>
      </c>
    </row>
    <row r="723" spans="1:13" x14ac:dyDescent="0.35">
      <c r="A723" t="s">
        <v>22</v>
      </c>
      <c r="B723" t="s">
        <v>1</v>
      </c>
      <c r="C723" s="14">
        <v>54.85</v>
      </c>
      <c r="D723">
        <v>0</v>
      </c>
      <c r="E723">
        <v>8</v>
      </c>
      <c r="F723" t="s">
        <v>588</v>
      </c>
      <c r="G723" t="s">
        <v>590</v>
      </c>
      <c r="H723">
        <v>16</v>
      </c>
      <c r="I723">
        <v>2024</v>
      </c>
      <c r="J723" s="7">
        <v>0.38415509259259262</v>
      </c>
      <c r="K723" t="s">
        <v>291</v>
      </c>
      <c r="L723" t="s">
        <v>274</v>
      </c>
      <c r="M723" t="s">
        <v>118</v>
      </c>
    </row>
    <row r="724" spans="1:13" x14ac:dyDescent="0.35">
      <c r="A724" t="s">
        <v>68</v>
      </c>
      <c r="B724" t="s">
        <v>1</v>
      </c>
      <c r="C724" s="14">
        <v>54.86</v>
      </c>
      <c r="D724">
        <v>9</v>
      </c>
      <c r="E724">
        <v>4</v>
      </c>
      <c r="F724" t="s">
        <v>588</v>
      </c>
      <c r="G724" t="s">
        <v>590</v>
      </c>
      <c r="H724">
        <v>23</v>
      </c>
      <c r="I724">
        <v>2024</v>
      </c>
      <c r="J724" s="7">
        <v>0.92672453703703705</v>
      </c>
      <c r="K724" t="s">
        <v>509</v>
      </c>
      <c r="L724" t="s">
        <v>505</v>
      </c>
      <c r="M724" t="s">
        <v>118</v>
      </c>
    </row>
    <row r="725" spans="1:13" x14ac:dyDescent="0.35">
      <c r="A725" t="s">
        <v>236</v>
      </c>
      <c r="B725" t="s">
        <v>3</v>
      </c>
      <c r="C725" s="14">
        <v>54.91</v>
      </c>
      <c r="D725">
        <v>6</v>
      </c>
      <c r="E725">
        <v>2206</v>
      </c>
      <c r="F725" t="s">
        <v>589</v>
      </c>
      <c r="G725" t="s">
        <v>590</v>
      </c>
      <c r="H725">
        <v>24</v>
      </c>
      <c r="I725">
        <v>2024</v>
      </c>
      <c r="J725" s="7">
        <v>0.35349537037037038</v>
      </c>
      <c r="K725" t="s">
        <v>290</v>
      </c>
      <c r="L725" t="s">
        <v>506</v>
      </c>
      <c r="M725" t="s">
        <v>118</v>
      </c>
    </row>
    <row r="726" spans="1:13" x14ac:dyDescent="0.35">
      <c r="A726" t="s">
        <v>236</v>
      </c>
      <c r="B726" t="s">
        <v>3</v>
      </c>
      <c r="C726" s="14">
        <v>54.92</v>
      </c>
      <c r="D726">
        <v>6</v>
      </c>
      <c r="E726">
        <v>2465</v>
      </c>
      <c r="F726" t="s">
        <v>589</v>
      </c>
      <c r="G726" t="s">
        <v>590</v>
      </c>
      <c r="H726">
        <v>24</v>
      </c>
      <c r="I726">
        <v>2024</v>
      </c>
      <c r="J726" s="7">
        <v>0.34800925925925924</v>
      </c>
      <c r="K726" t="s">
        <v>291</v>
      </c>
      <c r="L726" t="s">
        <v>274</v>
      </c>
      <c r="M726" t="s">
        <v>118</v>
      </c>
    </row>
    <row r="727" spans="1:13" x14ac:dyDescent="0.35">
      <c r="A727" t="s">
        <v>189</v>
      </c>
      <c r="B727" t="s">
        <v>3</v>
      </c>
      <c r="C727" s="14">
        <v>54.99</v>
      </c>
      <c r="D727">
        <v>5</v>
      </c>
      <c r="E727">
        <v>8</v>
      </c>
      <c r="F727" t="s">
        <v>588</v>
      </c>
      <c r="G727" t="s">
        <v>590</v>
      </c>
      <c r="H727">
        <v>22</v>
      </c>
      <c r="I727">
        <v>2024</v>
      </c>
      <c r="J727" s="7">
        <v>0.79366898148148146</v>
      </c>
      <c r="K727" t="s">
        <v>300</v>
      </c>
      <c r="L727" t="s">
        <v>505</v>
      </c>
      <c r="M727" t="s">
        <v>118</v>
      </c>
    </row>
    <row r="728" spans="1:13" x14ac:dyDescent="0.35">
      <c r="A728" t="s">
        <v>16</v>
      </c>
      <c r="B728" t="s">
        <v>3</v>
      </c>
      <c r="C728" s="14">
        <v>54.99</v>
      </c>
      <c r="D728">
        <v>3</v>
      </c>
      <c r="E728">
        <v>780</v>
      </c>
      <c r="F728" t="s">
        <v>588</v>
      </c>
      <c r="G728" t="s">
        <v>590</v>
      </c>
      <c r="H728">
        <v>22</v>
      </c>
      <c r="I728">
        <v>2024</v>
      </c>
      <c r="J728" s="7">
        <v>0.78540509259259261</v>
      </c>
      <c r="K728" t="s">
        <v>511</v>
      </c>
      <c r="L728" t="s">
        <v>274</v>
      </c>
      <c r="M728" t="s">
        <v>118</v>
      </c>
    </row>
    <row r="729" spans="1:13" x14ac:dyDescent="0.35">
      <c r="A729" t="s">
        <v>192</v>
      </c>
      <c r="B729" t="s">
        <v>1</v>
      </c>
      <c r="C729" s="14">
        <v>54.99</v>
      </c>
      <c r="D729">
        <v>34</v>
      </c>
      <c r="E729">
        <v>22</v>
      </c>
      <c r="F729" t="s">
        <v>588</v>
      </c>
      <c r="G729" t="s">
        <v>590</v>
      </c>
      <c r="H729">
        <v>23</v>
      </c>
      <c r="I729">
        <v>2024</v>
      </c>
      <c r="J729" s="7">
        <v>0.88418981481481485</v>
      </c>
      <c r="K729" t="s">
        <v>329</v>
      </c>
      <c r="L729" t="s">
        <v>274</v>
      </c>
      <c r="M729" t="s">
        <v>118</v>
      </c>
    </row>
    <row r="730" spans="1:13" x14ac:dyDescent="0.35">
      <c r="A730" t="s">
        <v>2</v>
      </c>
      <c r="B730" t="s">
        <v>1</v>
      </c>
      <c r="C730" s="14">
        <v>54.99</v>
      </c>
      <c r="D730">
        <v>3</v>
      </c>
      <c r="E730">
        <v>6</v>
      </c>
      <c r="F730" t="s">
        <v>588</v>
      </c>
      <c r="G730" t="s">
        <v>590</v>
      </c>
      <c r="H730">
        <v>24</v>
      </c>
      <c r="I730">
        <v>2024</v>
      </c>
      <c r="J730" s="7">
        <v>3.8900462962962963E-2</v>
      </c>
      <c r="K730" t="s">
        <v>335</v>
      </c>
      <c r="L730" t="s">
        <v>282</v>
      </c>
      <c r="M730" t="s">
        <v>118</v>
      </c>
    </row>
    <row r="731" spans="1:13" x14ac:dyDescent="0.35">
      <c r="A731" t="s">
        <v>4</v>
      </c>
      <c r="B731" t="s">
        <v>3</v>
      </c>
      <c r="C731" s="14">
        <v>54.99</v>
      </c>
      <c r="D731">
        <v>60</v>
      </c>
      <c r="E731">
        <v>384</v>
      </c>
      <c r="F731" t="s">
        <v>588</v>
      </c>
      <c r="G731" t="s">
        <v>592</v>
      </c>
      <c r="H731">
        <v>27</v>
      </c>
      <c r="I731">
        <v>2024</v>
      </c>
      <c r="J731" s="7">
        <v>0.37590277777777775</v>
      </c>
      <c r="K731" t="s">
        <v>285</v>
      </c>
      <c r="L731" t="s">
        <v>286</v>
      </c>
      <c r="M731" t="s">
        <v>118</v>
      </c>
    </row>
    <row r="732" spans="1:13" x14ac:dyDescent="0.35">
      <c r="A732" t="s">
        <v>10</v>
      </c>
      <c r="B732" t="s">
        <v>3</v>
      </c>
      <c r="C732" s="14">
        <v>54.99</v>
      </c>
      <c r="D732">
        <v>0</v>
      </c>
      <c r="E732">
        <v>45</v>
      </c>
      <c r="F732" t="s">
        <v>588</v>
      </c>
      <c r="G732" t="s">
        <v>597</v>
      </c>
      <c r="H732">
        <v>20</v>
      </c>
      <c r="I732">
        <v>2022</v>
      </c>
      <c r="J732" s="7">
        <v>0.76821759259259259</v>
      </c>
      <c r="K732" t="s">
        <v>502</v>
      </c>
      <c r="L732" t="s">
        <v>274</v>
      </c>
      <c r="M732" t="s">
        <v>118</v>
      </c>
    </row>
    <row r="733" spans="1:13" x14ac:dyDescent="0.35">
      <c r="A733" t="s">
        <v>188</v>
      </c>
      <c r="B733" t="s">
        <v>3</v>
      </c>
      <c r="C733" s="14">
        <v>55</v>
      </c>
      <c r="D733">
        <v>3</v>
      </c>
      <c r="E733">
        <v>1</v>
      </c>
      <c r="F733" t="s">
        <v>588</v>
      </c>
      <c r="G733" t="s">
        <v>590</v>
      </c>
      <c r="H733">
        <v>20</v>
      </c>
      <c r="I733">
        <v>2024</v>
      </c>
      <c r="J733" s="7">
        <v>0.65674768518518523</v>
      </c>
      <c r="K733" t="s">
        <v>361</v>
      </c>
      <c r="L733" t="s">
        <v>286</v>
      </c>
      <c r="M733" t="s">
        <v>118</v>
      </c>
    </row>
    <row r="734" spans="1:13" x14ac:dyDescent="0.35">
      <c r="A734" t="s">
        <v>10</v>
      </c>
      <c r="B734" t="s">
        <v>1</v>
      </c>
      <c r="C734" s="14">
        <v>55.15</v>
      </c>
      <c r="D734">
        <v>10</v>
      </c>
      <c r="E734">
        <v>64</v>
      </c>
      <c r="F734" t="s">
        <v>588</v>
      </c>
      <c r="G734" t="s">
        <v>590</v>
      </c>
      <c r="H734">
        <v>24</v>
      </c>
      <c r="I734">
        <v>2024</v>
      </c>
      <c r="J734" s="7">
        <v>0.36601851851851852</v>
      </c>
      <c r="K734" t="s">
        <v>290</v>
      </c>
      <c r="L734" t="s">
        <v>506</v>
      </c>
      <c r="M734" t="s">
        <v>118</v>
      </c>
    </row>
    <row r="735" spans="1:13" x14ac:dyDescent="0.35">
      <c r="A735" t="s">
        <v>239</v>
      </c>
      <c r="B735" t="s">
        <v>1</v>
      </c>
      <c r="C735" s="14">
        <v>55.16</v>
      </c>
      <c r="D735">
        <v>0</v>
      </c>
      <c r="E735">
        <v>3110</v>
      </c>
      <c r="F735" t="s">
        <v>589</v>
      </c>
      <c r="G735" t="s">
        <v>590</v>
      </c>
      <c r="H735">
        <v>24</v>
      </c>
      <c r="I735">
        <v>2024</v>
      </c>
      <c r="J735" s="7">
        <v>0.32905092592592594</v>
      </c>
      <c r="K735" t="s">
        <v>290</v>
      </c>
      <c r="L735" t="s">
        <v>506</v>
      </c>
      <c r="M735" t="s">
        <v>118</v>
      </c>
    </row>
    <row r="736" spans="1:13" x14ac:dyDescent="0.35">
      <c r="A736" t="s">
        <v>10</v>
      </c>
      <c r="B736" t="s">
        <v>1</v>
      </c>
      <c r="C736" s="14">
        <v>55.45</v>
      </c>
      <c r="D736">
        <v>54</v>
      </c>
      <c r="E736">
        <v>11</v>
      </c>
      <c r="F736" t="s">
        <v>588</v>
      </c>
      <c r="G736" t="s">
        <v>590</v>
      </c>
      <c r="H736">
        <v>22</v>
      </c>
      <c r="I736">
        <v>2024</v>
      </c>
      <c r="J736" s="7">
        <v>0.49351851851851852</v>
      </c>
      <c r="K736" t="s">
        <v>509</v>
      </c>
      <c r="L736" t="s">
        <v>505</v>
      </c>
      <c r="M736" t="s">
        <v>118</v>
      </c>
    </row>
    <row r="737" spans="1:13" x14ac:dyDescent="0.35">
      <c r="A737" t="s">
        <v>50</v>
      </c>
      <c r="B737" t="s">
        <v>3</v>
      </c>
      <c r="C737" s="14">
        <v>55.99</v>
      </c>
      <c r="D737">
        <v>10</v>
      </c>
      <c r="E737">
        <v>368</v>
      </c>
      <c r="F737" t="s">
        <v>588</v>
      </c>
      <c r="G737" t="s">
        <v>590</v>
      </c>
      <c r="H737">
        <v>22</v>
      </c>
      <c r="I737">
        <v>2024</v>
      </c>
      <c r="J737" s="7">
        <v>0.60122685185185187</v>
      </c>
      <c r="K737" t="s">
        <v>511</v>
      </c>
      <c r="L737" t="s">
        <v>274</v>
      </c>
      <c r="M737" t="s">
        <v>118</v>
      </c>
    </row>
    <row r="738" spans="1:13" x14ac:dyDescent="0.35">
      <c r="A738" t="s">
        <v>141</v>
      </c>
      <c r="B738" t="s">
        <v>3</v>
      </c>
      <c r="C738" s="14">
        <v>56</v>
      </c>
      <c r="D738">
        <v>0</v>
      </c>
      <c r="E738">
        <v>6</v>
      </c>
      <c r="F738" t="s">
        <v>588</v>
      </c>
      <c r="G738" t="s">
        <v>590</v>
      </c>
      <c r="H738">
        <v>14</v>
      </c>
      <c r="I738">
        <v>2024</v>
      </c>
      <c r="J738" s="7">
        <v>0.1521875</v>
      </c>
      <c r="K738" t="s">
        <v>393</v>
      </c>
      <c r="L738" t="s">
        <v>286</v>
      </c>
      <c r="M738" t="s">
        <v>118</v>
      </c>
    </row>
    <row r="739" spans="1:13" x14ac:dyDescent="0.35">
      <c r="A739" t="s">
        <v>43</v>
      </c>
      <c r="B739" t="s">
        <v>3</v>
      </c>
      <c r="C739" s="14">
        <v>56</v>
      </c>
      <c r="D739">
        <v>10</v>
      </c>
      <c r="E739">
        <v>677</v>
      </c>
      <c r="F739" t="s">
        <v>588</v>
      </c>
      <c r="G739" t="s">
        <v>590</v>
      </c>
      <c r="H739">
        <v>20</v>
      </c>
      <c r="I739">
        <v>2024</v>
      </c>
      <c r="J739" s="7">
        <v>0.63774305555555555</v>
      </c>
      <c r="K739" t="s">
        <v>290</v>
      </c>
      <c r="L739" t="s">
        <v>506</v>
      </c>
      <c r="M739" t="s">
        <v>118</v>
      </c>
    </row>
    <row r="740" spans="1:13" x14ac:dyDescent="0.35">
      <c r="A740" t="s">
        <v>15</v>
      </c>
      <c r="B740" t="s">
        <v>1</v>
      </c>
      <c r="C740" s="14">
        <v>56.95</v>
      </c>
      <c r="D740">
        <v>8</v>
      </c>
      <c r="E740">
        <v>700</v>
      </c>
      <c r="F740" t="s">
        <v>588</v>
      </c>
      <c r="G740" t="s">
        <v>590</v>
      </c>
      <c r="H740">
        <v>17</v>
      </c>
      <c r="I740">
        <v>2024</v>
      </c>
      <c r="J740" s="7">
        <v>0.48585648148148147</v>
      </c>
      <c r="K740" t="s">
        <v>273</v>
      </c>
      <c r="L740" t="s">
        <v>274</v>
      </c>
      <c r="M740" t="s">
        <v>118</v>
      </c>
    </row>
    <row r="741" spans="1:13" x14ac:dyDescent="0.35">
      <c r="A741" t="s">
        <v>10</v>
      </c>
      <c r="B741" t="s">
        <v>3</v>
      </c>
      <c r="C741" s="14">
        <v>56.99</v>
      </c>
      <c r="D741">
        <v>5</v>
      </c>
      <c r="E741">
        <v>993</v>
      </c>
      <c r="F741" t="s">
        <v>588</v>
      </c>
      <c r="G741" t="s">
        <v>590</v>
      </c>
      <c r="H741">
        <v>14</v>
      </c>
      <c r="I741">
        <v>2024</v>
      </c>
      <c r="J741" s="7">
        <v>0.64908564814814818</v>
      </c>
      <c r="K741" t="s">
        <v>291</v>
      </c>
      <c r="L741" t="s">
        <v>274</v>
      </c>
      <c r="M741" t="s">
        <v>118</v>
      </c>
    </row>
    <row r="742" spans="1:13" x14ac:dyDescent="0.35">
      <c r="A742" t="s">
        <v>231</v>
      </c>
      <c r="B742" t="s">
        <v>3</v>
      </c>
      <c r="C742" s="14">
        <v>57.17</v>
      </c>
      <c r="D742">
        <v>10</v>
      </c>
      <c r="E742">
        <v>210</v>
      </c>
      <c r="F742" t="s">
        <v>588</v>
      </c>
      <c r="G742" t="s">
        <v>590</v>
      </c>
      <c r="H742">
        <v>24</v>
      </c>
      <c r="I742">
        <v>2024</v>
      </c>
      <c r="J742" s="7">
        <v>7.1770833333333339E-2</v>
      </c>
      <c r="K742" t="s">
        <v>291</v>
      </c>
      <c r="L742" t="s">
        <v>274</v>
      </c>
      <c r="M742" t="s">
        <v>118</v>
      </c>
    </row>
    <row r="743" spans="1:13" x14ac:dyDescent="0.35">
      <c r="A743" t="s">
        <v>72</v>
      </c>
      <c r="B743" t="s">
        <v>1</v>
      </c>
      <c r="C743" s="14">
        <v>57.46</v>
      </c>
      <c r="D743">
        <v>3</v>
      </c>
      <c r="E743">
        <v>202</v>
      </c>
      <c r="F743" t="s">
        <v>588</v>
      </c>
      <c r="G743" t="s">
        <v>590</v>
      </c>
      <c r="H743">
        <v>24</v>
      </c>
      <c r="I743">
        <v>2024</v>
      </c>
      <c r="J743" s="7">
        <v>0.36850694444444443</v>
      </c>
      <c r="K743" t="s">
        <v>301</v>
      </c>
      <c r="L743" t="s">
        <v>506</v>
      </c>
      <c r="M743" t="s">
        <v>118</v>
      </c>
    </row>
    <row r="744" spans="1:13" x14ac:dyDescent="0.35">
      <c r="A744" t="s">
        <v>12</v>
      </c>
      <c r="B744" t="s">
        <v>1</v>
      </c>
      <c r="C744" s="14">
        <v>58.09</v>
      </c>
      <c r="D744">
        <v>0</v>
      </c>
      <c r="E744">
        <v>550</v>
      </c>
      <c r="F744" t="s">
        <v>588</v>
      </c>
      <c r="G744" t="s">
        <v>590</v>
      </c>
      <c r="H744">
        <v>21</v>
      </c>
      <c r="I744">
        <v>2024</v>
      </c>
      <c r="J744" s="7">
        <v>0.61329861111111106</v>
      </c>
      <c r="K744" t="s">
        <v>291</v>
      </c>
      <c r="L744" t="s">
        <v>274</v>
      </c>
      <c r="M744" t="s">
        <v>118</v>
      </c>
    </row>
    <row r="745" spans="1:13" x14ac:dyDescent="0.35">
      <c r="A745" t="s">
        <v>8</v>
      </c>
      <c r="B745" t="s">
        <v>3</v>
      </c>
      <c r="C745" s="14">
        <v>58.46</v>
      </c>
      <c r="D745">
        <v>0</v>
      </c>
      <c r="E745">
        <v>5227</v>
      </c>
      <c r="F745" t="s">
        <v>589</v>
      </c>
      <c r="G745" t="s">
        <v>590</v>
      </c>
      <c r="H745">
        <v>23</v>
      </c>
      <c r="I745">
        <v>2024</v>
      </c>
      <c r="J745" s="7">
        <v>0.32738425925925924</v>
      </c>
      <c r="K745" t="s">
        <v>290</v>
      </c>
      <c r="L745" t="s">
        <v>506</v>
      </c>
      <c r="M745" t="s">
        <v>118</v>
      </c>
    </row>
    <row r="746" spans="1:13" x14ac:dyDescent="0.35">
      <c r="A746" t="s">
        <v>48</v>
      </c>
      <c r="B746" t="s">
        <v>1</v>
      </c>
      <c r="C746" s="14">
        <v>58.95</v>
      </c>
      <c r="D746">
        <v>10</v>
      </c>
      <c r="E746">
        <v>12</v>
      </c>
      <c r="F746" t="s">
        <v>588</v>
      </c>
      <c r="G746" t="s">
        <v>590</v>
      </c>
      <c r="H746">
        <v>23</v>
      </c>
      <c r="I746">
        <v>2024</v>
      </c>
      <c r="J746" s="7">
        <v>0.8792592592592593</v>
      </c>
      <c r="K746" t="s">
        <v>338</v>
      </c>
      <c r="L746" t="s">
        <v>506</v>
      </c>
      <c r="M746" t="s">
        <v>118</v>
      </c>
    </row>
    <row r="747" spans="1:13" x14ac:dyDescent="0.35">
      <c r="A747" t="s">
        <v>231</v>
      </c>
      <c r="B747" t="s">
        <v>3</v>
      </c>
      <c r="C747" s="14">
        <v>58.95</v>
      </c>
      <c r="D747">
        <v>10</v>
      </c>
      <c r="E747">
        <v>545</v>
      </c>
      <c r="F747" t="s">
        <v>588</v>
      </c>
      <c r="G747" t="s">
        <v>590</v>
      </c>
      <c r="H747">
        <v>24</v>
      </c>
      <c r="I747">
        <v>2024</v>
      </c>
      <c r="J747" s="7">
        <v>0.43550925925925926</v>
      </c>
      <c r="K747" t="s">
        <v>291</v>
      </c>
      <c r="L747" t="s">
        <v>274</v>
      </c>
      <c r="M747" t="s">
        <v>118</v>
      </c>
    </row>
    <row r="748" spans="1:13" x14ac:dyDescent="0.35">
      <c r="A748" t="s">
        <v>193</v>
      </c>
      <c r="B748" t="s">
        <v>3</v>
      </c>
      <c r="C748" s="14">
        <v>58.99</v>
      </c>
      <c r="D748">
        <v>2</v>
      </c>
      <c r="E748">
        <v>3</v>
      </c>
      <c r="F748" t="s">
        <v>588</v>
      </c>
      <c r="G748" t="s">
        <v>590</v>
      </c>
      <c r="H748">
        <v>24</v>
      </c>
      <c r="I748">
        <v>2024</v>
      </c>
      <c r="J748" s="7">
        <v>6.4467592592592588E-3</v>
      </c>
      <c r="K748" t="s">
        <v>506</v>
      </c>
      <c r="L748" t="s">
        <v>505</v>
      </c>
      <c r="M748" t="s">
        <v>118</v>
      </c>
    </row>
    <row r="749" spans="1:13" x14ac:dyDescent="0.35">
      <c r="A749" t="s">
        <v>231</v>
      </c>
      <c r="B749" t="s">
        <v>1</v>
      </c>
      <c r="C749" s="14">
        <v>58.99</v>
      </c>
      <c r="D749">
        <v>10</v>
      </c>
      <c r="E749">
        <v>22</v>
      </c>
      <c r="F749" t="s">
        <v>588</v>
      </c>
      <c r="G749" t="s">
        <v>590</v>
      </c>
      <c r="H749">
        <v>21</v>
      </c>
      <c r="I749">
        <v>2024</v>
      </c>
      <c r="J749" s="7">
        <v>1.7210648148148149E-2</v>
      </c>
      <c r="K749" t="s">
        <v>354</v>
      </c>
      <c r="L749" t="s">
        <v>266</v>
      </c>
      <c r="M749" t="s">
        <v>118</v>
      </c>
    </row>
    <row r="750" spans="1:13" x14ac:dyDescent="0.35">
      <c r="A750" t="s">
        <v>229</v>
      </c>
      <c r="B750" t="s">
        <v>3</v>
      </c>
      <c r="C750" s="14">
        <v>59</v>
      </c>
      <c r="D750">
        <v>10</v>
      </c>
      <c r="E750">
        <v>601</v>
      </c>
      <c r="F750" t="s">
        <v>588</v>
      </c>
      <c r="G750" t="s">
        <v>590</v>
      </c>
      <c r="H750">
        <v>24</v>
      </c>
      <c r="I750">
        <v>2024</v>
      </c>
      <c r="J750" s="7">
        <v>0.41468749999999999</v>
      </c>
      <c r="K750" t="s">
        <v>511</v>
      </c>
      <c r="L750" t="s">
        <v>274</v>
      </c>
      <c r="M750" t="s">
        <v>118</v>
      </c>
    </row>
    <row r="751" spans="1:13" x14ac:dyDescent="0.35">
      <c r="A751" t="s">
        <v>213</v>
      </c>
      <c r="B751" t="s">
        <v>3</v>
      </c>
      <c r="C751" s="14">
        <v>59</v>
      </c>
      <c r="D751">
        <v>10</v>
      </c>
      <c r="E751">
        <v>4</v>
      </c>
      <c r="F751" t="s">
        <v>588</v>
      </c>
      <c r="G751" t="s">
        <v>590</v>
      </c>
      <c r="H751">
        <v>19</v>
      </c>
      <c r="I751">
        <v>2024</v>
      </c>
      <c r="J751" s="7">
        <v>0.40875</v>
      </c>
      <c r="K751" t="s">
        <v>393</v>
      </c>
      <c r="L751" t="s">
        <v>286</v>
      </c>
      <c r="M751" t="s">
        <v>118</v>
      </c>
    </row>
    <row r="752" spans="1:13" x14ac:dyDescent="0.35">
      <c r="A752" t="s">
        <v>168</v>
      </c>
      <c r="B752" t="s">
        <v>1</v>
      </c>
      <c r="C752" s="14">
        <v>59</v>
      </c>
      <c r="D752">
        <v>10</v>
      </c>
      <c r="E752">
        <v>4</v>
      </c>
      <c r="F752" t="s">
        <v>588</v>
      </c>
      <c r="G752" t="s">
        <v>590</v>
      </c>
      <c r="H752">
        <v>23</v>
      </c>
      <c r="I752">
        <v>2024</v>
      </c>
      <c r="J752" s="7">
        <v>0.73763888888888884</v>
      </c>
      <c r="K752" t="s">
        <v>482</v>
      </c>
      <c r="L752" t="s">
        <v>274</v>
      </c>
      <c r="M752" t="s">
        <v>118</v>
      </c>
    </row>
    <row r="753" spans="1:13" x14ac:dyDescent="0.35">
      <c r="A753" t="s">
        <v>99</v>
      </c>
      <c r="B753" t="s">
        <v>1</v>
      </c>
      <c r="C753" s="14">
        <v>59.09</v>
      </c>
      <c r="D753">
        <v>62</v>
      </c>
      <c r="E753">
        <v>432</v>
      </c>
      <c r="F753" t="s">
        <v>588</v>
      </c>
      <c r="G753" t="s">
        <v>590</v>
      </c>
      <c r="H753">
        <v>21</v>
      </c>
      <c r="I753">
        <v>2024</v>
      </c>
      <c r="J753" s="7">
        <v>0.84557870370370369</v>
      </c>
      <c r="K753" t="s">
        <v>290</v>
      </c>
      <c r="L753" t="s">
        <v>506</v>
      </c>
      <c r="M753" t="s">
        <v>118</v>
      </c>
    </row>
    <row r="754" spans="1:13" x14ac:dyDescent="0.35">
      <c r="A754" t="s">
        <v>16</v>
      </c>
      <c r="B754" t="s">
        <v>3</v>
      </c>
      <c r="C754" s="14">
        <v>59.43</v>
      </c>
      <c r="D754">
        <v>10</v>
      </c>
      <c r="E754">
        <v>3691</v>
      </c>
      <c r="F754" t="s">
        <v>589</v>
      </c>
      <c r="G754" t="s">
        <v>590</v>
      </c>
      <c r="H754">
        <v>24</v>
      </c>
      <c r="I754">
        <v>2024</v>
      </c>
      <c r="J754" s="7">
        <v>0.39379629629629631</v>
      </c>
      <c r="K754" t="s">
        <v>290</v>
      </c>
      <c r="L754" t="s">
        <v>506</v>
      </c>
      <c r="M754" t="s">
        <v>118</v>
      </c>
    </row>
    <row r="755" spans="1:13" x14ac:dyDescent="0.35">
      <c r="A755" t="s">
        <v>136</v>
      </c>
      <c r="B755" t="s">
        <v>3</v>
      </c>
      <c r="C755" s="14">
        <v>59.63</v>
      </c>
      <c r="D755">
        <v>7</v>
      </c>
      <c r="E755">
        <v>48</v>
      </c>
      <c r="F755" t="s">
        <v>588</v>
      </c>
      <c r="G755" t="s">
        <v>590</v>
      </c>
      <c r="H755">
        <v>24</v>
      </c>
      <c r="I755">
        <v>2024</v>
      </c>
      <c r="J755" s="7">
        <v>0.34736111111111112</v>
      </c>
      <c r="K755" t="s">
        <v>291</v>
      </c>
      <c r="L755" t="s">
        <v>274</v>
      </c>
      <c r="M755" t="s">
        <v>118</v>
      </c>
    </row>
    <row r="756" spans="1:13" x14ac:dyDescent="0.35">
      <c r="A756" t="s">
        <v>235</v>
      </c>
      <c r="B756" t="s">
        <v>37</v>
      </c>
      <c r="C756" s="14">
        <v>59.97</v>
      </c>
      <c r="D756">
        <v>150</v>
      </c>
      <c r="E756">
        <v>35</v>
      </c>
      <c r="F756" t="s">
        <v>588</v>
      </c>
      <c r="G756" t="s">
        <v>591</v>
      </c>
      <c r="H756">
        <v>12</v>
      </c>
      <c r="I756">
        <v>2024</v>
      </c>
      <c r="J756" s="7">
        <v>0.5886689814814815</v>
      </c>
      <c r="K756" t="s">
        <v>427</v>
      </c>
      <c r="L756" t="s">
        <v>428</v>
      </c>
      <c r="M756" t="s">
        <v>118</v>
      </c>
    </row>
    <row r="757" spans="1:13" x14ac:dyDescent="0.35">
      <c r="A757" t="s">
        <v>11</v>
      </c>
      <c r="B757" t="s">
        <v>1</v>
      </c>
      <c r="C757" s="14">
        <v>59.99</v>
      </c>
      <c r="D757">
        <v>2</v>
      </c>
      <c r="E757">
        <v>63</v>
      </c>
      <c r="F757" t="s">
        <v>588</v>
      </c>
      <c r="G757" t="s">
        <v>590</v>
      </c>
      <c r="H757">
        <v>23</v>
      </c>
      <c r="I757">
        <v>2024</v>
      </c>
      <c r="J757" s="7">
        <v>0.1307638888888889</v>
      </c>
      <c r="K757" t="s">
        <v>510</v>
      </c>
      <c r="L757" t="s">
        <v>505</v>
      </c>
      <c r="M757" t="s">
        <v>333</v>
      </c>
    </row>
    <row r="758" spans="1:13" x14ac:dyDescent="0.35">
      <c r="A758" t="s">
        <v>4</v>
      </c>
      <c r="B758" t="s">
        <v>3</v>
      </c>
      <c r="C758" s="14">
        <v>59.99</v>
      </c>
      <c r="D758">
        <v>6</v>
      </c>
      <c r="E758">
        <v>14</v>
      </c>
      <c r="F758" t="s">
        <v>588</v>
      </c>
      <c r="G758" t="s">
        <v>590</v>
      </c>
      <c r="H758">
        <v>21</v>
      </c>
      <c r="I758">
        <v>2024</v>
      </c>
      <c r="J758" s="7">
        <v>0.32680555555555557</v>
      </c>
      <c r="K758" t="s">
        <v>287</v>
      </c>
      <c r="L758" t="s">
        <v>266</v>
      </c>
      <c r="M758" t="s">
        <v>118</v>
      </c>
    </row>
    <row r="759" spans="1:13" x14ac:dyDescent="0.35">
      <c r="A759" t="s">
        <v>231</v>
      </c>
      <c r="B759" t="s">
        <v>1</v>
      </c>
      <c r="C759" s="14">
        <v>59.99</v>
      </c>
      <c r="D759">
        <v>2</v>
      </c>
      <c r="E759">
        <v>20</v>
      </c>
      <c r="F759" t="s">
        <v>588</v>
      </c>
      <c r="G759" t="s">
        <v>590</v>
      </c>
      <c r="H759">
        <v>23</v>
      </c>
      <c r="I759">
        <v>2024</v>
      </c>
      <c r="J759" s="7">
        <v>0.24189814814814814</v>
      </c>
      <c r="K759" t="s">
        <v>336</v>
      </c>
      <c r="L759" t="s">
        <v>274</v>
      </c>
      <c r="M759" t="s">
        <v>118</v>
      </c>
    </row>
    <row r="760" spans="1:13" x14ac:dyDescent="0.35">
      <c r="A760" t="s">
        <v>238</v>
      </c>
      <c r="B760" t="s">
        <v>3</v>
      </c>
      <c r="C760" s="14">
        <v>59.99</v>
      </c>
      <c r="D760">
        <v>10</v>
      </c>
      <c r="E760">
        <v>221</v>
      </c>
      <c r="F760" t="s">
        <v>588</v>
      </c>
      <c r="G760" t="s">
        <v>590</v>
      </c>
      <c r="H760">
        <v>23</v>
      </c>
      <c r="I760">
        <v>2024</v>
      </c>
      <c r="J760" s="7">
        <v>0.91445601851851854</v>
      </c>
      <c r="K760" t="s">
        <v>511</v>
      </c>
      <c r="L760" t="s">
        <v>274</v>
      </c>
      <c r="M760" t="s">
        <v>118</v>
      </c>
    </row>
    <row r="761" spans="1:13" x14ac:dyDescent="0.35">
      <c r="A761" t="s">
        <v>232</v>
      </c>
      <c r="B761" t="s">
        <v>3</v>
      </c>
      <c r="C761" s="14">
        <v>59.99</v>
      </c>
      <c r="D761">
        <v>0</v>
      </c>
      <c r="E761">
        <v>39</v>
      </c>
      <c r="F761" t="s">
        <v>588</v>
      </c>
      <c r="G761" t="s">
        <v>590</v>
      </c>
      <c r="H761">
        <v>19</v>
      </c>
      <c r="I761">
        <v>2024</v>
      </c>
      <c r="J761" s="7">
        <v>0.95811342592592597</v>
      </c>
      <c r="K761" t="s">
        <v>517</v>
      </c>
      <c r="L761" t="s">
        <v>282</v>
      </c>
      <c r="M761" t="s">
        <v>333</v>
      </c>
    </row>
    <row r="762" spans="1:13" x14ac:dyDescent="0.35">
      <c r="A762" t="s">
        <v>23</v>
      </c>
      <c r="B762" t="s">
        <v>3</v>
      </c>
      <c r="C762" s="14">
        <v>59.99</v>
      </c>
      <c r="D762">
        <v>10</v>
      </c>
      <c r="E762">
        <v>3</v>
      </c>
      <c r="F762" t="s">
        <v>588</v>
      </c>
      <c r="G762" t="s">
        <v>590</v>
      </c>
      <c r="H762">
        <v>22</v>
      </c>
      <c r="I762">
        <v>2024</v>
      </c>
      <c r="J762" s="7">
        <v>0.74829861111111107</v>
      </c>
      <c r="K762" t="s">
        <v>506</v>
      </c>
      <c r="L762" t="s">
        <v>505</v>
      </c>
      <c r="M762" t="s">
        <v>379</v>
      </c>
    </row>
    <row r="763" spans="1:13" x14ac:dyDescent="0.35">
      <c r="A763" t="s">
        <v>16</v>
      </c>
      <c r="B763" t="s">
        <v>1</v>
      </c>
      <c r="C763" s="14">
        <v>59.99</v>
      </c>
      <c r="D763">
        <v>7</v>
      </c>
      <c r="E763">
        <v>496</v>
      </c>
      <c r="F763" t="s">
        <v>588</v>
      </c>
      <c r="G763" t="s">
        <v>590</v>
      </c>
      <c r="H763">
        <v>19</v>
      </c>
      <c r="I763">
        <v>2024</v>
      </c>
      <c r="J763" s="7">
        <v>0.69569444444444439</v>
      </c>
      <c r="K763" t="s">
        <v>511</v>
      </c>
      <c r="L763" t="s">
        <v>274</v>
      </c>
      <c r="M763" t="s">
        <v>118</v>
      </c>
    </row>
    <row r="764" spans="1:13" x14ac:dyDescent="0.35">
      <c r="A764" t="s">
        <v>231</v>
      </c>
      <c r="B764" t="s">
        <v>1</v>
      </c>
      <c r="C764" s="14">
        <v>60.99</v>
      </c>
      <c r="D764">
        <v>322</v>
      </c>
      <c r="E764">
        <v>35</v>
      </c>
      <c r="F764" t="s">
        <v>588</v>
      </c>
      <c r="G764" t="s">
        <v>590</v>
      </c>
      <c r="H764">
        <v>24</v>
      </c>
      <c r="I764">
        <v>2024</v>
      </c>
      <c r="J764" s="7">
        <v>0.299375</v>
      </c>
      <c r="K764" t="s">
        <v>308</v>
      </c>
      <c r="L764" t="s">
        <v>309</v>
      </c>
      <c r="M764" t="s">
        <v>118</v>
      </c>
    </row>
    <row r="765" spans="1:13" x14ac:dyDescent="0.35">
      <c r="A765" t="s">
        <v>231</v>
      </c>
      <c r="B765" t="s">
        <v>1</v>
      </c>
      <c r="C765" s="14">
        <v>60.99</v>
      </c>
      <c r="D765">
        <v>10</v>
      </c>
      <c r="E765">
        <v>27</v>
      </c>
      <c r="F765" t="s">
        <v>588</v>
      </c>
      <c r="G765" t="s">
        <v>590</v>
      </c>
      <c r="H765">
        <v>24</v>
      </c>
      <c r="I765">
        <v>2024</v>
      </c>
      <c r="J765" s="7">
        <v>0.123125</v>
      </c>
      <c r="K765" t="s">
        <v>340</v>
      </c>
      <c r="L765" t="s">
        <v>282</v>
      </c>
      <c r="M765" t="s">
        <v>118</v>
      </c>
    </row>
    <row r="766" spans="1:13" x14ac:dyDescent="0.35">
      <c r="A766" t="s">
        <v>231</v>
      </c>
      <c r="B766" t="s">
        <v>1</v>
      </c>
      <c r="C766" s="14">
        <v>60.99</v>
      </c>
      <c r="D766">
        <v>0</v>
      </c>
      <c r="E766">
        <v>16</v>
      </c>
      <c r="F766" t="s">
        <v>588</v>
      </c>
      <c r="G766" t="s">
        <v>590</v>
      </c>
      <c r="H766">
        <v>24</v>
      </c>
      <c r="I766">
        <v>2024</v>
      </c>
      <c r="J766" s="7">
        <v>8.9849537037037033E-2</v>
      </c>
      <c r="K766" t="s">
        <v>273</v>
      </c>
      <c r="L766" t="s">
        <v>274</v>
      </c>
      <c r="M766" t="s">
        <v>118</v>
      </c>
    </row>
    <row r="767" spans="1:13" x14ac:dyDescent="0.35">
      <c r="A767" t="s">
        <v>24</v>
      </c>
      <c r="B767" t="s">
        <v>1</v>
      </c>
      <c r="C767" s="14">
        <v>62.08</v>
      </c>
      <c r="D767">
        <v>0</v>
      </c>
      <c r="E767">
        <v>950</v>
      </c>
      <c r="F767" t="s">
        <v>588</v>
      </c>
      <c r="G767" t="s">
        <v>590</v>
      </c>
      <c r="H767">
        <v>22</v>
      </c>
      <c r="I767">
        <v>2024</v>
      </c>
      <c r="J767" s="7">
        <v>0.25002314814814813</v>
      </c>
      <c r="K767" t="s">
        <v>290</v>
      </c>
      <c r="L767" t="s">
        <v>506</v>
      </c>
      <c r="M767" t="s">
        <v>118</v>
      </c>
    </row>
    <row r="768" spans="1:13" x14ac:dyDescent="0.35">
      <c r="A768" t="s">
        <v>63</v>
      </c>
      <c r="B768" t="s">
        <v>1</v>
      </c>
      <c r="C768" s="14">
        <v>62.09</v>
      </c>
      <c r="D768">
        <v>10</v>
      </c>
      <c r="E768">
        <v>125</v>
      </c>
      <c r="F768" t="s">
        <v>588</v>
      </c>
      <c r="G768" t="s">
        <v>590</v>
      </c>
      <c r="H768">
        <v>22</v>
      </c>
      <c r="I768">
        <v>2024</v>
      </c>
      <c r="J768" s="7">
        <v>0.50164351851851852</v>
      </c>
      <c r="K768" t="s">
        <v>301</v>
      </c>
      <c r="L768" t="s">
        <v>506</v>
      </c>
      <c r="M768" t="s">
        <v>118</v>
      </c>
    </row>
    <row r="769" spans="1:13" x14ac:dyDescent="0.35">
      <c r="A769" t="s">
        <v>193</v>
      </c>
      <c r="B769" t="s">
        <v>37</v>
      </c>
      <c r="C769" s="14">
        <v>62.62</v>
      </c>
      <c r="D769">
        <v>4</v>
      </c>
      <c r="E769">
        <v>335</v>
      </c>
      <c r="F769" t="s">
        <v>588</v>
      </c>
      <c r="G769" t="s">
        <v>590</v>
      </c>
      <c r="H769">
        <v>23</v>
      </c>
      <c r="I769">
        <v>2024</v>
      </c>
      <c r="J769" s="7">
        <v>0.30363425925925924</v>
      </c>
      <c r="K769" t="s">
        <v>290</v>
      </c>
      <c r="L769" t="s">
        <v>506</v>
      </c>
      <c r="M769" t="s">
        <v>118</v>
      </c>
    </row>
    <row r="770" spans="1:13" x14ac:dyDescent="0.35">
      <c r="A770" t="s">
        <v>15</v>
      </c>
      <c r="B770" t="s">
        <v>105</v>
      </c>
      <c r="C770" s="14">
        <v>62.99</v>
      </c>
      <c r="D770">
        <v>74</v>
      </c>
      <c r="E770">
        <v>61</v>
      </c>
      <c r="F770" t="s">
        <v>588</v>
      </c>
      <c r="G770" t="s">
        <v>590</v>
      </c>
      <c r="H770">
        <v>23</v>
      </c>
      <c r="I770">
        <v>2024</v>
      </c>
      <c r="J770" s="7">
        <v>2.9282407407407408E-3</v>
      </c>
      <c r="K770" t="s">
        <v>329</v>
      </c>
      <c r="L770" t="s">
        <v>274</v>
      </c>
      <c r="M770" t="s">
        <v>118</v>
      </c>
    </row>
    <row r="771" spans="1:13" x14ac:dyDescent="0.35">
      <c r="A771" t="s">
        <v>10</v>
      </c>
      <c r="B771" t="s">
        <v>3</v>
      </c>
      <c r="C771" s="14">
        <v>63.69</v>
      </c>
      <c r="D771">
        <v>0</v>
      </c>
      <c r="E771">
        <v>4733</v>
      </c>
      <c r="F771" t="s">
        <v>589</v>
      </c>
      <c r="G771" t="s">
        <v>590</v>
      </c>
      <c r="H771">
        <v>24</v>
      </c>
      <c r="I771">
        <v>2024</v>
      </c>
      <c r="J771" s="7">
        <v>0.42924768518518519</v>
      </c>
      <c r="K771" t="s">
        <v>290</v>
      </c>
      <c r="L771" t="s">
        <v>506</v>
      </c>
      <c r="M771" t="s">
        <v>118</v>
      </c>
    </row>
    <row r="772" spans="1:13" x14ac:dyDescent="0.35">
      <c r="A772" t="s">
        <v>67</v>
      </c>
      <c r="B772" t="s">
        <v>37</v>
      </c>
      <c r="C772" s="14">
        <v>63.99</v>
      </c>
      <c r="D772">
        <v>10</v>
      </c>
      <c r="E772">
        <v>6</v>
      </c>
      <c r="F772" t="s">
        <v>588</v>
      </c>
      <c r="G772" t="s">
        <v>590</v>
      </c>
      <c r="H772">
        <v>21</v>
      </c>
      <c r="I772">
        <v>2024</v>
      </c>
      <c r="J772" s="7">
        <v>0.76726851851851852</v>
      </c>
      <c r="K772" t="s">
        <v>355</v>
      </c>
      <c r="L772" t="s">
        <v>356</v>
      </c>
      <c r="M772" t="s">
        <v>118</v>
      </c>
    </row>
    <row r="773" spans="1:13" x14ac:dyDescent="0.35">
      <c r="A773" t="s">
        <v>53</v>
      </c>
      <c r="B773" t="s">
        <v>3</v>
      </c>
      <c r="C773" s="14">
        <v>64.02</v>
      </c>
      <c r="D773">
        <v>13</v>
      </c>
      <c r="E773">
        <v>10</v>
      </c>
      <c r="F773" t="s">
        <v>588</v>
      </c>
      <c r="G773" t="s">
        <v>590</v>
      </c>
      <c r="H773">
        <v>19</v>
      </c>
      <c r="I773">
        <v>2024</v>
      </c>
      <c r="J773" s="7">
        <v>0.73651620370370374</v>
      </c>
      <c r="K773" t="s">
        <v>290</v>
      </c>
      <c r="L773" t="s">
        <v>506</v>
      </c>
      <c r="M773" t="s">
        <v>118</v>
      </c>
    </row>
    <row r="774" spans="1:13" x14ac:dyDescent="0.35">
      <c r="A774" t="s">
        <v>193</v>
      </c>
      <c r="B774" t="s">
        <v>3</v>
      </c>
      <c r="C774" s="14">
        <v>64.88</v>
      </c>
      <c r="D774">
        <v>3</v>
      </c>
      <c r="E774">
        <v>292</v>
      </c>
      <c r="F774" t="s">
        <v>588</v>
      </c>
      <c r="G774" t="s">
        <v>590</v>
      </c>
      <c r="H774">
        <v>20</v>
      </c>
      <c r="I774">
        <v>2024</v>
      </c>
      <c r="J774" s="7">
        <v>0.76930555555555558</v>
      </c>
      <c r="K774" t="s">
        <v>291</v>
      </c>
      <c r="L774" t="s">
        <v>274</v>
      </c>
      <c r="M774" t="s">
        <v>118</v>
      </c>
    </row>
    <row r="775" spans="1:13" x14ac:dyDescent="0.35">
      <c r="A775" t="s">
        <v>4</v>
      </c>
      <c r="B775" t="s">
        <v>3</v>
      </c>
      <c r="C775" s="14">
        <v>64.989999999999995</v>
      </c>
      <c r="D775">
        <v>10</v>
      </c>
      <c r="E775">
        <v>235</v>
      </c>
      <c r="F775" t="s">
        <v>588</v>
      </c>
      <c r="G775" t="s">
        <v>590</v>
      </c>
      <c r="H775">
        <v>8</v>
      </c>
      <c r="I775">
        <v>2024</v>
      </c>
      <c r="J775" s="7">
        <v>0.46604166666666669</v>
      </c>
      <c r="K775" t="s">
        <v>285</v>
      </c>
      <c r="L775" t="s">
        <v>286</v>
      </c>
      <c r="M775" t="s">
        <v>118</v>
      </c>
    </row>
    <row r="776" spans="1:13" x14ac:dyDescent="0.35">
      <c r="A776" t="s">
        <v>13</v>
      </c>
      <c r="B776" t="s">
        <v>3</v>
      </c>
      <c r="C776" s="14">
        <v>64.989999999999995</v>
      </c>
      <c r="D776">
        <v>10</v>
      </c>
      <c r="E776">
        <v>313</v>
      </c>
      <c r="F776" t="s">
        <v>588</v>
      </c>
      <c r="G776" t="s">
        <v>590</v>
      </c>
      <c r="H776">
        <v>24</v>
      </c>
      <c r="I776">
        <v>2024</v>
      </c>
      <c r="J776" s="7">
        <v>7.0810185185185184E-2</v>
      </c>
      <c r="K776" t="s">
        <v>511</v>
      </c>
      <c r="L776" t="s">
        <v>274</v>
      </c>
      <c r="M776" t="s">
        <v>118</v>
      </c>
    </row>
    <row r="777" spans="1:13" x14ac:dyDescent="0.35">
      <c r="A777" t="s">
        <v>13</v>
      </c>
      <c r="B777" t="s">
        <v>1</v>
      </c>
      <c r="C777" s="14">
        <v>64.989999999999995</v>
      </c>
      <c r="D777">
        <v>2</v>
      </c>
      <c r="E777">
        <v>118</v>
      </c>
      <c r="F777" t="s">
        <v>588</v>
      </c>
      <c r="G777" t="s">
        <v>590</v>
      </c>
      <c r="H777">
        <v>19</v>
      </c>
      <c r="I777">
        <v>2024</v>
      </c>
      <c r="J777" s="7">
        <v>0.93995370370370368</v>
      </c>
      <c r="K777" t="s">
        <v>511</v>
      </c>
      <c r="L777" t="s">
        <v>274</v>
      </c>
      <c r="M777" t="s">
        <v>118</v>
      </c>
    </row>
    <row r="778" spans="1:13" x14ac:dyDescent="0.35">
      <c r="A778" t="s">
        <v>53</v>
      </c>
      <c r="B778" t="s">
        <v>1</v>
      </c>
      <c r="C778" s="14">
        <v>64.989999999999995</v>
      </c>
      <c r="D778">
        <v>6</v>
      </c>
      <c r="E778">
        <v>15</v>
      </c>
      <c r="F778" t="s">
        <v>588</v>
      </c>
      <c r="G778" t="s">
        <v>590</v>
      </c>
      <c r="H778">
        <v>8</v>
      </c>
      <c r="I778">
        <v>2024</v>
      </c>
      <c r="J778" s="7">
        <v>0.39127314814814818</v>
      </c>
      <c r="K778" t="s">
        <v>285</v>
      </c>
      <c r="L778" t="s">
        <v>286</v>
      </c>
      <c r="M778" t="s">
        <v>118</v>
      </c>
    </row>
    <row r="779" spans="1:13" x14ac:dyDescent="0.35">
      <c r="A779" t="s">
        <v>15</v>
      </c>
      <c r="B779" t="s">
        <v>1</v>
      </c>
      <c r="C779" s="14">
        <v>65</v>
      </c>
      <c r="D779">
        <v>7</v>
      </c>
      <c r="E779">
        <v>485</v>
      </c>
      <c r="F779" t="s">
        <v>588</v>
      </c>
      <c r="G779" t="s">
        <v>590</v>
      </c>
      <c r="H779">
        <v>17</v>
      </c>
      <c r="I779">
        <v>2024</v>
      </c>
      <c r="J779" s="7">
        <v>0.48424768518518518</v>
      </c>
      <c r="K779" t="s">
        <v>273</v>
      </c>
      <c r="L779" t="s">
        <v>274</v>
      </c>
      <c r="M779" t="s">
        <v>118</v>
      </c>
    </row>
    <row r="780" spans="1:13" x14ac:dyDescent="0.35">
      <c r="A780" t="s">
        <v>133</v>
      </c>
      <c r="B780" t="s">
        <v>1</v>
      </c>
      <c r="C780" s="14">
        <v>65.37</v>
      </c>
      <c r="D780">
        <v>4</v>
      </c>
      <c r="E780">
        <v>87</v>
      </c>
      <c r="F780" t="s">
        <v>588</v>
      </c>
      <c r="G780" t="s">
        <v>590</v>
      </c>
      <c r="H780">
        <v>2</v>
      </c>
      <c r="I780">
        <v>2024</v>
      </c>
      <c r="J780" s="7">
        <v>6.2928240740740743E-2</v>
      </c>
      <c r="K780" t="s">
        <v>291</v>
      </c>
      <c r="L780" t="s">
        <v>274</v>
      </c>
      <c r="M780" t="s">
        <v>118</v>
      </c>
    </row>
    <row r="781" spans="1:13" x14ac:dyDescent="0.35">
      <c r="A781" t="s">
        <v>95</v>
      </c>
      <c r="B781" t="s">
        <v>1</v>
      </c>
      <c r="C781" s="14">
        <v>65.5</v>
      </c>
      <c r="D781">
        <v>10</v>
      </c>
      <c r="E781">
        <v>21</v>
      </c>
      <c r="F781" t="s">
        <v>588</v>
      </c>
      <c r="G781" t="s">
        <v>590</v>
      </c>
      <c r="H781">
        <v>15</v>
      </c>
      <c r="I781">
        <v>2024</v>
      </c>
      <c r="J781" s="7">
        <v>0.66164351851851855</v>
      </c>
      <c r="K781" t="s">
        <v>273</v>
      </c>
      <c r="L781" t="s">
        <v>274</v>
      </c>
      <c r="M781" t="s">
        <v>118</v>
      </c>
    </row>
    <row r="782" spans="1:13" x14ac:dyDescent="0.35">
      <c r="A782" t="s">
        <v>231</v>
      </c>
      <c r="B782" t="s">
        <v>1</v>
      </c>
      <c r="C782" s="14">
        <v>65.680000000000007</v>
      </c>
      <c r="D782">
        <v>10</v>
      </c>
      <c r="E782">
        <v>11</v>
      </c>
      <c r="F782" t="s">
        <v>588</v>
      </c>
      <c r="G782" t="s">
        <v>590</v>
      </c>
      <c r="H782">
        <v>22</v>
      </c>
      <c r="I782">
        <v>2024</v>
      </c>
      <c r="J782" s="7">
        <v>0.78452546296296299</v>
      </c>
      <c r="K782" t="s">
        <v>310</v>
      </c>
      <c r="L782" t="s">
        <v>282</v>
      </c>
      <c r="M782" t="s">
        <v>118</v>
      </c>
    </row>
    <row r="783" spans="1:13" x14ac:dyDescent="0.35">
      <c r="A783" t="s">
        <v>10</v>
      </c>
      <c r="B783" t="s">
        <v>1</v>
      </c>
      <c r="C783" s="14">
        <v>65.97</v>
      </c>
      <c r="D783">
        <v>272</v>
      </c>
      <c r="E783">
        <v>37</v>
      </c>
      <c r="F783" t="s">
        <v>588</v>
      </c>
      <c r="G783" t="s">
        <v>590</v>
      </c>
      <c r="H783">
        <v>24</v>
      </c>
      <c r="I783">
        <v>2024</v>
      </c>
      <c r="J783" s="7">
        <v>0.33930555555555558</v>
      </c>
      <c r="K783" t="s">
        <v>511</v>
      </c>
      <c r="L783" t="s">
        <v>274</v>
      </c>
      <c r="M783" t="s">
        <v>118</v>
      </c>
    </row>
    <row r="784" spans="1:13" x14ac:dyDescent="0.35">
      <c r="A784" t="s">
        <v>16</v>
      </c>
      <c r="B784" t="s">
        <v>3</v>
      </c>
      <c r="C784" s="14">
        <v>65.989999999999995</v>
      </c>
      <c r="D784">
        <v>0</v>
      </c>
      <c r="E784">
        <v>17</v>
      </c>
      <c r="F784" t="s">
        <v>588</v>
      </c>
      <c r="G784" t="s">
        <v>591</v>
      </c>
      <c r="H784">
        <v>29</v>
      </c>
      <c r="I784">
        <v>2024</v>
      </c>
      <c r="J784" s="7">
        <v>0.76438657407407407</v>
      </c>
      <c r="K784" t="s">
        <v>322</v>
      </c>
      <c r="L784" t="s">
        <v>282</v>
      </c>
      <c r="M784" t="s">
        <v>118</v>
      </c>
    </row>
    <row r="785" spans="1:13" x14ac:dyDescent="0.35">
      <c r="A785" t="s">
        <v>84</v>
      </c>
      <c r="B785" t="s">
        <v>1</v>
      </c>
      <c r="C785" s="14">
        <v>66</v>
      </c>
      <c r="D785">
        <v>3</v>
      </c>
      <c r="E785">
        <v>21</v>
      </c>
      <c r="F785" t="s">
        <v>588</v>
      </c>
      <c r="G785" t="s">
        <v>590</v>
      </c>
      <c r="H785">
        <v>24</v>
      </c>
      <c r="I785">
        <v>2024</v>
      </c>
      <c r="J785" s="7">
        <v>0.1064699074074074</v>
      </c>
      <c r="K785" t="s">
        <v>384</v>
      </c>
      <c r="L785" t="s">
        <v>383</v>
      </c>
      <c r="M785" t="s">
        <v>537</v>
      </c>
    </row>
    <row r="786" spans="1:13" x14ac:dyDescent="0.35">
      <c r="A786" t="s">
        <v>12</v>
      </c>
      <c r="B786" t="s">
        <v>3</v>
      </c>
      <c r="C786" s="14">
        <v>66.39</v>
      </c>
      <c r="D786">
        <v>10</v>
      </c>
      <c r="E786">
        <v>1819</v>
      </c>
      <c r="F786" t="s">
        <v>589</v>
      </c>
      <c r="G786" t="s">
        <v>590</v>
      </c>
      <c r="H786">
        <v>24</v>
      </c>
      <c r="I786">
        <v>2024</v>
      </c>
      <c r="J786" s="7">
        <v>0.42509259259259258</v>
      </c>
      <c r="K786" t="s">
        <v>291</v>
      </c>
      <c r="L786" t="s">
        <v>274</v>
      </c>
      <c r="M786" t="s">
        <v>118</v>
      </c>
    </row>
    <row r="787" spans="1:13" x14ac:dyDescent="0.35">
      <c r="A787" t="s">
        <v>16</v>
      </c>
      <c r="B787" t="s">
        <v>3</v>
      </c>
      <c r="C787" s="14">
        <v>66.52</v>
      </c>
      <c r="D787">
        <v>10</v>
      </c>
      <c r="E787">
        <v>1963</v>
      </c>
      <c r="F787" t="s">
        <v>589</v>
      </c>
      <c r="G787" t="s">
        <v>590</v>
      </c>
      <c r="H787">
        <v>15</v>
      </c>
      <c r="I787">
        <v>2024</v>
      </c>
      <c r="J787" s="7">
        <v>0.44245370370370368</v>
      </c>
      <c r="K787" t="s">
        <v>290</v>
      </c>
      <c r="L787" t="s">
        <v>506</v>
      </c>
      <c r="M787" t="s">
        <v>118</v>
      </c>
    </row>
    <row r="788" spans="1:13" x14ac:dyDescent="0.35">
      <c r="A788" t="s">
        <v>62</v>
      </c>
      <c r="B788" t="s">
        <v>3</v>
      </c>
      <c r="C788" s="14">
        <v>66.55</v>
      </c>
      <c r="D788">
        <v>4</v>
      </c>
      <c r="E788">
        <v>7</v>
      </c>
      <c r="F788" t="s">
        <v>588</v>
      </c>
      <c r="G788" t="s">
        <v>590</v>
      </c>
      <c r="H788">
        <v>24</v>
      </c>
      <c r="I788">
        <v>2024</v>
      </c>
      <c r="J788" s="7">
        <v>0.36432870370370368</v>
      </c>
      <c r="K788" t="s">
        <v>509</v>
      </c>
      <c r="L788" t="s">
        <v>505</v>
      </c>
      <c r="M788" t="s">
        <v>118</v>
      </c>
    </row>
    <row r="789" spans="1:13" x14ac:dyDescent="0.35">
      <c r="A789" t="s">
        <v>37</v>
      </c>
      <c r="B789" t="s">
        <v>1</v>
      </c>
      <c r="C789" s="14">
        <v>67.5</v>
      </c>
      <c r="D789">
        <v>10</v>
      </c>
      <c r="E789">
        <v>3</v>
      </c>
      <c r="F789" t="s">
        <v>588</v>
      </c>
      <c r="G789" t="s">
        <v>590</v>
      </c>
      <c r="H789">
        <v>23</v>
      </c>
      <c r="I789">
        <v>2024</v>
      </c>
      <c r="J789" s="7">
        <v>0.38130787037037039</v>
      </c>
      <c r="K789" t="s">
        <v>437</v>
      </c>
      <c r="L789" t="s">
        <v>506</v>
      </c>
      <c r="M789" t="s">
        <v>118</v>
      </c>
    </row>
    <row r="790" spans="1:13" x14ac:dyDescent="0.35">
      <c r="A790" t="s">
        <v>0</v>
      </c>
      <c r="B790" t="s">
        <v>3</v>
      </c>
      <c r="C790" s="14">
        <v>67.989999999999995</v>
      </c>
      <c r="D790">
        <v>4</v>
      </c>
      <c r="E790">
        <v>28</v>
      </c>
      <c r="F790" t="s">
        <v>588</v>
      </c>
      <c r="G790" t="s">
        <v>591</v>
      </c>
      <c r="H790">
        <v>30</v>
      </c>
      <c r="I790">
        <v>2024</v>
      </c>
      <c r="J790" s="7">
        <v>0.79802083333333329</v>
      </c>
      <c r="K790" t="s">
        <v>421</v>
      </c>
      <c r="L790" t="s">
        <v>506</v>
      </c>
      <c r="M790" t="s">
        <v>118</v>
      </c>
    </row>
    <row r="791" spans="1:13" x14ac:dyDescent="0.35">
      <c r="A791" t="s">
        <v>144</v>
      </c>
      <c r="B791" t="s">
        <v>3</v>
      </c>
      <c r="C791" s="14">
        <v>68</v>
      </c>
      <c r="D791">
        <v>10</v>
      </c>
      <c r="E791">
        <v>33</v>
      </c>
      <c r="F791" t="s">
        <v>588</v>
      </c>
      <c r="G791" t="s">
        <v>590</v>
      </c>
      <c r="H791">
        <v>22</v>
      </c>
      <c r="I791">
        <v>2024</v>
      </c>
      <c r="J791" s="7">
        <v>0.62035879629629631</v>
      </c>
      <c r="K791" t="s">
        <v>349</v>
      </c>
      <c r="L791" t="s">
        <v>286</v>
      </c>
      <c r="M791" t="s">
        <v>118</v>
      </c>
    </row>
    <row r="792" spans="1:13" x14ac:dyDescent="0.35">
      <c r="A792" t="s">
        <v>8</v>
      </c>
      <c r="B792" t="s">
        <v>3</v>
      </c>
      <c r="C792" s="14">
        <v>68.3</v>
      </c>
      <c r="D792">
        <v>0</v>
      </c>
      <c r="E792">
        <v>137</v>
      </c>
      <c r="F792" t="s">
        <v>588</v>
      </c>
      <c r="G792" t="s">
        <v>590</v>
      </c>
      <c r="H792">
        <v>24</v>
      </c>
      <c r="I792">
        <v>2024</v>
      </c>
      <c r="J792" s="7">
        <v>0.3326736111111111</v>
      </c>
      <c r="K792" t="s">
        <v>290</v>
      </c>
      <c r="L792" t="s">
        <v>506</v>
      </c>
      <c r="M792" t="s">
        <v>118</v>
      </c>
    </row>
    <row r="793" spans="1:13" x14ac:dyDescent="0.35">
      <c r="A793" t="s">
        <v>62</v>
      </c>
      <c r="B793" t="s">
        <v>3</v>
      </c>
      <c r="C793" s="14">
        <v>68.55</v>
      </c>
      <c r="D793">
        <v>4</v>
      </c>
      <c r="E793">
        <v>65</v>
      </c>
      <c r="F793" t="s">
        <v>588</v>
      </c>
      <c r="G793" t="s">
        <v>590</v>
      </c>
      <c r="H793">
        <v>8</v>
      </c>
      <c r="I793">
        <v>2024</v>
      </c>
      <c r="J793" s="7">
        <v>0.3351736111111111</v>
      </c>
      <c r="K793" t="s">
        <v>473</v>
      </c>
      <c r="L793" t="s">
        <v>505</v>
      </c>
      <c r="M793" t="s">
        <v>118</v>
      </c>
    </row>
    <row r="794" spans="1:13" x14ac:dyDescent="0.35">
      <c r="A794" t="s">
        <v>13</v>
      </c>
      <c r="B794" t="s">
        <v>1</v>
      </c>
      <c r="C794" s="14">
        <v>68.61</v>
      </c>
      <c r="D794">
        <v>10</v>
      </c>
      <c r="E794">
        <v>10</v>
      </c>
      <c r="F794" t="s">
        <v>588</v>
      </c>
      <c r="G794" t="s">
        <v>590</v>
      </c>
      <c r="H794">
        <v>23</v>
      </c>
      <c r="I794">
        <v>2024</v>
      </c>
      <c r="J794" s="7">
        <v>0.56026620370370372</v>
      </c>
      <c r="K794" t="s">
        <v>509</v>
      </c>
      <c r="L794" t="s">
        <v>505</v>
      </c>
      <c r="M794" t="s">
        <v>118</v>
      </c>
    </row>
    <row r="795" spans="1:13" x14ac:dyDescent="0.35">
      <c r="A795" t="s">
        <v>250</v>
      </c>
      <c r="B795" t="s">
        <v>3</v>
      </c>
      <c r="C795" s="14">
        <v>68.72</v>
      </c>
      <c r="D795">
        <v>10</v>
      </c>
      <c r="E795">
        <v>55</v>
      </c>
      <c r="F795" t="s">
        <v>588</v>
      </c>
      <c r="G795" t="s">
        <v>590</v>
      </c>
      <c r="H795">
        <v>23</v>
      </c>
      <c r="I795">
        <v>2024</v>
      </c>
      <c r="J795" s="7">
        <v>9.1423611111111108E-2</v>
      </c>
      <c r="K795" t="s">
        <v>492</v>
      </c>
      <c r="L795" t="s">
        <v>266</v>
      </c>
      <c r="M795" t="s">
        <v>118</v>
      </c>
    </row>
    <row r="796" spans="1:13" x14ac:dyDescent="0.35">
      <c r="A796" t="s">
        <v>37</v>
      </c>
      <c r="B796" t="s">
        <v>1</v>
      </c>
      <c r="C796" s="14">
        <v>68.89</v>
      </c>
      <c r="D796">
        <v>0</v>
      </c>
      <c r="E796">
        <v>25</v>
      </c>
      <c r="F796" t="s">
        <v>588</v>
      </c>
      <c r="G796" t="s">
        <v>590</v>
      </c>
      <c r="H796">
        <v>24</v>
      </c>
      <c r="I796">
        <v>2024</v>
      </c>
      <c r="J796" s="7">
        <v>0.40084490740740741</v>
      </c>
      <c r="K796" t="s">
        <v>506</v>
      </c>
      <c r="L796" t="s">
        <v>505</v>
      </c>
      <c r="M796" t="s">
        <v>118</v>
      </c>
    </row>
    <row r="797" spans="1:13" x14ac:dyDescent="0.35">
      <c r="A797" t="s">
        <v>13</v>
      </c>
      <c r="B797" t="s">
        <v>1</v>
      </c>
      <c r="C797" s="14">
        <v>68.989999999999995</v>
      </c>
      <c r="D797">
        <v>5</v>
      </c>
      <c r="E797">
        <v>20</v>
      </c>
      <c r="F797" t="s">
        <v>588</v>
      </c>
      <c r="G797" t="s">
        <v>590</v>
      </c>
      <c r="H797">
        <v>24</v>
      </c>
      <c r="I797">
        <v>2024</v>
      </c>
      <c r="J797" s="7">
        <v>0.11237268518518519</v>
      </c>
      <c r="K797" t="s">
        <v>284</v>
      </c>
      <c r="L797" t="s">
        <v>282</v>
      </c>
      <c r="M797" t="s">
        <v>118</v>
      </c>
    </row>
    <row r="798" spans="1:13" x14ac:dyDescent="0.35">
      <c r="A798" t="s">
        <v>4</v>
      </c>
      <c r="B798" t="s">
        <v>1</v>
      </c>
      <c r="C798" s="14">
        <v>68.989999999999995</v>
      </c>
      <c r="D798">
        <v>842</v>
      </c>
      <c r="E798">
        <v>99</v>
      </c>
      <c r="F798" t="s">
        <v>588</v>
      </c>
      <c r="G798" t="s">
        <v>590</v>
      </c>
      <c r="H798">
        <v>24</v>
      </c>
      <c r="I798">
        <v>2024</v>
      </c>
      <c r="J798" s="7">
        <v>9.3854166666666669E-2</v>
      </c>
      <c r="K798" t="s">
        <v>304</v>
      </c>
      <c r="L798" t="s">
        <v>305</v>
      </c>
      <c r="M798" t="s">
        <v>118</v>
      </c>
    </row>
    <row r="799" spans="1:13" x14ac:dyDescent="0.35">
      <c r="A799" t="s">
        <v>8</v>
      </c>
      <c r="B799" t="s">
        <v>1</v>
      </c>
      <c r="C799" s="14">
        <v>68.989999999999995</v>
      </c>
      <c r="D799">
        <v>10</v>
      </c>
      <c r="E799">
        <v>248</v>
      </c>
      <c r="F799" t="s">
        <v>588</v>
      </c>
      <c r="G799" t="s">
        <v>590</v>
      </c>
      <c r="H799">
        <v>17</v>
      </c>
      <c r="I799">
        <v>2024</v>
      </c>
      <c r="J799" s="7">
        <v>0.51027777777777783</v>
      </c>
      <c r="K799" t="s">
        <v>291</v>
      </c>
      <c r="L799" t="s">
        <v>274</v>
      </c>
      <c r="M799" t="s">
        <v>118</v>
      </c>
    </row>
    <row r="800" spans="1:13" x14ac:dyDescent="0.35">
      <c r="A800" t="s">
        <v>85</v>
      </c>
      <c r="B800" t="s">
        <v>3</v>
      </c>
      <c r="C800" s="14">
        <v>68.989999999999995</v>
      </c>
      <c r="D800">
        <v>73</v>
      </c>
      <c r="E800">
        <v>27</v>
      </c>
      <c r="F800" t="s">
        <v>588</v>
      </c>
      <c r="G800" t="s">
        <v>590</v>
      </c>
      <c r="H800">
        <v>22</v>
      </c>
      <c r="I800">
        <v>2024</v>
      </c>
      <c r="J800" s="7">
        <v>0.4199074074074074</v>
      </c>
      <c r="K800" t="s">
        <v>329</v>
      </c>
      <c r="L800" t="s">
        <v>274</v>
      </c>
      <c r="M800" t="s">
        <v>118</v>
      </c>
    </row>
    <row r="801" spans="1:13" x14ac:dyDescent="0.35">
      <c r="A801" t="s">
        <v>13</v>
      </c>
      <c r="B801" t="s">
        <v>1</v>
      </c>
      <c r="C801" s="14">
        <v>68.989999999999995</v>
      </c>
      <c r="D801">
        <v>10</v>
      </c>
      <c r="E801">
        <v>59</v>
      </c>
      <c r="F801" t="s">
        <v>588</v>
      </c>
      <c r="G801" t="s">
        <v>590</v>
      </c>
      <c r="H801">
        <v>23</v>
      </c>
      <c r="I801">
        <v>2024</v>
      </c>
      <c r="J801" s="7">
        <v>0.95894675925925921</v>
      </c>
      <c r="K801" t="s">
        <v>329</v>
      </c>
      <c r="L801" t="s">
        <v>274</v>
      </c>
      <c r="M801" t="s">
        <v>118</v>
      </c>
    </row>
    <row r="802" spans="1:13" x14ac:dyDescent="0.35">
      <c r="A802" t="s">
        <v>17</v>
      </c>
      <c r="B802" t="s">
        <v>1</v>
      </c>
      <c r="C802" s="14">
        <v>69.02</v>
      </c>
      <c r="D802">
        <v>3</v>
      </c>
      <c r="E802">
        <v>370</v>
      </c>
      <c r="F802" t="s">
        <v>588</v>
      </c>
      <c r="G802" t="s">
        <v>590</v>
      </c>
      <c r="H802">
        <v>24</v>
      </c>
      <c r="I802">
        <v>2024</v>
      </c>
      <c r="J802" s="7">
        <v>0.30148148148148146</v>
      </c>
      <c r="K802" t="s">
        <v>301</v>
      </c>
      <c r="L802" t="s">
        <v>506</v>
      </c>
      <c r="M802" t="s">
        <v>118</v>
      </c>
    </row>
    <row r="803" spans="1:13" x14ac:dyDescent="0.35">
      <c r="A803" t="s">
        <v>41</v>
      </c>
      <c r="B803" t="s">
        <v>3</v>
      </c>
      <c r="C803" s="14">
        <v>69.25</v>
      </c>
      <c r="D803">
        <v>50</v>
      </c>
      <c r="E803">
        <v>19</v>
      </c>
      <c r="F803" t="s">
        <v>588</v>
      </c>
      <c r="G803" t="s">
        <v>590</v>
      </c>
      <c r="H803">
        <v>22</v>
      </c>
      <c r="I803">
        <v>2024</v>
      </c>
      <c r="J803" s="7">
        <v>0.20140046296296296</v>
      </c>
      <c r="K803" t="s">
        <v>500</v>
      </c>
      <c r="L803" t="s">
        <v>507</v>
      </c>
      <c r="M803" t="s">
        <v>118</v>
      </c>
    </row>
    <row r="804" spans="1:13" x14ac:dyDescent="0.35">
      <c r="A804" t="s">
        <v>231</v>
      </c>
      <c r="B804" t="s">
        <v>3</v>
      </c>
      <c r="C804" s="14">
        <v>69.55</v>
      </c>
      <c r="D804">
        <v>5</v>
      </c>
      <c r="E804">
        <v>16</v>
      </c>
      <c r="F804" t="s">
        <v>588</v>
      </c>
      <c r="G804" t="s">
        <v>590</v>
      </c>
      <c r="H804">
        <v>23</v>
      </c>
      <c r="I804">
        <v>2024</v>
      </c>
      <c r="J804" s="7">
        <v>0.73929398148148151</v>
      </c>
      <c r="K804" t="s">
        <v>509</v>
      </c>
      <c r="L804" t="s">
        <v>505</v>
      </c>
      <c r="M804" t="s">
        <v>118</v>
      </c>
    </row>
    <row r="805" spans="1:13" x14ac:dyDescent="0.35">
      <c r="A805" t="s">
        <v>55</v>
      </c>
      <c r="B805" t="s">
        <v>1</v>
      </c>
      <c r="C805" s="14">
        <v>69.95</v>
      </c>
      <c r="D805">
        <v>7</v>
      </c>
      <c r="E805">
        <v>120</v>
      </c>
      <c r="F805" t="s">
        <v>588</v>
      </c>
      <c r="G805" t="s">
        <v>590</v>
      </c>
      <c r="H805">
        <v>13</v>
      </c>
      <c r="I805">
        <v>2024</v>
      </c>
      <c r="J805" s="7">
        <v>0.7436342592592593</v>
      </c>
      <c r="K805" t="s">
        <v>509</v>
      </c>
      <c r="L805" t="s">
        <v>505</v>
      </c>
      <c r="M805" t="s">
        <v>118</v>
      </c>
    </row>
    <row r="806" spans="1:13" x14ac:dyDescent="0.35">
      <c r="A806" t="s">
        <v>205</v>
      </c>
      <c r="B806" t="s">
        <v>37</v>
      </c>
      <c r="C806" s="14">
        <v>69.97</v>
      </c>
      <c r="D806">
        <v>10</v>
      </c>
      <c r="E806">
        <v>244</v>
      </c>
      <c r="F806" t="s">
        <v>588</v>
      </c>
      <c r="G806" t="s">
        <v>590</v>
      </c>
      <c r="H806">
        <v>22</v>
      </c>
      <c r="I806">
        <v>2024</v>
      </c>
      <c r="J806" s="7">
        <v>0.97418981481481481</v>
      </c>
      <c r="K806" t="s">
        <v>290</v>
      </c>
      <c r="L806" t="s">
        <v>506</v>
      </c>
      <c r="M806" t="s">
        <v>118</v>
      </c>
    </row>
    <row r="807" spans="1:13" x14ac:dyDescent="0.35">
      <c r="A807" t="s">
        <v>132</v>
      </c>
      <c r="B807" t="s">
        <v>1</v>
      </c>
      <c r="C807" s="14">
        <v>69.97</v>
      </c>
      <c r="D807">
        <v>4</v>
      </c>
      <c r="E807">
        <v>30</v>
      </c>
      <c r="F807" t="s">
        <v>588</v>
      </c>
      <c r="G807" t="s">
        <v>590</v>
      </c>
      <c r="H807">
        <v>22</v>
      </c>
      <c r="I807">
        <v>2024</v>
      </c>
      <c r="J807" s="7">
        <v>0.3871412037037037</v>
      </c>
      <c r="K807" t="s">
        <v>338</v>
      </c>
      <c r="L807" t="s">
        <v>506</v>
      </c>
      <c r="M807" t="s">
        <v>118</v>
      </c>
    </row>
    <row r="808" spans="1:13" x14ac:dyDescent="0.35">
      <c r="A808" t="s">
        <v>31</v>
      </c>
      <c r="B808" t="s">
        <v>1</v>
      </c>
      <c r="C808" s="14">
        <v>69.989999999999995</v>
      </c>
      <c r="D808">
        <v>900</v>
      </c>
      <c r="E808">
        <v>44</v>
      </c>
      <c r="F808" t="s">
        <v>588</v>
      </c>
      <c r="G808" t="s">
        <v>591</v>
      </c>
      <c r="H808">
        <v>23</v>
      </c>
      <c r="I808">
        <v>2024</v>
      </c>
      <c r="J808" s="7">
        <v>0.85119212962962965</v>
      </c>
      <c r="K808" t="s">
        <v>510</v>
      </c>
      <c r="L808" t="s">
        <v>506</v>
      </c>
      <c r="M808" t="s">
        <v>118</v>
      </c>
    </row>
    <row r="809" spans="1:13" x14ac:dyDescent="0.35">
      <c r="A809" t="s">
        <v>11</v>
      </c>
      <c r="B809" t="s">
        <v>1</v>
      </c>
      <c r="C809" s="14">
        <v>69.989999999999995</v>
      </c>
      <c r="D809">
        <v>10</v>
      </c>
      <c r="E809">
        <v>157</v>
      </c>
      <c r="F809" t="s">
        <v>588</v>
      </c>
      <c r="G809" t="s">
        <v>590</v>
      </c>
      <c r="H809">
        <v>23</v>
      </c>
      <c r="I809">
        <v>2024</v>
      </c>
      <c r="J809" s="7">
        <v>0.9533449074074074</v>
      </c>
      <c r="K809" t="s">
        <v>510</v>
      </c>
      <c r="L809" t="s">
        <v>506</v>
      </c>
      <c r="M809" t="s">
        <v>333</v>
      </c>
    </row>
    <row r="810" spans="1:13" x14ac:dyDescent="0.35">
      <c r="A810" t="s">
        <v>4</v>
      </c>
      <c r="B810" t="s">
        <v>1</v>
      </c>
      <c r="C810" s="14">
        <v>69.989999999999995</v>
      </c>
      <c r="D810">
        <v>10</v>
      </c>
      <c r="E810">
        <v>81</v>
      </c>
      <c r="F810" t="s">
        <v>588</v>
      </c>
      <c r="G810" t="s">
        <v>590</v>
      </c>
      <c r="H810">
        <v>18</v>
      </c>
      <c r="I810">
        <v>2024</v>
      </c>
      <c r="J810" s="7">
        <v>0.2267824074074074</v>
      </c>
      <c r="K810" t="s">
        <v>346</v>
      </c>
      <c r="L810" t="s">
        <v>347</v>
      </c>
      <c r="M810" t="s">
        <v>118</v>
      </c>
    </row>
    <row r="811" spans="1:13" x14ac:dyDescent="0.35">
      <c r="A811" t="s">
        <v>13</v>
      </c>
      <c r="B811" t="s">
        <v>1</v>
      </c>
      <c r="C811" s="14">
        <v>69.989999999999995</v>
      </c>
      <c r="D811">
        <v>10</v>
      </c>
      <c r="E811">
        <v>2</v>
      </c>
      <c r="F811" t="s">
        <v>588</v>
      </c>
      <c r="G811" t="s">
        <v>590</v>
      </c>
      <c r="H811">
        <v>24</v>
      </c>
      <c r="I811">
        <v>2024</v>
      </c>
      <c r="J811" s="7">
        <v>0.24622685185185186</v>
      </c>
      <c r="K811" t="s">
        <v>280</v>
      </c>
      <c r="L811" t="s">
        <v>266</v>
      </c>
      <c r="M811" t="s">
        <v>118</v>
      </c>
    </row>
    <row r="812" spans="1:13" x14ac:dyDescent="0.35">
      <c r="A812" t="s">
        <v>4</v>
      </c>
      <c r="B812" t="s">
        <v>1</v>
      </c>
      <c r="C812" s="14">
        <v>69.989999999999995</v>
      </c>
      <c r="D812">
        <v>50</v>
      </c>
      <c r="E812">
        <v>35</v>
      </c>
      <c r="F812" t="s">
        <v>588</v>
      </c>
      <c r="G812" t="s">
        <v>590</v>
      </c>
      <c r="H812">
        <v>24</v>
      </c>
      <c r="I812">
        <v>2024</v>
      </c>
      <c r="J812" s="7">
        <v>0.23862268518518517</v>
      </c>
      <c r="K812" t="s">
        <v>328</v>
      </c>
      <c r="L812" t="s">
        <v>266</v>
      </c>
      <c r="M812" t="s">
        <v>118</v>
      </c>
    </row>
    <row r="813" spans="1:13" x14ac:dyDescent="0.35">
      <c r="A813" t="s">
        <v>39</v>
      </c>
      <c r="B813" t="s">
        <v>1</v>
      </c>
      <c r="C813" s="14">
        <v>69.989999999999995</v>
      </c>
      <c r="D813">
        <v>10</v>
      </c>
      <c r="E813">
        <v>11</v>
      </c>
      <c r="F813" t="s">
        <v>588</v>
      </c>
      <c r="G813" t="s">
        <v>591</v>
      </c>
      <c r="H813">
        <v>21</v>
      </c>
      <c r="I813">
        <v>2024</v>
      </c>
      <c r="J813" s="7">
        <v>0.81289351851851854</v>
      </c>
      <c r="K813" t="s">
        <v>333</v>
      </c>
      <c r="L813" t="s">
        <v>283</v>
      </c>
      <c r="M813" t="s">
        <v>333</v>
      </c>
    </row>
    <row r="814" spans="1:13" x14ac:dyDescent="0.35">
      <c r="A814" t="s">
        <v>89</v>
      </c>
      <c r="B814" t="s">
        <v>1</v>
      </c>
      <c r="C814" s="14">
        <v>69.989999999999995</v>
      </c>
      <c r="D814">
        <v>3</v>
      </c>
      <c r="E814">
        <v>6</v>
      </c>
      <c r="F814" t="s">
        <v>588</v>
      </c>
      <c r="G814" t="s">
        <v>590</v>
      </c>
      <c r="H814">
        <v>22</v>
      </c>
      <c r="I814">
        <v>2024</v>
      </c>
      <c r="J814" s="7">
        <v>0.79259259259259263</v>
      </c>
      <c r="K814" t="s">
        <v>433</v>
      </c>
      <c r="L814" t="s">
        <v>283</v>
      </c>
      <c r="M814" t="s">
        <v>536</v>
      </c>
    </row>
    <row r="815" spans="1:13" x14ac:dyDescent="0.35">
      <c r="A815" t="s">
        <v>11</v>
      </c>
      <c r="B815" t="s">
        <v>1</v>
      </c>
      <c r="C815" s="14">
        <v>69.989999999999995</v>
      </c>
      <c r="D815">
        <v>13</v>
      </c>
      <c r="E815">
        <v>49</v>
      </c>
      <c r="F815" t="s">
        <v>588</v>
      </c>
      <c r="G815" t="s">
        <v>590</v>
      </c>
      <c r="H815">
        <v>11</v>
      </c>
      <c r="I815">
        <v>2024</v>
      </c>
      <c r="J815" s="7">
        <v>0.18754629629629629</v>
      </c>
      <c r="K815" t="s">
        <v>333</v>
      </c>
      <c r="L815" t="s">
        <v>283</v>
      </c>
      <c r="M815" t="s">
        <v>536</v>
      </c>
    </row>
    <row r="816" spans="1:13" x14ac:dyDescent="0.35">
      <c r="A816" t="s">
        <v>13</v>
      </c>
      <c r="B816" t="s">
        <v>1</v>
      </c>
      <c r="C816" s="14">
        <v>69.989999999999995</v>
      </c>
      <c r="D816">
        <v>10</v>
      </c>
      <c r="E816">
        <v>13</v>
      </c>
      <c r="F816" t="s">
        <v>588</v>
      </c>
      <c r="G816" t="s">
        <v>593</v>
      </c>
      <c r="H816">
        <v>28</v>
      </c>
      <c r="I816">
        <v>2024</v>
      </c>
      <c r="J816" s="7">
        <v>0.31034722222222222</v>
      </c>
      <c r="K816" t="s">
        <v>524</v>
      </c>
      <c r="L816" t="s">
        <v>506</v>
      </c>
      <c r="M816" t="s">
        <v>118</v>
      </c>
    </row>
    <row r="817" spans="1:13" x14ac:dyDescent="0.35">
      <c r="A817" t="s">
        <v>229</v>
      </c>
      <c r="B817" t="s">
        <v>1</v>
      </c>
      <c r="C817" s="14">
        <v>70</v>
      </c>
      <c r="D817">
        <v>0</v>
      </c>
      <c r="E817">
        <v>2</v>
      </c>
      <c r="F817" t="s">
        <v>588</v>
      </c>
      <c r="G817" t="s">
        <v>590</v>
      </c>
      <c r="H817">
        <v>3</v>
      </c>
      <c r="I817">
        <v>2024</v>
      </c>
      <c r="J817" s="7">
        <v>0.48884259259259261</v>
      </c>
      <c r="K817" t="s">
        <v>412</v>
      </c>
      <c r="L817" t="s">
        <v>505</v>
      </c>
      <c r="M817" t="s">
        <v>118</v>
      </c>
    </row>
    <row r="818" spans="1:13" x14ac:dyDescent="0.35">
      <c r="A818" t="s">
        <v>13</v>
      </c>
      <c r="B818" t="s">
        <v>3</v>
      </c>
      <c r="C818" s="14">
        <v>70.08</v>
      </c>
      <c r="D818">
        <v>0</v>
      </c>
      <c r="E818">
        <v>1165</v>
      </c>
      <c r="F818" t="s">
        <v>589</v>
      </c>
      <c r="G818" t="s">
        <v>590</v>
      </c>
      <c r="H818">
        <v>23</v>
      </c>
      <c r="I818">
        <v>2024</v>
      </c>
      <c r="J818" s="7">
        <v>0.68618055555555557</v>
      </c>
      <c r="K818" t="s">
        <v>290</v>
      </c>
      <c r="L818" t="s">
        <v>506</v>
      </c>
      <c r="M818" t="s">
        <v>118</v>
      </c>
    </row>
    <row r="819" spans="1:13" x14ac:dyDescent="0.35">
      <c r="A819" t="s">
        <v>231</v>
      </c>
      <c r="B819" t="s">
        <v>3</v>
      </c>
      <c r="C819" s="14">
        <v>70.650000000000006</v>
      </c>
      <c r="D819">
        <v>0</v>
      </c>
      <c r="E819">
        <v>4802</v>
      </c>
      <c r="F819" t="s">
        <v>589</v>
      </c>
      <c r="G819" t="s">
        <v>590</v>
      </c>
      <c r="H819">
        <v>24</v>
      </c>
      <c r="I819">
        <v>2024</v>
      </c>
      <c r="J819" s="7">
        <v>0.32016203703703705</v>
      </c>
      <c r="K819" t="s">
        <v>290</v>
      </c>
      <c r="L819" t="s">
        <v>506</v>
      </c>
      <c r="M819" t="s">
        <v>118</v>
      </c>
    </row>
    <row r="820" spans="1:13" x14ac:dyDescent="0.35">
      <c r="A820" t="s">
        <v>231</v>
      </c>
      <c r="B820" t="s">
        <v>3</v>
      </c>
      <c r="C820" s="14">
        <v>70.66</v>
      </c>
      <c r="D820">
        <v>8</v>
      </c>
      <c r="E820">
        <v>720</v>
      </c>
      <c r="F820" t="s">
        <v>588</v>
      </c>
      <c r="G820" t="s">
        <v>590</v>
      </c>
      <c r="H820">
        <v>24</v>
      </c>
      <c r="I820">
        <v>2024</v>
      </c>
      <c r="J820" s="7">
        <v>0.3112152777777778</v>
      </c>
      <c r="K820" t="s">
        <v>291</v>
      </c>
      <c r="L820" t="s">
        <v>274</v>
      </c>
      <c r="M820" t="s">
        <v>118</v>
      </c>
    </row>
    <row r="821" spans="1:13" x14ac:dyDescent="0.35">
      <c r="A821" t="s">
        <v>4</v>
      </c>
      <c r="B821" t="s">
        <v>1</v>
      </c>
      <c r="C821" s="14">
        <v>70.989999999999995</v>
      </c>
      <c r="D821">
        <v>11</v>
      </c>
      <c r="E821">
        <v>52</v>
      </c>
      <c r="F821" t="s">
        <v>588</v>
      </c>
      <c r="G821" t="s">
        <v>590</v>
      </c>
      <c r="H821">
        <v>23</v>
      </c>
      <c r="I821">
        <v>2024</v>
      </c>
      <c r="J821" s="7">
        <v>0.70173611111111112</v>
      </c>
      <c r="K821" t="s">
        <v>316</v>
      </c>
      <c r="L821" t="s">
        <v>305</v>
      </c>
      <c r="M821" t="s">
        <v>118</v>
      </c>
    </row>
    <row r="822" spans="1:13" x14ac:dyDescent="0.35">
      <c r="A822" t="s">
        <v>22</v>
      </c>
      <c r="B822" t="s">
        <v>1</v>
      </c>
      <c r="C822" s="14">
        <v>71.489999999999995</v>
      </c>
      <c r="D822">
        <v>3</v>
      </c>
      <c r="E822">
        <v>31</v>
      </c>
      <c r="F822" t="s">
        <v>588</v>
      </c>
      <c r="G822" t="s">
        <v>590</v>
      </c>
      <c r="H822">
        <v>22</v>
      </c>
      <c r="I822">
        <v>2024</v>
      </c>
      <c r="J822" s="7">
        <v>0.68900462962962961</v>
      </c>
      <c r="K822" t="s">
        <v>329</v>
      </c>
      <c r="L822" t="s">
        <v>274</v>
      </c>
      <c r="M822" t="s">
        <v>118</v>
      </c>
    </row>
    <row r="823" spans="1:13" x14ac:dyDescent="0.35">
      <c r="A823" t="s">
        <v>89</v>
      </c>
      <c r="B823" t="s">
        <v>3</v>
      </c>
      <c r="C823" s="14">
        <v>71.900000000000006</v>
      </c>
      <c r="D823">
        <v>3</v>
      </c>
      <c r="E823">
        <v>244</v>
      </c>
      <c r="F823" t="s">
        <v>588</v>
      </c>
      <c r="G823" t="s">
        <v>590</v>
      </c>
      <c r="H823">
        <v>23</v>
      </c>
      <c r="I823">
        <v>2024</v>
      </c>
      <c r="J823" s="7">
        <v>0.68761574074074072</v>
      </c>
      <c r="K823" t="s">
        <v>511</v>
      </c>
      <c r="L823" t="s">
        <v>274</v>
      </c>
      <c r="M823" t="s">
        <v>118</v>
      </c>
    </row>
    <row r="824" spans="1:13" x14ac:dyDescent="0.35">
      <c r="A824" t="s">
        <v>231</v>
      </c>
      <c r="B824" t="s">
        <v>3</v>
      </c>
      <c r="C824" s="14">
        <v>71.98</v>
      </c>
      <c r="D824">
        <v>0</v>
      </c>
      <c r="E824">
        <v>2153</v>
      </c>
      <c r="F824" t="s">
        <v>589</v>
      </c>
      <c r="G824" t="s">
        <v>590</v>
      </c>
      <c r="H824">
        <v>22</v>
      </c>
      <c r="I824">
        <v>2024</v>
      </c>
      <c r="J824" s="7">
        <v>0.35508101851851853</v>
      </c>
      <c r="K824" t="s">
        <v>290</v>
      </c>
      <c r="L824" t="s">
        <v>506</v>
      </c>
      <c r="M824" t="s">
        <v>118</v>
      </c>
    </row>
    <row r="825" spans="1:13" x14ac:dyDescent="0.35">
      <c r="A825" t="s">
        <v>89</v>
      </c>
      <c r="B825" t="s">
        <v>3</v>
      </c>
      <c r="C825" s="14">
        <v>71.98</v>
      </c>
      <c r="D825">
        <v>0</v>
      </c>
      <c r="E825">
        <v>1333</v>
      </c>
      <c r="F825" t="s">
        <v>589</v>
      </c>
      <c r="G825" t="s">
        <v>590</v>
      </c>
      <c r="H825">
        <v>21</v>
      </c>
      <c r="I825">
        <v>2024</v>
      </c>
      <c r="J825" s="7">
        <v>0.63019675925925922</v>
      </c>
      <c r="K825" t="s">
        <v>290</v>
      </c>
      <c r="L825" t="s">
        <v>506</v>
      </c>
      <c r="M825" t="s">
        <v>118</v>
      </c>
    </row>
    <row r="826" spans="1:13" x14ac:dyDescent="0.35">
      <c r="A826" t="s">
        <v>8</v>
      </c>
      <c r="B826" t="s">
        <v>3</v>
      </c>
      <c r="C826" s="14">
        <v>71.98</v>
      </c>
      <c r="D826">
        <v>0</v>
      </c>
      <c r="E826">
        <v>100</v>
      </c>
      <c r="F826" t="s">
        <v>588</v>
      </c>
      <c r="G826" t="s">
        <v>590</v>
      </c>
      <c r="H826">
        <v>24</v>
      </c>
      <c r="I826">
        <v>2024</v>
      </c>
      <c r="J826" s="7">
        <v>0.26480324074074074</v>
      </c>
      <c r="K826" t="s">
        <v>291</v>
      </c>
      <c r="L826" t="s">
        <v>274</v>
      </c>
      <c r="M826" t="s">
        <v>118</v>
      </c>
    </row>
    <row r="827" spans="1:13" x14ac:dyDescent="0.35">
      <c r="A827" t="s">
        <v>188</v>
      </c>
      <c r="B827" t="s">
        <v>1</v>
      </c>
      <c r="C827" s="14">
        <v>71.989999999999995</v>
      </c>
      <c r="D827">
        <v>0</v>
      </c>
      <c r="E827">
        <v>3</v>
      </c>
      <c r="F827" t="s">
        <v>588</v>
      </c>
      <c r="G827" t="s">
        <v>590</v>
      </c>
      <c r="H827">
        <v>21</v>
      </c>
      <c r="I827">
        <v>2024</v>
      </c>
      <c r="J827" s="7">
        <v>7.2106481481481483E-3</v>
      </c>
      <c r="K827" t="s">
        <v>519</v>
      </c>
      <c r="L827" t="s">
        <v>283</v>
      </c>
      <c r="M827" t="s">
        <v>118</v>
      </c>
    </row>
    <row r="828" spans="1:13" x14ac:dyDescent="0.35">
      <c r="A828" t="s">
        <v>9</v>
      </c>
      <c r="B828" t="s">
        <v>3</v>
      </c>
      <c r="C828" s="14">
        <v>72.56</v>
      </c>
      <c r="D828">
        <v>10</v>
      </c>
      <c r="E828">
        <v>3171</v>
      </c>
      <c r="F828" t="s">
        <v>589</v>
      </c>
      <c r="G828" t="s">
        <v>590</v>
      </c>
      <c r="H828">
        <v>23</v>
      </c>
      <c r="I828">
        <v>2024</v>
      </c>
      <c r="J828" s="7">
        <v>0.19320601851851851</v>
      </c>
      <c r="K828" t="s">
        <v>290</v>
      </c>
      <c r="L828" t="s">
        <v>506</v>
      </c>
      <c r="M828" t="s">
        <v>118</v>
      </c>
    </row>
    <row r="829" spans="1:13" x14ac:dyDescent="0.35">
      <c r="A829" t="s">
        <v>4</v>
      </c>
      <c r="B829" t="s">
        <v>1</v>
      </c>
      <c r="C829" s="14">
        <v>72.989999999999995</v>
      </c>
      <c r="D829">
        <v>10</v>
      </c>
      <c r="E829">
        <v>235</v>
      </c>
      <c r="F829" t="s">
        <v>588</v>
      </c>
      <c r="G829" t="s">
        <v>590</v>
      </c>
      <c r="H829">
        <v>24</v>
      </c>
      <c r="I829">
        <v>2024</v>
      </c>
      <c r="J829" s="7">
        <v>0.24379629629629629</v>
      </c>
      <c r="K829" t="s">
        <v>351</v>
      </c>
      <c r="L829" t="s">
        <v>266</v>
      </c>
      <c r="M829" t="s">
        <v>118</v>
      </c>
    </row>
    <row r="830" spans="1:13" x14ac:dyDescent="0.35">
      <c r="A830" t="s">
        <v>229</v>
      </c>
      <c r="B830" t="s">
        <v>1</v>
      </c>
      <c r="C830" s="14">
        <v>72.989999999999995</v>
      </c>
      <c r="D830">
        <v>3</v>
      </c>
      <c r="E830">
        <v>180</v>
      </c>
      <c r="F830" t="s">
        <v>588</v>
      </c>
      <c r="G830" t="s">
        <v>590</v>
      </c>
      <c r="H830">
        <v>16</v>
      </c>
      <c r="I830">
        <v>2024</v>
      </c>
      <c r="J830" s="7">
        <v>0.59445601851851848</v>
      </c>
      <c r="K830" t="s">
        <v>339</v>
      </c>
      <c r="L830" t="s">
        <v>507</v>
      </c>
      <c r="M830" t="s">
        <v>118</v>
      </c>
    </row>
    <row r="831" spans="1:13" x14ac:dyDescent="0.35">
      <c r="A831" t="s">
        <v>229</v>
      </c>
      <c r="B831" t="s">
        <v>1</v>
      </c>
      <c r="C831" s="14">
        <v>73.52</v>
      </c>
      <c r="D831">
        <v>0</v>
      </c>
      <c r="E831">
        <v>8</v>
      </c>
      <c r="F831" t="s">
        <v>588</v>
      </c>
      <c r="G831" t="s">
        <v>590</v>
      </c>
      <c r="H831">
        <v>8</v>
      </c>
      <c r="I831">
        <v>2024</v>
      </c>
      <c r="J831" s="7">
        <v>0.25083333333333335</v>
      </c>
      <c r="K831" t="s">
        <v>291</v>
      </c>
      <c r="L831" t="s">
        <v>274</v>
      </c>
      <c r="M831" t="s">
        <v>118</v>
      </c>
    </row>
    <row r="832" spans="1:13" x14ac:dyDescent="0.35">
      <c r="A832" t="s">
        <v>8</v>
      </c>
      <c r="B832" t="s">
        <v>1</v>
      </c>
      <c r="C832" s="14">
        <v>74.25</v>
      </c>
      <c r="D832">
        <v>10</v>
      </c>
      <c r="E832">
        <v>16</v>
      </c>
      <c r="F832" t="s">
        <v>588</v>
      </c>
      <c r="G832" t="s">
        <v>590</v>
      </c>
      <c r="H832">
        <v>23</v>
      </c>
      <c r="I832">
        <v>2024</v>
      </c>
      <c r="J832" s="7">
        <v>0.43939814814814815</v>
      </c>
      <c r="K832" t="s">
        <v>509</v>
      </c>
      <c r="L832" t="s">
        <v>505</v>
      </c>
      <c r="M832" t="s">
        <v>118</v>
      </c>
    </row>
    <row r="833" spans="1:13" x14ac:dyDescent="0.35">
      <c r="A833" t="s">
        <v>10</v>
      </c>
      <c r="B833" t="s">
        <v>1</v>
      </c>
      <c r="C833" s="14">
        <v>74.48</v>
      </c>
      <c r="D833">
        <v>5</v>
      </c>
      <c r="E833">
        <v>5</v>
      </c>
      <c r="F833" t="s">
        <v>588</v>
      </c>
      <c r="G833" t="s">
        <v>590</v>
      </c>
      <c r="H833">
        <v>24</v>
      </c>
      <c r="I833">
        <v>2024</v>
      </c>
      <c r="J833" s="7">
        <v>0.13956018518518518</v>
      </c>
      <c r="K833" t="s">
        <v>511</v>
      </c>
      <c r="L833" t="s">
        <v>274</v>
      </c>
      <c r="M833" t="s">
        <v>118</v>
      </c>
    </row>
    <row r="834" spans="1:13" x14ac:dyDescent="0.35">
      <c r="A834" t="s">
        <v>119</v>
      </c>
      <c r="B834" t="s">
        <v>1</v>
      </c>
      <c r="C834" s="14">
        <v>74.59</v>
      </c>
      <c r="D834">
        <v>4</v>
      </c>
      <c r="E834">
        <v>1</v>
      </c>
      <c r="F834" t="s">
        <v>588</v>
      </c>
      <c r="G834" t="s">
        <v>590</v>
      </c>
      <c r="H834">
        <v>24</v>
      </c>
      <c r="I834">
        <v>2024</v>
      </c>
      <c r="J834" s="7">
        <v>0.43233796296296295</v>
      </c>
      <c r="K834" t="s">
        <v>506</v>
      </c>
      <c r="L834" t="s">
        <v>505</v>
      </c>
      <c r="M834" t="s">
        <v>118</v>
      </c>
    </row>
    <row r="835" spans="1:13" x14ac:dyDescent="0.35">
      <c r="A835" t="s">
        <v>61</v>
      </c>
      <c r="B835" t="s">
        <v>1</v>
      </c>
      <c r="C835" s="14">
        <v>74.8</v>
      </c>
      <c r="D835">
        <v>0</v>
      </c>
      <c r="E835">
        <v>430</v>
      </c>
      <c r="F835" t="s">
        <v>588</v>
      </c>
      <c r="G835" t="s">
        <v>590</v>
      </c>
      <c r="H835">
        <v>24</v>
      </c>
      <c r="I835">
        <v>2024</v>
      </c>
      <c r="J835" s="7">
        <v>0.40057870370370369</v>
      </c>
      <c r="K835" t="s">
        <v>291</v>
      </c>
      <c r="L835" t="s">
        <v>274</v>
      </c>
      <c r="M835" t="s">
        <v>118</v>
      </c>
    </row>
    <row r="836" spans="1:13" x14ac:dyDescent="0.35">
      <c r="A836" t="s">
        <v>85</v>
      </c>
      <c r="B836" t="s">
        <v>1</v>
      </c>
      <c r="C836" s="14">
        <v>74.849999999999994</v>
      </c>
      <c r="D836">
        <v>0</v>
      </c>
      <c r="E836">
        <v>2</v>
      </c>
      <c r="F836" t="s">
        <v>588</v>
      </c>
      <c r="G836" t="s">
        <v>239</v>
      </c>
      <c r="H836">
        <v>0</v>
      </c>
      <c r="I836">
        <v>0</v>
      </c>
      <c r="J836" s="7">
        <v>0</v>
      </c>
      <c r="K836" t="s">
        <v>526</v>
      </c>
      <c r="L836" t="s">
        <v>282</v>
      </c>
      <c r="M836" t="s">
        <v>118</v>
      </c>
    </row>
    <row r="837" spans="1:13" x14ac:dyDescent="0.35">
      <c r="A837" t="s">
        <v>85</v>
      </c>
      <c r="B837" t="s">
        <v>1</v>
      </c>
      <c r="C837" s="14">
        <v>74.92</v>
      </c>
      <c r="D837">
        <v>33</v>
      </c>
      <c r="E837">
        <v>116</v>
      </c>
      <c r="F837" t="s">
        <v>588</v>
      </c>
      <c r="G837" t="s">
        <v>590</v>
      </c>
      <c r="H837">
        <v>24</v>
      </c>
      <c r="I837">
        <v>2024</v>
      </c>
      <c r="J837" s="7">
        <v>0.36846064814814816</v>
      </c>
      <c r="K837" t="s">
        <v>301</v>
      </c>
      <c r="L837" t="s">
        <v>506</v>
      </c>
      <c r="M837" t="s">
        <v>118</v>
      </c>
    </row>
    <row r="838" spans="1:13" x14ac:dyDescent="0.35">
      <c r="A838" t="s">
        <v>13</v>
      </c>
      <c r="B838" t="s">
        <v>1</v>
      </c>
      <c r="C838" s="14">
        <v>74.989999999999995</v>
      </c>
      <c r="D838">
        <v>12</v>
      </c>
      <c r="E838">
        <v>60</v>
      </c>
      <c r="F838" t="s">
        <v>588</v>
      </c>
      <c r="G838" t="s">
        <v>590</v>
      </c>
      <c r="H838">
        <v>23</v>
      </c>
      <c r="I838">
        <v>2024</v>
      </c>
      <c r="J838" s="7">
        <v>0.10135416666666666</v>
      </c>
      <c r="K838" t="s">
        <v>548</v>
      </c>
      <c r="L838" t="s">
        <v>283</v>
      </c>
      <c r="M838" t="s">
        <v>536</v>
      </c>
    </row>
    <row r="839" spans="1:13" x14ac:dyDescent="0.35">
      <c r="A839" t="s">
        <v>13</v>
      </c>
      <c r="B839" t="s">
        <v>1</v>
      </c>
      <c r="C839" s="14">
        <v>74.989999999999995</v>
      </c>
      <c r="D839">
        <v>10</v>
      </c>
      <c r="E839">
        <v>23</v>
      </c>
      <c r="F839" t="s">
        <v>588</v>
      </c>
      <c r="G839" t="s">
        <v>590</v>
      </c>
      <c r="H839">
        <v>23</v>
      </c>
      <c r="I839">
        <v>2024</v>
      </c>
      <c r="J839" s="7">
        <v>0.73428240740740736</v>
      </c>
      <c r="K839" t="s">
        <v>506</v>
      </c>
      <c r="L839" t="s">
        <v>118</v>
      </c>
      <c r="M839" t="s">
        <v>333</v>
      </c>
    </row>
    <row r="840" spans="1:13" x14ac:dyDescent="0.35">
      <c r="A840" t="s">
        <v>11</v>
      </c>
      <c r="B840" t="s">
        <v>1</v>
      </c>
      <c r="C840" s="14">
        <v>74.989999999999995</v>
      </c>
      <c r="D840">
        <v>19</v>
      </c>
      <c r="E840">
        <v>4</v>
      </c>
      <c r="F840" t="s">
        <v>588</v>
      </c>
      <c r="G840" t="s">
        <v>590</v>
      </c>
      <c r="H840">
        <v>23</v>
      </c>
      <c r="I840">
        <v>2024</v>
      </c>
      <c r="J840" s="7">
        <v>0.68921296296296297</v>
      </c>
      <c r="K840" t="s">
        <v>510</v>
      </c>
      <c r="L840" t="s">
        <v>506</v>
      </c>
      <c r="M840" t="s">
        <v>333</v>
      </c>
    </row>
    <row r="841" spans="1:13" x14ac:dyDescent="0.35">
      <c r="A841" t="s">
        <v>89</v>
      </c>
      <c r="B841" t="s">
        <v>1</v>
      </c>
      <c r="C841" s="14">
        <v>74.989999999999995</v>
      </c>
      <c r="D841">
        <v>10</v>
      </c>
      <c r="E841">
        <v>82</v>
      </c>
      <c r="F841" t="s">
        <v>588</v>
      </c>
      <c r="G841" t="s">
        <v>590</v>
      </c>
      <c r="H841">
        <v>23</v>
      </c>
      <c r="I841">
        <v>2024</v>
      </c>
      <c r="J841" s="7">
        <v>0.23599537037037038</v>
      </c>
      <c r="K841" t="s">
        <v>511</v>
      </c>
      <c r="L841" t="s">
        <v>274</v>
      </c>
      <c r="M841" t="s">
        <v>118</v>
      </c>
    </row>
    <row r="842" spans="1:13" x14ac:dyDescent="0.35">
      <c r="A842" t="s">
        <v>10</v>
      </c>
      <c r="B842" t="s">
        <v>1</v>
      </c>
      <c r="C842" s="14">
        <v>75</v>
      </c>
      <c r="D842">
        <v>10</v>
      </c>
      <c r="E842">
        <v>1</v>
      </c>
      <c r="F842" t="s">
        <v>588</v>
      </c>
      <c r="G842" t="s">
        <v>239</v>
      </c>
      <c r="H842">
        <v>0</v>
      </c>
      <c r="I842">
        <v>0</v>
      </c>
      <c r="J842" s="7">
        <v>0</v>
      </c>
      <c r="K842" t="s">
        <v>412</v>
      </c>
      <c r="L842" t="s">
        <v>505</v>
      </c>
      <c r="M842" t="s">
        <v>118</v>
      </c>
    </row>
    <row r="843" spans="1:13" x14ac:dyDescent="0.35">
      <c r="A843" t="s">
        <v>232</v>
      </c>
      <c r="B843" t="s">
        <v>1</v>
      </c>
      <c r="C843" s="14">
        <v>75.650000000000006</v>
      </c>
      <c r="D843">
        <v>4</v>
      </c>
      <c r="E843">
        <v>16</v>
      </c>
      <c r="F843" t="s">
        <v>588</v>
      </c>
      <c r="G843" t="s">
        <v>590</v>
      </c>
      <c r="H843">
        <v>24</v>
      </c>
      <c r="I843">
        <v>2024</v>
      </c>
      <c r="J843" s="7">
        <v>0.38905092592592594</v>
      </c>
      <c r="K843" t="s">
        <v>290</v>
      </c>
      <c r="L843" t="s">
        <v>506</v>
      </c>
      <c r="M843" t="s">
        <v>118</v>
      </c>
    </row>
    <row r="844" spans="1:13" x14ac:dyDescent="0.35">
      <c r="A844" t="s">
        <v>17</v>
      </c>
      <c r="B844" t="s">
        <v>1</v>
      </c>
      <c r="C844" s="14">
        <v>75.95</v>
      </c>
      <c r="D844">
        <v>2</v>
      </c>
      <c r="E844">
        <v>3</v>
      </c>
      <c r="F844" t="s">
        <v>588</v>
      </c>
      <c r="G844" t="s">
        <v>590</v>
      </c>
      <c r="H844">
        <v>24</v>
      </c>
      <c r="I844">
        <v>2024</v>
      </c>
      <c r="J844" s="7">
        <v>0.39332175925925927</v>
      </c>
      <c r="K844" t="s">
        <v>301</v>
      </c>
      <c r="L844" t="s">
        <v>506</v>
      </c>
      <c r="M844" t="s">
        <v>118</v>
      </c>
    </row>
    <row r="845" spans="1:13" x14ac:dyDescent="0.35">
      <c r="A845" t="s">
        <v>23</v>
      </c>
      <c r="B845" t="s">
        <v>3</v>
      </c>
      <c r="C845" s="14">
        <v>75.989999999999995</v>
      </c>
      <c r="D845">
        <v>6</v>
      </c>
      <c r="E845">
        <v>8</v>
      </c>
      <c r="F845" t="s">
        <v>588</v>
      </c>
      <c r="G845" t="s">
        <v>590</v>
      </c>
      <c r="H845">
        <v>24</v>
      </c>
      <c r="I845">
        <v>2024</v>
      </c>
      <c r="J845" s="7">
        <v>3.3680555555555554E-2</v>
      </c>
      <c r="K845" t="s">
        <v>326</v>
      </c>
      <c r="L845" t="s">
        <v>282</v>
      </c>
      <c r="M845" t="s">
        <v>333</v>
      </c>
    </row>
    <row r="846" spans="1:13" x14ac:dyDescent="0.35">
      <c r="A846" t="s">
        <v>231</v>
      </c>
      <c r="B846" t="s">
        <v>3</v>
      </c>
      <c r="C846" s="14">
        <v>75.989999999999995</v>
      </c>
      <c r="D846">
        <v>7</v>
      </c>
      <c r="E846">
        <v>19</v>
      </c>
      <c r="F846" t="s">
        <v>588</v>
      </c>
      <c r="G846" t="s">
        <v>591</v>
      </c>
      <c r="H846">
        <v>29</v>
      </c>
      <c r="I846">
        <v>2024</v>
      </c>
      <c r="J846" s="7">
        <v>0.79681712962962958</v>
      </c>
      <c r="K846" t="s">
        <v>322</v>
      </c>
      <c r="L846" t="s">
        <v>282</v>
      </c>
      <c r="M846" t="s">
        <v>118</v>
      </c>
    </row>
    <row r="847" spans="1:13" x14ac:dyDescent="0.35">
      <c r="A847" t="s">
        <v>62</v>
      </c>
      <c r="B847" t="s">
        <v>3</v>
      </c>
      <c r="C847" s="14">
        <v>76.5</v>
      </c>
      <c r="D847">
        <v>0</v>
      </c>
      <c r="E847">
        <v>8</v>
      </c>
      <c r="F847" t="s">
        <v>588</v>
      </c>
      <c r="G847" t="s">
        <v>591</v>
      </c>
      <c r="H847">
        <v>26</v>
      </c>
      <c r="I847">
        <v>2024</v>
      </c>
      <c r="J847" s="7">
        <v>0.42119212962962965</v>
      </c>
      <c r="K847" t="s">
        <v>380</v>
      </c>
      <c r="L847" t="s">
        <v>505</v>
      </c>
      <c r="M847" t="s">
        <v>118</v>
      </c>
    </row>
    <row r="848" spans="1:13" x14ac:dyDescent="0.35">
      <c r="A848" t="s">
        <v>62</v>
      </c>
      <c r="B848" t="s">
        <v>45</v>
      </c>
      <c r="C848" s="14">
        <v>76.650000000000006</v>
      </c>
      <c r="D848">
        <v>10</v>
      </c>
      <c r="E848">
        <v>30</v>
      </c>
      <c r="F848" t="s">
        <v>588</v>
      </c>
      <c r="G848" t="s">
        <v>590</v>
      </c>
      <c r="H848">
        <v>23</v>
      </c>
      <c r="I848">
        <v>2024</v>
      </c>
      <c r="J848" s="7">
        <v>0.37417824074074074</v>
      </c>
      <c r="K848" t="s">
        <v>301</v>
      </c>
      <c r="L848" t="s">
        <v>506</v>
      </c>
      <c r="M848" t="s">
        <v>118</v>
      </c>
    </row>
    <row r="849" spans="1:13" x14ac:dyDescent="0.35">
      <c r="A849" t="s">
        <v>209</v>
      </c>
      <c r="B849" t="s">
        <v>3</v>
      </c>
      <c r="C849" s="14">
        <v>76.989999999999995</v>
      </c>
      <c r="D849">
        <v>0</v>
      </c>
      <c r="E849">
        <v>33</v>
      </c>
      <c r="F849" t="s">
        <v>588</v>
      </c>
      <c r="G849" t="s">
        <v>590</v>
      </c>
      <c r="H849">
        <v>22</v>
      </c>
      <c r="I849">
        <v>2024</v>
      </c>
      <c r="J849" s="7">
        <v>0.3258564814814815</v>
      </c>
      <c r="K849" t="s">
        <v>511</v>
      </c>
      <c r="L849" t="s">
        <v>274</v>
      </c>
      <c r="M849" t="s">
        <v>118</v>
      </c>
    </row>
    <row r="850" spans="1:13" x14ac:dyDescent="0.35">
      <c r="A850" t="s">
        <v>232</v>
      </c>
      <c r="B850" t="s">
        <v>1</v>
      </c>
      <c r="C850" s="14">
        <v>77.069999999999993</v>
      </c>
      <c r="D850">
        <v>10</v>
      </c>
      <c r="E850">
        <v>55</v>
      </c>
      <c r="F850" t="s">
        <v>588</v>
      </c>
      <c r="G850" t="s">
        <v>590</v>
      </c>
      <c r="H850">
        <v>23</v>
      </c>
      <c r="I850">
        <v>2024</v>
      </c>
      <c r="J850" s="7">
        <v>0.92393518518518514</v>
      </c>
      <c r="K850" t="s">
        <v>509</v>
      </c>
      <c r="L850" t="s">
        <v>505</v>
      </c>
      <c r="M850" t="s">
        <v>118</v>
      </c>
    </row>
    <row r="851" spans="1:13" x14ac:dyDescent="0.35">
      <c r="A851" t="s">
        <v>13</v>
      </c>
      <c r="B851" t="s">
        <v>3</v>
      </c>
      <c r="C851" s="14">
        <v>77.150000000000006</v>
      </c>
      <c r="D851">
        <v>3</v>
      </c>
      <c r="E851">
        <v>293</v>
      </c>
      <c r="F851" t="s">
        <v>588</v>
      </c>
      <c r="G851" t="s">
        <v>590</v>
      </c>
      <c r="H851">
        <v>18</v>
      </c>
      <c r="I851">
        <v>2024</v>
      </c>
      <c r="J851" s="7">
        <v>0.88901620370370371</v>
      </c>
      <c r="K851" t="s">
        <v>291</v>
      </c>
      <c r="L851" t="s">
        <v>274</v>
      </c>
      <c r="M851" t="s">
        <v>118</v>
      </c>
    </row>
    <row r="852" spans="1:13" x14ac:dyDescent="0.35">
      <c r="A852" t="s">
        <v>10</v>
      </c>
      <c r="B852" t="s">
        <v>1</v>
      </c>
      <c r="C852" s="14">
        <v>77.989999999999995</v>
      </c>
      <c r="D852">
        <v>4</v>
      </c>
      <c r="E852">
        <v>9</v>
      </c>
      <c r="F852" t="s">
        <v>588</v>
      </c>
      <c r="G852" t="s">
        <v>591</v>
      </c>
      <c r="H852">
        <v>21</v>
      </c>
      <c r="I852">
        <v>2024</v>
      </c>
      <c r="J852" s="7">
        <v>0.96293981481481483</v>
      </c>
      <c r="K852" t="s">
        <v>285</v>
      </c>
      <c r="L852" t="s">
        <v>286</v>
      </c>
      <c r="M852" t="s">
        <v>118</v>
      </c>
    </row>
    <row r="853" spans="1:13" x14ac:dyDescent="0.35">
      <c r="A853" t="s">
        <v>25</v>
      </c>
      <c r="B853" t="s">
        <v>1</v>
      </c>
      <c r="C853" s="14">
        <v>78</v>
      </c>
      <c r="D853">
        <v>3</v>
      </c>
      <c r="E853">
        <v>27</v>
      </c>
      <c r="F853" t="s">
        <v>588</v>
      </c>
      <c r="G853" t="s">
        <v>590</v>
      </c>
      <c r="H853">
        <v>20</v>
      </c>
      <c r="I853">
        <v>2024</v>
      </c>
      <c r="J853" s="7">
        <v>0.54403935185185182</v>
      </c>
      <c r="K853" t="s">
        <v>498</v>
      </c>
      <c r="L853" t="s">
        <v>505</v>
      </c>
      <c r="M853" t="s">
        <v>118</v>
      </c>
    </row>
    <row r="854" spans="1:13" x14ac:dyDescent="0.35">
      <c r="A854" t="s">
        <v>22</v>
      </c>
      <c r="B854" t="s">
        <v>1</v>
      </c>
      <c r="C854" s="14">
        <v>78.989999999999995</v>
      </c>
      <c r="D854">
        <v>10</v>
      </c>
      <c r="E854">
        <v>142</v>
      </c>
      <c r="F854" t="s">
        <v>588</v>
      </c>
      <c r="G854" t="s">
        <v>590</v>
      </c>
      <c r="H854">
        <v>3</v>
      </c>
      <c r="I854">
        <v>2024</v>
      </c>
      <c r="J854" s="7">
        <v>0.61498842592592595</v>
      </c>
      <c r="K854" t="s">
        <v>285</v>
      </c>
      <c r="L854" t="s">
        <v>286</v>
      </c>
      <c r="M854" t="s">
        <v>118</v>
      </c>
    </row>
    <row r="855" spans="1:13" x14ac:dyDescent="0.35">
      <c r="A855" t="s">
        <v>4</v>
      </c>
      <c r="B855" t="s">
        <v>1</v>
      </c>
      <c r="C855" s="14">
        <v>78.989999999999995</v>
      </c>
      <c r="D855">
        <v>2</v>
      </c>
      <c r="E855">
        <v>743</v>
      </c>
      <c r="F855" t="s">
        <v>588</v>
      </c>
      <c r="G855" t="s">
        <v>590</v>
      </c>
      <c r="H855">
        <v>22</v>
      </c>
      <c r="I855">
        <v>2024</v>
      </c>
      <c r="J855" s="7">
        <v>0.49853009259259257</v>
      </c>
      <c r="K855" t="s">
        <v>290</v>
      </c>
      <c r="L855" t="s">
        <v>506</v>
      </c>
      <c r="M855" t="s">
        <v>118</v>
      </c>
    </row>
    <row r="856" spans="1:13" x14ac:dyDescent="0.35">
      <c r="A856" t="s">
        <v>23</v>
      </c>
      <c r="B856" t="s">
        <v>3</v>
      </c>
      <c r="C856" s="14">
        <v>78.989999999999995</v>
      </c>
      <c r="D856">
        <v>8</v>
      </c>
      <c r="E856">
        <v>27</v>
      </c>
      <c r="F856" t="s">
        <v>588</v>
      </c>
      <c r="G856" t="s">
        <v>590</v>
      </c>
      <c r="H856">
        <v>16</v>
      </c>
      <c r="I856">
        <v>2024</v>
      </c>
      <c r="J856" s="7">
        <v>8.7499999999999994E-2</v>
      </c>
      <c r="K856" t="s">
        <v>118</v>
      </c>
      <c r="L856" t="s">
        <v>317</v>
      </c>
      <c r="M856" t="s">
        <v>379</v>
      </c>
    </row>
    <row r="857" spans="1:13" x14ac:dyDescent="0.35">
      <c r="A857" t="s">
        <v>4</v>
      </c>
      <c r="B857" t="s">
        <v>1</v>
      </c>
      <c r="C857" s="14">
        <v>79.89</v>
      </c>
      <c r="D857">
        <v>0</v>
      </c>
      <c r="E857">
        <v>15</v>
      </c>
      <c r="F857" t="s">
        <v>588</v>
      </c>
      <c r="G857" t="s">
        <v>590</v>
      </c>
      <c r="H857">
        <v>23</v>
      </c>
      <c r="I857">
        <v>2024</v>
      </c>
      <c r="J857" s="7">
        <v>0.39358796296296295</v>
      </c>
      <c r="K857" t="s">
        <v>509</v>
      </c>
      <c r="L857" t="s">
        <v>505</v>
      </c>
      <c r="M857" t="s">
        <v>118</v>
      </c>
    </row>
    <row r="858" spans="1:13" x14ac:dyDescent="0.35">
      <c r="A858" t="s">
        <v>23</v>
      </c>
      <c r="B858" t="s">
        <v>3</v>
      </c>
      <c r="C858" s="14">
        <v>79.989999999999995</v>
      </c>
      <c r="D858">
        <v>2</v>
      </c>
      <c r="E858">
        <v>316</v>
      </c>
      <c r="F858" t="s">
        <v>588</v>
      </c>
      <c r="G858" t="s">
        <v>590</v>
      </c>
      <c r="H858">
        <v>16</v>
      </c>
      <c r="I858">
        <v>2024</v>
      </c>
      <c r="J858" s="7">
        <v>0.70947916666666666</v>
      </c>
      <c r="K858" t="s">
        <v>326</v>
      </c>
      <c r="L858" t="s">
        <v>282</v>
      </c>
      <c r="M858" t="s">
        <v>333</v>
      </c>
    </row>
    <row r="859" spans="1:13" x14ac:dyDescent="0.35">
      <c r="A859" t="s">
        <v>47</v>
      </c>
      <c r="B859" t="s">
        <v>1</v>
      </c>
      <c r="C859" s="14">
        <v>79.989999999999995</v>
      </c>
      <c r="D859">
        <v>2</v>
      </c>
      <c r="E859">
        <v>18</v>
      </c>
      <c r="F859" t="s">
        <v>588</v>
      </c>
      <c r="G859" t="s">
        <v>590</v>
      </c>
      <c r="H859">
        <v>15</v>
      </c>
      <c r="I859">
        <v>2024</v>
      </c>
      <c r="J859" s="7">
        <v>0.57491898148148146</v>
      </c>
      <c r="K859" t="s">
        <v>337</v>
      </c>
      <c r="L859" t="s">
        <v>269</v>
      </c>
      <c r="M859" t="s">
        <v>118</v>
      </c>
    </row>
    <row r="860" spans="1:13" x14ac:dyDescent="0.35">
      <c r="A860" t="s">
        <v>199</v>
      </c>
      <c r="B860" t="s">
        <v>1</v>
      </c>
      <c r="C860" s="14">
        <v>79.989999999999995</v>
      </c>
      <c r="D860">
        <v>10</v>
      </c>
      <c r="E860">
        <v>43</v>
      </c>
      <c r="F860" t="s">
        <v>588</v>
      </c>
      <c r="G860" t="s">
        <v>590</v>
      </c>
      <c r="H860">
        <v>21</v>
      </c>
      <c r="I860">
        <v>2024</v>
      </c>
      <c r="J860" s="7">
        <v>0.50163194444444448</v>
      </c>
      <c r="K860" t="s">
        <v>369</v>
      </c>
      <c r="L860" t="s">
        <v>506</v>
      </c>
      <c r="M860" t="s">
        <v>118</v>
      </c>
    </row>
    <row r="861" spans="1:13" x14ac:dyDescent="0.35">
      <c r="A861" t="s">
        <v>199</v>
      </c>
      <c r="B861" t="s">
        <v>1</v>
      </c>
      <c r="C861" s="14">
        <v>79.989999999999995</v>
      </c>
      <c r="D861">
        <v>24</v>
      </c>
      <c r="E861">
        <v>15</v>
      </c>
      <c r="F861" t="s">
        <v>588</v>
      </c>
      <c r="G861" t="s">
        <v>590</v>
      </c>
      <c r="H861">
        <v>15</v>
      </c>
      <c r="I861">
        <v>2024</v>
      </c>
      <c r="J861" s="7">
        <v>0.53543981481481484</v>
      </c>
      <c r="K861" t="s">
        <v>369</v>
      </c>
      <c r="L861" t="s">
        <v>506</v>
      </c>
      <c r="M861" t="s">
        <v>118</v>
      </c>
    </row>
    <row r="862" spans="1:13" x14ac:dyDescent="0.35">
      <c r="A862" t="s">
        <v>227</v>
      </c>
      <c r="B862" t="s">
        <v>1</v>
      </c>
      <c r="C862" s="14">
        <v>79.989999999999995</v>
      </c>
      <c r="D862">
        <v>8</v>
      </c>
      <c r="E862">
        <v>13</v>
      </c>
      <c r="F862" t="s">
        <v>588</v>
      </c>
      <c r="G862" t="s">
        <v>590</v>
      </c>
      <c r="H862">
        <v>21</v>
      </c>
      <c r="I862">
        <v>2024</v>
      </c>
      <c r="J862" s="7">
        <v>0.29982638888888891</v>
      </c>
      <c r="K862" t="s">
        <v>545</v>
      </c>
      <c r="L862" t="s">
        <v>283</v>
      </c>
      <c r="M862" t="s">
        <v>118</v>
      </c>
    </row>
    <row r="863" spans="1:13" x14ac:dyDescent="0.35">
      <c r="A863" t="s">
        <v>29</v>
      </c>
      <c r="B863" t="s">
        <v>1</v>
      </c>
      <c r="C863" s="14">
        <v>79.989999999999995</v>
      </c>
      <c r="D863">
        <v>15</v>
      </c>
      <c r="E863">
        <v>17</v>
      </c>
      <c r="F863" t="s">
        <v>588</v>
      </c>
      <c r="G863" t="s">
        <v>590</v>
      </c>
      <c r="H863">
        <v>10</v>
      </c>
      <c r="I863">
        <v>2024</v>
      </c>
      <c r="J863" s="7">
        <v>0.73771990740740745</v>
      </c>
      <c r="K863" t="s">
        <v>322</v>
      </c>
      <c r="L863" t="s">
        <v>282</v>
      </c>
      <c r="M863" t="s">
        <v>118</v>
      </c>
    </row>
    <row r="864" spans="1:13" x14ac:dyDescent="0.35">
      <c r="A864" t="s">
        <v>62</v>
      </c>
      <c r="B864" t="s">
        <v>3</v>
      </c>
      <c r="C864" s="14">
        <v>79.989999999999995</v>
      </c>
      <c r="D864">
        <v>10</v>
      </c>
      <c r="E864">
        <v>1</v>
      </c>
      <c r="F864" t="s">
        <v>588</v>
      </c>
      <c r="G864" t="s">
        <v>239</v>
      </c>
      <c r="H864">
        <v>0</v>
      </c>
      <c r="I864">
        <v>0</v>
      </c>
      <c r="J864" s="7">
        <v>0</v>
      </c>
      <c r="K864" t="s">
        <v>422</v>
      </c>
      <c r="L864" t="s">
        <v>376</v>
      </c>
      <c r="M864" t="s">
        <v>118</v>
      </c>
    </row>
    <row r="865" spans="1:13" x14ac:dyDescent="0.35">
      <c r="A865" t="s">
        <v>4</v>
      </c>
      <c r="B865" t="s">
        <v>1</v>
      </c>
      <c r="C865" s="14">
        <v>79.989999999999995</v>
      </c>
      <c r="D865">
        <v>10</v>
      </c>
      <c r="E865">
        <v>47</v>
      </c>
      <c r="F865" t="s">
        <v>588</v>
      </c>
      <c r="G865" t="s">
        <v>590</v>
      </c>
      <c r="H865">
        <v>14</v>
      </c>
      <c r="I865">
        <v>2024</v>
      </c>
      <c r="J865" s="7">
        <v>0.35671296296296295</v>
      </c>
      <c r="K865" t="s">
        <v>357</v>
      </c>
      <c r="L865" t="s">
        <v>266</v>
      </c>
      <c r="M865" t="s">
        <v>118</v>
      </c>
    </row>
    <row r="866" spans="1:13" x14ac:dyDescent="0.35">
      <c r="A866" t="s">
        <v>23</v>
      </c>
      <c r="B866" t="s">
        <v>3</v>
      </c>
      <c r="C866" s="14">
        <v>79.989999999999995</v>
      </c>
      <c r="D866">
        <v>9</v>
      </c>
      <c r="E866">
        <v>11</v>
      </c>
      <c r="F866" t="s">
        <v>588</v>
      </c>
      <c r="G866" t="s">
        <v>590</v>
      </c>
      <c r="H866">
        <v>23</v>
      </c>
      <c r="I866">
        <v>2024</v>
      </c>
      <c r="J866" s="7">
        <v>0.999537037037037</v>
      </c>
      <c r="K866" t="s">
        <v>550</v>
      </c>
      <c r="L866" t="s">
        <v>283</v>
      </c>
      <c r="M866" t="s">
        <v>118</v>
      </c>
    </row>
    <row r="867" spans="1:13" x14ac:dyDescent="0.35">
      <c r="A867" t="s">
        <v>229</v>
      </c>
      <c r="B867" t="s">
        <v>1</v>
      </c>
      <c r="C867" s="14">
        <v>80</v>
      </c>
      <c r="D867">
        <v>4</v>
      </c>
      <c r="E867">
        <v>197</v>
      </c>
      <c r="F867" t="s">
        <v>588</v>
      </c>
      <c r="G867" t="s">
        <v>590</v>
      </c>
      <c r="H867">
        <v>24</v>
      </c>
      <c r="I867">
        <v>2024</v>
      </c>
      <c r="J867" s="7">
        <v>0.13954861111111111</v>
      </c>
      <c r="K867" t="s">
        <v>511</v>
      </c>
      <c r="L867" t="s">
        <v>274</v>
      </c>
      <c r="M867" t="s">
        <v>118</v>
      </c>
    </row>
    <row r="868" spans="1:13" x14ac:dyDescent="0.35">
      <c r="A868" t="s">
        <v>233</v>
      </c>
      <c r="B868" t="s">
        <v>1</v>
      </c>
      <c r="C868" s="14">
        <v>82.99</v>
      </c>
      <c r="D868">
        <v>10</v>
      </c>
      <c r="E868">
        <v>5</v>
      </c>
      <c r="F868" t="s">
        <v>588</v>
      </c>
      <c r="G868" t="s">
        <v>590</v>
      </c>
      <c r="H868">
        <v>22</v>
      </c>
      <c r="I868">
        <v>2024</v>
      </c>
      <c r="J868" s="7">
        <v>0.8031018518518519</v>
      </c>
      <c r="K868" t="s">
        <v>293</v>
      </c>
      <c r="L868" t="s">
        <v>505</v>
      </c>
      <c r="M868" t="s">
        <v>118</v>
      </c>
    </row>
    <row r="869" spans="1:13" x14ac:dyDescent="0.35">
      <c r="A869" t="s">
        <v>13</v>
      </c>
      <c r="B869" t="s">
        <v>1</v>
      </c>
      <c r="C869" s="14">
        <v>82.99</v>
      </c>
      <c r="D869">
        <v>19</v>
      </c>
      <c r="E869">
        <v>2</v>
      </c>
      <c r="F869" t="s">
        <v>588</v>
      </c>
      <c r="G869" t="s">
        <v>590</v>
      </c>
      <c r="H869">
        <v>22</v>
      </c>
      <c r="I869">
        <v>2024</v>
      </c>
      <c r="J869" s="7">
        <v>4.7233796296296295E-2</v>
      </c>
      <c r="K869" t="s">
        <v>506</v>
      </c>
      <c r="L869" t="s">
        <v>505</v>
      </c>
      <c r="M869" t="s">
        <v>118</v>
      </c>
    </row>
    <row r="870" spans="1:13" x14ac:dyDescent="0.35">
      <c r="A870" t="s">
        <v>0</v>
      </c>
      <c r="B870" t="s">
        <v>3</v>
      </c>
      <c r="C870" s="14">
        <v>83.95</v>
      </c>
      <c r="D870">
        <v>4</v>
      </c>
      <c r="E870">
        <v>22</v>
      </c>
      <c r="F870" t="s">
        <v>588</v>
      </c>
      <c r="G870" t="s">
        <v>590</v>
      </c>
      <c r="H870">
        <v>22</v>
      </c>
      <c r="I870">
        <v>2024</v>
      </c>
      <c r="J870" s="7">
        <v>0.60549768518518521</v>
      </c>
      <c r="K870" t="s">
        <v>289</v>
      </c>
      <c r="L870" t="s">
        <v>505</v>
      </c>
      <c r="M870" t="s">
        <v>118</v>
      </c>
    </row>
    <row r="871" spans="1:13" x14ac:dyDescent="0.35">
      <c r="A871" t="s">
        <v>231</v>
      </c>
      <c r="B871" t="s">
        <v>1</v>
      </c>
      <c r="C871" s="14">
        <v>83.99</v>
      </c>
      <c r="D871">
        <v>10</v>
      </c>
      <c r="E871">
        <v>5</v>
      </c>
      <c r="F871" t="s">
        <v>588</v>
      </c>
      <c r="G871" t="s">
        <v>590</v>
      </c>
      <c r="H871">
        <v>23</v>
      </c>
      <c r="I871">
        <v>2024</v>
      </c>
      <c r="J871" s="7">
        <v>0.99982638888888886</v>
      </c>
      <c r="K871" t="s">
        <v>118</v>
      </c>
      <c r="L871" t="s">
        <v>283</v>
      </c>
      <c r="M871" t="s">
        <v>118</v>
      </c>
    </row>
    <row r="872" spans="1:13" x14ac:dyDescent="0.35">
      <c r="A872" t="s">
        <v>231</v>
      </c>
      <c r="B872" t="s">
        <v>1</v>
      </c>
      <c r="C872" s="14">
        <v>84.59</v>
      </c>
      <c r="D872">
        <v>40</v>
      </c>
      <c r="E872">
        <v>19</v>
      </c>
      <c r="F872" t="s">
        <v>588</v>
      </c>
      <c r="G872" t="s">
        <v>590</v>
      </c>
      <c r="H872">
        <v>23</v>
      </c>
      <c r="I872">
        <v>2024</v>
      </c>
      <c r="J872" s="7">
        <v>0.93511574074074078</v>
      </c>
      <c r="K872" t="s">
        <v>509</v>
      </c>
      <c r="L872" t="s">
        <v>505</v>
      </c>
      <c r="M872" t="s">
        <v>118</v>
      </c>
    </row>
    <row r="873" spans="1:13" x14ac:dyDescent="0.35">
      <c r="A873" t="s">
        <v>13</v>
      </c>
      <c r="B873" t="s">
        <v>3</v>
      </c>
      <c r="C873" s="14">
        <v>84.6</v>
      </c>
      <c r="D873">
        <v>0</v>
      </c>
      <c r="E873">
        <v>111</v>
      </c>
      <c r="F873" t="s">
        <v>588</v>
      </c>
      <c r="G873" t="s">
        <v>590</v>
      </c>
      <c r="H873">
        <v>22</v>
      </c>
      <c r="I873">
        <v>2024</v>
      </c>
      <c r="J873" s="7">
        <v>0.49520833333333331</v>
      </c>
      <c r="K873" t="s">
        <v>290</v>
      </c>
      <c r="L873" t="s">
        <v>506</v>
      </c>
      <c r="M873" t="s">
        <v>118</v>
      </c>
    </row>
    <row r="874" spans="1:13" x14ac:dyDescent="0.35">
      <c r="A874" t="s">
        <v>62</v>
      </c>
      <c r="B874" t="s">
        <v>3</v>
      </c>
      <c r="C874" s="14">
        <v>84.73</v>
      </c>
      <c r="D874">
        <v>0</v>
      </c>
      <c r="E874">
        <v>2774</v>
      </c>
      <c r="F874" t="s">
        <v>589</v>
      </c>
      <c r="G874" t="s">
        <v>590</v>
      </c>
      <c r="H874">
        <v>21</v>
      </c>
      <c r="I874">
        <v>2024</v>
      </c>
      <c r="J874" s="7">
        <v>0.29030092592592593</v>
      </c>
      <c r="K874" t="s">
        <v>290</v>
      </c>
      <c r="L874" t="s">
        <v>506</v>
      </c>
      <c r="M874" t="s">
        <v>118</v>
      </c>
    </row>
    <row r="875" spans="1:13" x14ac:dyDescent="0.35">
      <c r="A875" t="s">
        <v>163</v>
      </c>
      <c r="B875" t="s">
        <v>3</v>
      </c>
      <c r="C875" s="14">
        <v>84.98</v>
      </c>
      <c r="D875">
        <v>4</v>
      </c>
      <c r="E875">
        <v>42</v>
      </c>
      <c r="F875" t="s">
        <v>588</v>
      </c>
      <c r="G875" t="s">
        <v>590</v>
      </c>
      <c r="H875">
        <v>21</v>
      </c>
      <c r="I875">
        <v>2024</v>
      </c>
      <c r="J875" s="7">
        <v>0.33059027777777777</v>
      </c>
      <c r="K875" t="s">
        <v>290</v>
      </c>
      <c r="L875" t="s">
        <v>506</v>
      </c>
      <c r="M875" t="s">
        <v>118</v>
      </c>
    </row>
    <row r="876" spans="1:13" x14ac:dyDescent="0.35">
      <c r="A876" t="s">
        <v>0</v>
      </c>
      <c r="B876" t="s">
        <v>1</v>
      </c>
      <c r="C876" s="14">
        <v>84.99</v>
      </c>
      <c r="D876">
        <v>7</v>
      </c>
      <c r="E876">
        <v>116</v>
      </c>
      <c r="F876" t="s">
        <v>588</v>
      </c>
      <c r="G876" t="s">
        <v>590</v>
      </c>
      <c r="H876">
        <v>24</v>
      </c>
      <c r="I876">
        <v>2024</v>
      </c>
      <c r="J876" s="7">
        <v>0.41879629629629628</v>
      </c>
      <c r="K876" t="s">
        <v>265</v>
      </c>
      <c r="L876" t="s">
        <v>266</v>
      </c>
      <c r="M876" t="s">
        <v>118</v>
      </c>
    </row>
    <row r="877" spans="1:13" x14ac:dyDescent="0.35">
      <c r="A877" t="s">
        <v>0</v>
      </c>
      <c r="B877" t="s">
        <v>1</v>
      </c>
      <c r="C877" s="14">
        <v>84.99</v>
      </c>
      <c r="D877">
        <v>8</v>
      </c>
      <c r="E877">
        <v>73</v>
      </c>
      <c r="F877" t="s">
        <v>588</v>
      </c>
      <c r="G877" t="s">
        <v>590</v>
      </c>
      <c r="H877">
        <v>22</v>
      </c>
      <c r="I877">
        <v>2024</v>
      </c>
      <c r="J877" s="7">
        <v>0.39739583333333334</v>
      </c>
      <c r="K877" t="s">
        <v>325</v>
      </c>
      <c r="L877" t="s">
        <v>266</v>
      </c>
      <c r="M877" t="s">
        <v>118</v>
      </c>
    </row>
    <row r="878" spans="1:13" x14ac:dyDescent="0.35">
      <c r="A878" t="s">
        <v>0</v>
      </c>
      <c r="B878" t="s">
        <v>3</v>
      </c>
      <c r="C878" s="14">
        <v>84.99</v>
      </c>
      <c r="D878">
        <v>5</v>
      </c>
      <c r="E878">
        <v>16</v>
      </c>
      <c r="F878" t="s">
        <v>588</v>
      </c>
      <c r="G878" t="s">
        <v>590</v>
      </c>
      <c r="H878">
        <v>24</v>
      </c>
      <c r="I878">
        <v>2024</v>
      </c>
      <c r="J878" s="7">
        <v>0.24649305555555556</v>
      </c>
      <c r="K878" t="s">
        <v>280</v>
      </c>
      <c r="L878" t="s">
        <v>266</v>
      </c>
      <c r="M878" t="s">
        <v>118</v>
      </c>
    </row>
    <row r="879" spans="1:13" x14ac:dyDescent="0.35">
      <c r="A879" t="s">
        <v>0</v>
      </c>
      <c r="B879" t="s">
        <v>3</v>
      </c>
      <c r="C879" s="14">
        <v>84.99</v>
      </c>
      <c r="D879">
        <v>8</v>
      </c>
      <c r="E879">
        <v>13</v>
      </c>
      <c r="F879" t="s">
        <v>588</v>
      </c>
      <c r="G879" t="s">
        <v>590</v>
      </c>
      <c r="H879">
        <v>22</v>
      </c>
      <c r="I879">
        <v>2024</v>
      </c>
      <c r="J879" s="7">
        <v>0.23325231481481482</v>
      </c>
      <c r="K879" t="s">
        <v>280</v>
      </c>
      <c r="L879" t="s">
        <v>266</v>
      </c>
      <c r="M879" t="s">
        <v>118</v>
      </c>
    </row>
    <row r="880" spans="1:13" x14ac:dyDescent="0.35">
      <c r="A880" t="s">
        <v>0</v>
      </c>
      <c r="B880" t="s">
        <v>3</v>
      </c>
      <c r="C880" s="14">
        <v>84.99</v>
      </c>
      <c r="D880">
        <v>9</v>
      </c>
      <c r="E880">
        <v>51</v>
      </c>
      <c r="F880" t="s">
        <v>588</v>
      </c>
      <c r="G880" t="s">
        <v>590</v>
      </c>
      <c r="H880">
        <v>6</v>
      </c>
      <c r="I880">
        <v>2024</v>
      </c>
      <c r="J880" s="7">
        <v>0.19458333333333333</v>
      </c>
      <c r="K880" t="s">
        <v>371</v>
      </c>
      <c r="L880" t="s">
        <v>266</v>
      </c>
      <c r="M880" t="s">
        <v>118</v>
      </c>
    </row>
    <row r="881" spans="1:13" x14ac:dyDescent="0.35">
      <c r="A881" t="s">
        <v>89</v>
      </c>
      <c r="B881" t="s">
        <v>1</v>
      </c>
      <c r="C881" s="14">
        <v>84.99</v>
      </c>
      <c r="D881">
        <v>9</v>
      </c>
      <c r="E881">
        <v>7</v>
      </c>
      <c r="F881" t="s">
        <v>588</v>
      </c>
      <c r="G881" t="s">
        <v>590</v>
      </c>
      <c r="H881">
        <v>24</v>
      </c>
      <c r="I881">
        <v>2024</v>
      </c>
      <c r="J881" s="7">
        <v>0.10043981481481482</v>
      </c>
      <c r="K881" t="s">
        <v>317</v>
      </c>
      <c r="L881" t="s">
        <v>283</v>
      </c>
      <c r="M881" t="s">
        <v>536</v>
      </c>
    </row>
    <row r="882" spans="1:13" x14ac:dyDescent="0.35">
      <c r="A882" t="s">
        <v>4</v>
      </c>
      <c r="B882" t="s">
        <v>1</v>
      </c>
      <c r="C882" s="14">
        <v>84.99</v>
      </c>
      <c r="D882">
        <v>10</v>
      </c>
      <c r="E882">
        <v>8</v>
      </c>
      <c r="F882" t="s">
        <v>588</v>
      </c>
      <c r="G882" t="s">
        <v>590</v>
      </c>
      <c r="H882">
        <v>23</v>
      </c>
      <c r="I882">
        <v>2024</v>
      </c>
      <c r="J882" s="7">
        <v>0.33946759259259257</v>
      </c>
      <c r="K882" t="s">
        <v>325</v>
      </c>
      <c r="L882" t="s">
        <v>266</v>
      </c>
      <c r="M882" t="s">
        <v>118</v>
      </c>
    </row>
    <row r="883" spans="1:13" x14ac:dyDescent="0.35">
      <c r="A883" t="s">
        <v>2</v>
      </c>
      <c r="B883" t="s">
        <v>1</v>
      </c>
      <c r="C883" s="14">
        <v>85</v>
      </c>
      <c r="D883">
        <v>10</v>
      </c>
      <c r="E883">
        <v>6</v>
      </c>
      <c r="F883" t="s">
        <v>588</v>
      </c>
      <c r="G883" t="s">
        <v>590</v>
      </c>
      <c r="H883">
        <v>24</v>
      </c>
      <c r="I883">
        <v>2024</v>
      </c>
      <c r="J883" s="7">
        <v>7.3958333333333333E-3</v>
      </c>
      <c r="K883" t="s">
        <v>276</v>
      </c>
      <c r="L883" t="s">
        <v>505</v>
      </c>
      <c r="M883" t="s">
        <v>118</v>
      </c>
    </row>
    <row r="884" spans="1:13" x14ac:dyDescent="0.35">
      <c r="A884" t="s">
        <v>37</v>
      </c>
      <c r="B884" t="s">
        <v>1</v>
      </c>
      <c r="C884" s="14">
        <v>85</v>
      </c>
      <c r="D884">
        <v>7</v>
      </c>
      <c r="E884">
        <v>42</v>
      </c>
      <c r="F884" t="s">
        <v>588</v>
      </c>
      <c r="G884" t="s">
        <v>590</v>
      </c>
      <c r="H884">
        <v>23</v>
      </c>
      <c r="I884">
        <v>2024</v>
      </c>
      <c r="J884" s="7">
        <v>0.95292824074074078</v>
      </c>
      <c r="K884" t="s">
        <v>323</v>
      </c>
      <c r="L884" t="s">
        <v>505</v>
      </c>
      <c r="M884" t="s">
        <v>118</v>
      </c>
    </row>
    <row r="885" spans="1:13" x14ac:dyDescent="0.35">
      <c r="A885" t="s">
        <v>15</v>
      </c>
      <c r="B885" t="s">
        <v>1</v>
      </c>
      <c r="C885" s="14">
        <v>85</v>
      </c>
      <c r="D885">
        <v>10</v>
      </c>
      <c r="E885">
        <v>10</v>
      </c>
      <c r="F885" t="s">
        <v>588</v>
      </c>
      <c r="G885" t="s">
        <v>591</v>
      </c>
      <c r="H885">
        <v>24</v>
      </c>
      <c r="I885">
        <v>2024</v>
      </c>
      <c r="J885" s="7">
        <v>0.65277777777777779</v>
      </c>
      <c r="K885" t="s">
        <v>273</v>
      </c>
      <c r="L885" t="s">
        <v>274</v>
      </c>
      <c r="M885" t="s">
        <v>118</v>
      </c>
    </row>
    <row r="886" spans="1:13" x14ac:dyDescent="0.35">
      <c r="A886" t="s">
        <v>243</v>
      </c>
      <c r="B886" t="s">
        <v>1</v>
      </c>
      <c r="C886" s="14">
        <v>85.2</v>
      </c>
      <c r="D886">
        <v>10</v>
      </c>
      <c r="E886">
        <v>73</v>
      </c>
      <c r="F886" t="s">
        <v>588</v>
      </c>
      <c r="G886" t="s">
        <v>590</v>
      </c>
      <c r="H886">
        <v>22</v>
      </c>
      <c r="I886">
        <v>2024</v>
      </c>
      <c r="J886" s="7">
        <v>0.70354166666666662</v>
      </c>
      <c r="K886" t="s">
        <v>285</v>
      </c>
      <c r="L886" t="s">
        <v>286</v>
      </c>
      <c r="M886" t="s">
        <v>118</v>
      </c>
    </row>
    <row r="887" spans="1:13" x14ac:dyDescent="0.35">
      <c r="A887" t="s">
        <v>85</v>
      </c>
      <c r="B887" t="s">
        <v>1</v>
      </c>
      <c r="C887" s="14">
        <v>86.72</v>
      </c>
      <c r="D887">
        <v>31</v>
      </c>
      <c r="E887">
        <v>1296</v>
      </c>
      <c r="F887" t="s">
        <v>589</v>
      </c>
      <c r="G887" t="s">
        <v>590</v>
      </c>
      <c r="H887">
        <v>23</v>
      </c>
      <c r="I887">
        <v>2024</v>
      </c>
      <c r="J887" s="7">
        <v>0.8003703703703704</v>
      </c>
      <c r="K887" t="s">
        <v>290</v>
      </c>
      <c r="L887" t="s">
        <v>506</v>
      </c>
      <c r="M887" t="s">
        <v>118</v>
      </c>
    </row>
    <row r="888" spans="1:13" x14ac:dyDescent="0.35">
      <c r="A888" t="s">
        <v>62</v>
      </c>
      <c r="B888" t="s">
        <v>3</v>
      </c>
      <c r="C888" s="14">
        <v>86.87</v>
      </c>
      <c r="D888">
        <v>0</v>
      </c>
      <c r="E888">
        <v>322</v>
      </c>
      <c r="F888" t="s">
        <v>588</v>
      </c>
      <c r="G888" t="s">
        <v>590</v>
      </c>
      <c r="H888">
        <v>23</v>
      </c>
      <c r="I888">
        <v>2024</v>
      </c>
      <c r="J888" s="7">
        <v>0.84734953703703708</v>
      </c>
      <c r="K888" t="s">
        <v>290</v>
      </c>
      <c r="L888" t="s">
        <v>506</v>
      </c>
      <c r="M888" t="s">
        <v>118</v>
      </c>
    </row>
    <row r="889" spans="1:13" x14ac:dyDescent="0.35">
      <c r="A889" t="s">
        <v>13</v>
      </c>
      <c r="B889" t="s">
        <v>1</v>
      </c>
      <c r="C889" s="14">
        <v>86.99</v>
      </c>
      <c r="D889">
        <v>3</v>
      </c>
      <c r="E889">
        <v>28</v>
      </c>
      <c r="F889" t="s">
        <v>588</v>
      </c>
      <c r="G889" t="s">
        <v>590</v>
      </c>
      <c r="H889">
        <v>22</v>
      </c>
      <c r="I889">
        <v>2024</v>
      </c>
      <c r="J889" s="7">
        <v>0.84649305555555554</v>
      </c>
      <c r="K889" t="s">
        <v>329</v>
      </c>
      <c r="L889" t="s">
        <v>274</v>
      </c>
      <c r="M889" t="s">
        <v>118</v>
      </c>
    </row>
    <row r="890" spans="1:13" x14ac:dyDescent="0.35">
      <c r="A890" t="s">
        <v>21</v>
      </c>
      <c r="B890" t="s">
        <v>1</v>
      </c>
      <c r="C890" s="14">
        <v>87.99</v>
      </c>
      <c r="D890">
        <v>8</v>
      </c>
      <c r="E890">
        <v>4</v>
      </c>
      <c r="F890" t="s">
        <v>588</v>
      </c>
      <c r="G890" t="s">
        <v>590</v>
      </c>
      <c r="H890">
        <v>24</v>
      </c>
      <c r="I890">
        <v>2024</v>
      </c>
      <c r="J890" s="7">
        <v>8.9120370370370373E-4</v>
      </c>
      <c r="K890" t="s">
        <v>506</v>
      </c>
      <c r="L890" t="s">
        <v>267</v>
      </c>
      <c r="M890" t="s">
        <v>536</v>
      </c>
    </row>
    <row r="891" spans="1:13" x14ac:dyDescent="0.35">
      <c r="A891" t="s">
        <v>37</v>
      </c>
      <c r="B891" t="s">
        <v>1</v>
      </c>
      <c r="C891" s="14">
        <v>88</v>
      </c>
      <c r="D891">
        <v>10</v>
      </c>
      <c r="E891">
        <v>5</v>
      </c>
      <c r="F891" t="s">
        <v>588</v>
      </c>
      <c r="G891" t="s">
        <v>590</v>
      </c>
      <c r="H891">
        <v>23</v>
      </c>
      <c r="I891">
        <v>2024</v>
      </c>
      <c r="J891" s="7">
        <v>0.95303240740740736</v>
      </c>
      <c r="K891" t="s">
        <v>402</v>
      </c>
      <c r="L891" t="s">
        <v>282</v>
      </c>
      <c r="M891" t="s">
        <v>118</v>
      </c>
    </row>
    <row r="892" spans="1:13" x14ac:dyDescent="0.35">
      <c r="A892" t="s">
        <v>16</v>
      </c>
      <c r="B892" t="s">
        <v>1</v>
      </c>
      <c r="C892" s="14">
        <v>88.65</v>
      </c>
      <c r="D892">
        <v>10</v>
      </c>
      <c r="E892">
        <v>40</v>
      </c>
      <c r="F892" t="s">
        <v>588</v>
      </c>
      <c r="G892" t="s">
        <v>590</v>
      </c>
      <c r="H892">
        <v>23</v>
      </c>
      <c r="I892">
        <v>2024</v>
      </c>
      <c r="J892" s="7">
        <v>0.4884027777777778</v>
      </c>
      <c r="K892" t="s">
        <v>301</v>
      </c>
      <c r="L892" t="s">
        <v>506</v>
      </c>
      <c r="M892" t="s">
        <v>118</v>
      </c>
    </row>
    <row r="893" spans="1:13" x14ac:dyDescent="0.35">
      <c r="A893" t="s">
        <v>0</v>
      </c>
      <c r="B893" t="s">
        <v>1</v>
      </c>
      <c r="C893" s="14">
        <v>88.99</v>
      </c>
      <c r="D893">
        <v>10</v>
      </c>
      <c r="E893">
        <v>4</v>
      </c>
      <c r="F893" t="s">
        <v>588</v>
      </c>
      <c r="G893" t="s">
        <v>590</v>
      </c>
      <c r="H893">
        <v>24</v>
      </c>
      <c r="I893">
        <v>2024</v>
      </c>
      <c r="J893" s="7">
        <v>0.18033564814814815</v>
      </c>
      <c r="K893" t="s">
        <v>455</v>
      </c>
      <c r="L893" t="s">
        <v>266</v>
      </c>
      <c r="M893" t="s">
        <v>118</v>
      </c>
    </row>
    <row r="894" spans="1:13" x14ac:dyDescent="0.35">
      <c r="A894" t="s">
        <v>9</v>
      </c>
      <c r="B894" t="s">
        <v>1</v>
      </c>
      <c r="C894" s="14">
        <v>89.25</v>
      </c>
      <c r="D894">
        <v>10</v>
      </c>
      <c r="E894">
        <v>39</v>
      </c>
      <c r="F894" t="s">
        <v>588</v>
      </c>
      <c r="G894" t="s">
        <v>590</v>
      </c>
      <c r="H894">
        <v>17</v>
      </c>
      <c r="I894">
        <v>2024</v>
      </c>
      <c r="J894" s="7">
        <v>0.39454861111111111</v>
      </c>
      <c r="K894" t="s">
        <v>516</v>
      </c>
      <c r="L894" t="s">
        <v>282</v>
      </c>
      <c r="M894" t="s">
        <v>118</v>
      </c>
    </row>
    <row r="895" spans="1:13" x14ac:dyDescent="0.35">
      <c r="A895" t="s">
        <v>21</v>
      </c>
      <c r="B895" t="s">
        <v>1</v>
      </c>
      <c r="C895" s="14">
        <v>89.97</v>
      </c>
      <c r="D895">
        <v>258</v>
      </c>
      <c r="E895">
        <v>920</v>
      </c>
      <c r="F895" t="s">
        <v>588</v>
      </c>
      <c r="G895" t="s">
        <v>590</v>
      </c>
      <c r="H895">
        <v>24</v>
      </c>
      <c r="I895">
        <v>2024</v>
      </c>
      <c r="J895" s="7">
        <v>0.35574074074074075</v>
      </c>
      <c r="K895" t="s">
        <v>511</v>
      </c>
      <c r="L895" t="s">
        <v>274</v>
      </c>
      <c r="M895" t="s">
        <v>118</v>
      </c>
    </row>
    <row r="896" spans="1:13" x14ac:dyDescent="0.35">
      <c r="A896" t="s">
        <v>23</v>
      </c>
      <c r="B896" t="s">
        <v>3</v>
      </c>
      <c r="C896" s="14">
        <v>89.97</v>
      </c>
      <c r="D896">
        <v>71</v>
      </c>
      <c r="E896">
        <v>295</v>
      </c>
      <c r="F896" t="s">
        <v>588</v>
      </c>
      <c r="G896" t="s">
        <v>590</v>
      </c>
      <c r="H896">
        <v>24</v>
      </c>
      <c r="I896">
        <v>2024</v>
      </c>
      <c r="J896" s="7">
        <v>0.36452546296296295</v>
      </c>
      <c r="K896" t="s">
        <v>511</v>
      </c>
      <c r="L896" t="s">
        <v>274</v>
      </c>
      <c r="M896" t="s">
        <v>118</v>
      </c>
    </row>
    <row r="897" spans="1:13" x14ac:dyDescent="0.35">
      <c r="A897" t="s">
        <v>94</v>
      </c>
      <c r="B897" t="s">
        <v>3</v>
      </c>
      <c r="C897" s="14">
        <v>89.97</v>
      </c>
      <c r="D897">
        <v>0</v>
      </c>
      <c r="E897">
        <v>0</v>
      </c>
      <c r="F897" t="s">
        <v>589</v>
      </c>
      <c r="G897" t="s">
        <v>239</v>
      </c>
      <c r="H897">
        <v>0</v>
      </c>
      <c r="I897">
        <v>0</v>
      </c>
      <c r="J897" s="7">
        <v>0</v>
      </c>
      <c r="K897" t="s">
        <v>443</v>
      </c>
      <c r="L897" t="s">
        <v>282</v>
      </c>
      <c r="M897" t="s">
        <v>118</v>
      </c>
    </row>
    <row r="898" spans="1:13" x14ac:dyDescent="0.35">
      <c r="A898" t="s">
        <v>0</v>
      </c>
      <c r="B898" t="s">
        <v>3</v>
      </c>
      <c r="C898" s="14">
        <v>89.98</v>
      </c>
      <c r="D898">
        <v>9</v>
      </c>
      <c r="E898">
        <v>1243</v>
      </c>
      <c r="F898" t="s">
        <v>589</v>
      </c>
      <c r="G898" t="s">
        <v>590</v>
      </c>
      <c r="H898">
        <v>22</v>
      </c>
      <c r="I898">
        <v>2024</v>
      </c>
      <c r="J898" s="7">
        <v>8.2662037037037034E-2</v>
      </c>
      <c r="K898" t="s">
        <v>290</v>
      </c>
      <c r="L898" t="s">
        <v>506</v>
      </c>
      <c r="M898" t="s">
        <v>118</v>
      </c>
    </row>
    <row r="899" spans="1:13" x14ac:dyDescent="0.35">
      <c r="A899" t="s">
        <v>23</v>
      </c>
      <c r="B899" t="s">
        <v>3</v>
      </c>
      <c r="C899" s="14">
        <v>89.99</v>
      </c>
      <c r="D899">
        <v>5</v>
      </c>
      <c r="E899">
        <v>23</v>
      </c>
      <c r="F899" t="s">
        <v>588</v>
      </c>
      <c r="G899" t="s">
        <v>590</v>
      </c>
      <c r="H899">
        <v>16</v>
      </c>
      <c r="I899">
        <v>2024</v>
      </c>
      <c r="J899" s="7">
        <v>0.80215277777777783</v>
      </c>
      <c r="K899" t="s">
        <v>322</v>
      </c>
      <c r="L899" t="s">
        <v>282</v>
      </c>
      <c r="M899" t="s">
        <v>333</v>
      </c>
    </row>
    <row r="900" spans="1:13" x14ac:dyDescent="0.35">
      <c r="A900" t="s">
        <v>11</v>
      </c>
      <c r="B900" t="s">
        <v>1</v>
      </c>
      <c r="C900" s="14">
        <v>89.99</v>
      </c>
      <c r="D900">
        <v>10</v>
      </c>
      <c r="E900">
        <v>5</v>
      </c>
      <c r="F900" t="s">
        <v>588</v>
      </c>
      <c r="G900" t="s">
        <v>590</v>
      </c>
      <c r="H900">
        <v>14</v>
      </c>
      <c r="I900">
        <v>2024</v>
      </c>
      <c r="J900" s="7">
        <v>0.86325231481481479</v>
      </c>
      <c r="K900" t="s">
        <v>506</v>
      </c>
      <c r="L900" t="s">
        <v>118</v>
      </c>
      <c r="M900" t="s">
        <v>333</v>
      </c>
    </row>
    <row r="901" spans="1:13" x14ac:dyDescent="0.35">
      <c r="A901" t="s">
        <v>0</v>
      </c>
      <c r="B901" t="s">
        <v>262</v>
      </c>
      <c r="C901" s="14">
        <v>89.99</v>
      </c>
      <c r="D901">
        <v>6</v>
      </c>
      <c r="E901">
        <v>129</v>
      </c>
      <c r="F901" t="s">
        <v>588</v>
      </c>
      <c r="G901" t="s">
        <v>590</v>
      </c>
      <c r="H901">
        <v>22</v>
      </c>
      <c r="I901">
        <v>2024</v>
      </c>
      <c r="J901" s="7">
        <v>0.38681712962962961</v>
      </c>
      <c r="K901" t="s">
        <v>411</v>
      </c>
      <c r="L901" t="s">
        <v>506</v>
      </c>
      <c r="M901" t="s">
        <v>118</v>
      </c>
    </row>
    <row r="902" spans="1:13" x14ac:dyDescent="0.35">
      <c r="A902" t="s">
        <v>123</v>
      </c>
      <c r="B902" t="s">
        <v>1</v>
      </c>
      <c r="C902" s="14">
        <v>89.99</v>
      </c>
      <c r="D902">
        <v>3</v>
      </c>
      <c r="E902">
        <v>8</v>
      </c>
      <c r="F902" t="s">
        <v>588</v>
      </c>
      <c r="G902" t="s">
        <v>590</v>
      </c>
      <c r="H902">
        <v>12</v>
      </c>
      <c r="I902">
        <v>2024</v>
      </c>
      <c r="J902" s="7">
        <v>0.84907407407407409</v>
      </c>
      <c r="K902" t="s">
        <v>439</v>
      </c>
      <c r="L902" t="s">
        <v>535</v>
      </c>
      <c r="M902" t="s">
        <v>118</v>
      </c>
    </row>
    <row r="903" spans="1:13" x14ac:dyDescent="0.35">
      <c r="A903" t="s">
        <v>123</v>
      </c>
      <c r="B903" t="s">
        <v>1</v>
      </c>
      <c r="C903" s="14">
        <v>90.11</v>
      </c>
      <c r="D903">
        <v>6</v>
      </c>
      <c r="E903">
        <v>51</v>
      </c>
      <c r="F903" t="s">
        <v>588</v>
      </c>
      <c r="G903" t="s">
        <v>590</v>
      </c>
      <c r="H903">
        <v>11</v>
      </c>
      <c r="I903">
        <v>2024</v>
      </c>
      <c r="J903" s="7">
        <v>0.39621527777777776</v>
      </c>
      <c r="K903" t="s">
        <v>435</v>
      </c>
      <c r="L903" t="s">
        <v>436</v>
      </c>
      <c r="M903" t="s">
        <v>118</v>
      </c>
    </row>
    <row r="904" spans="1:13" x14ac:dyDescent="0.35">
      <c r="A904" t="s">
        <v>62</v>
      </c>
      <c r="B904" t="s">
        <v>1</v>
      </c>
      <c r="C904" s="14">
        <v>90.44</v>
      </c>
      <c r="D904">
        <v>0</v>
      </c>
      <c r="E904">
        <v>587</v>
      </c>
      <c r="F904" t="s">
        <v>588</v>
      </c>
      <c r="G904" t="s">
        <v>590</v>
      </c>
      <c r="H904">
        <v>24</v>
      </c>
      <c r="I904">
        <v>2024</v>
      </c>
      <c r="J904" s="7">
        <v>0.36738425925925927</v>
      </c>
      <c r="K904" t="s">
        <v>290</v>
      </c>
      <c r="L904" t="s">
        <v>506</v>
      </c>
      <c r="M904" t="s">
        <v>118</v>
      </c>
    </row>
    <row r="905" spans="1:13" x14ac:dyDescent="0.35">
      <c r="A905" t="s">
        <v>4</v>
      </c>
      <c r="B905" t="s">
        <v>1</v>
      </c>
      <c r="C905" s="14">
        <v>90.44</v>
      </c>
      <c r="D905">
        <v>0</v>
      </c>
      <c r="E905">
        <v>1</v>
      </c>
      <c r="F905" t="s">
        <v>588</v>
      </c>
      <c r="G905" t="s">
        <v>590</v>
      </c>
      <c r="H905">
        <v>24</v>
      </c>
      <c r="I905">
        <v>2024</v>
      </c>
      <c r="J905" s="7">
        <v>7.3032407407407404E-3</v>
      </c>
      <c r="K905" t="s">
        <v>506</v>
      </c>
      <c r="L905" t="s">
        <v>505</v>
      </c>
      <c r="M905" t="s">
        <v>118</v>
      </c>
    </row>
    <row r="906" spans="1:13" x14ac:dyDescent="0.35">
      <c r="A906" t="s">
        <v>62</v>
      </c>
      <c r="B906" t="s">
        <v>1</v>
      </c>
      <c r="C906" s="14">
        <v>90.45</v>
      </c>
      <c r="D906">
        <v>10</v>
      </c>
      <c r="E906">
        <v>19</v>
      </c>
      <c r="F906" t="s">
        <v>588</v>
      </c>
      <c r="G906" t="s">
        <v>590</v>
      </c>
      <c r="H906">
        <v>24</v>
      </c>
      <c r="I906">
        <v>2024</v>
      </c>
      <c r="J906" s="7">
        <v>0.35614583333333333</v>
      </c>
      <c r="K906" t="s">
        <v>509</v>
      </c>
      <c r="L906" t="s">
        <v>505</v>
      </c>
      <c r="M906" t="s">
        <v>118</v>
      </c>
    </row>
    <row r="907" spans="1:13" x14ac:dyDescent="0.35">
      <c r="A907" t="s">
        <v>10</v>
      </c>
      <c r="B907" t="s">
        <v>1</v>
      </c>
      <c r="C907" s="14">
        <v>91</v>
      </c>
      <c r="D907">
        <v>47</v>
      </c>
      <c r="E907">
        <v>1</v>
      </c>
      <c r="F907" t="s">
        <v>588</v>
      </c>
      <c r="G907" t="s">
        <v>590</v>
      </c>
      <c r="H907">
        <v>2</v>
      </c>
      <c r="I907">
        <v>2024</v>
      </c>
      <c r="J907" s="7">
        <v>0.8175</v>
      </c>
      <c r="K907" t="s">
        <v>503</v>
      </c>
      <c r="L907" t="s">
        <v>274</v>
      </c>
      <c r="M907" t="s">
        <v>118</v>
      </c>
    </row>
    <row r="908" spans="1:13" x14ac:dyDescent="0.35">
      <c r="A908" t="s">
        <v>233</v>
      </c>
      <c r="B908" t="s">
        <v>1</v>
      </c>
      <c r="C908" s="14">
        <v>91.98</v>
      </c>
      <c r="D908">
        <v>0</v>
      </c>
      <c r="E908">
        <v>7</v>
      </c>
      <c r="F908" t="s">
        <v>588</v>
      </c>
      <c r="G908" t="s">
        <v>590</v>
      </c>
      <c r="H908">
        <v>23</v>
      </c>
      <c r="I908">
        <v>2024</v>
      </c>
      <c r="J908" s="7">
        <v>0.59628472222222217</v>
      </c>
      <c r="K908" t="s">
        <v>458</v>
      </c>
      <c r="L908" t="s">
        <v>282</v>
      </c>
      <c r="M908" t="s">
        <v>118</v>
      </c>
    </row>
    <row r="909" spans="1:13" x14ac:dyDescent="0.35">
      <c r="A909" t="s">
        <v>50</v>
      </c>
      <c r="B909" t="s">
        <v>3</v>
      </c>
      <c r="C909" s="14">
        <v>92</v>
      </c>
      <c r="D909">
        <v>10</v>
      </c>
      <c r="E909">
        <v>37</v>
      </c>
      <c r="F909" t="s">
        <v>588</v>
      </c>
      <c r="G909" t="s">
        <v>590</v>
      </c>
      <c r="H909">
        <v>19</v>
      </c>
      <c r="I909">
        <v>2024</v>
      </c>
      <c r="J909" s="7">
        <v>0.48449074074074072</v>
      </c>
      <c r="K909" t="s">
        <v>506</v>
      </c>
      <c r="L909" t="s">
        <v>267</v>
      </c>
      <c r="M909" t="s">
        <v>118</v>
      </c>
    </row>
    <row r="910" spans="1:13" x14ac:dyDescent="0.35">
      <c r="A910" t="s">
        <v>50</v>
      </c>
      <c r="B910" t="s">
        <v>3</v>
      </c>
      <c r="C910" s="14">
        <v>92</v>
      </c>
      <c r="D910">
        <v>0</v>
      </c>
      <c r="E910">
        <v>29</v>
      </c>
      <c r="F910" t="s">
        <v>588</v>
      </c>
      <c r="G910" t="s">
        <v>590</v>
      </c>
      <c r="H910">
        <v>20</v>
      </c>
      <c r="I910">
        <v>2024</v>
      </c>
      <c r="J910" s="7">
        <v>0.99940972222222224</v>
      </c>
      <c r="K910" t="s">
        <v>506</v>
      </c>
      <c r="L910" t="s">
        <v>267</v>
      </c>
      <c r="M910" t="s">
        <v>118</v>
      </c>
    </row>
    <row r="911" spans="1:13" x14ac:dyDescent="0.35">
      <c r="A911" t="s">
        <v>231</v>
      </c>
      <c r="B911" t="s">
        <v>3</v>
      </c>
      <c r="C911" s="14">
        <v>92</v>
      </c>
      <c r="D911">
        <v>0</v>
      </c>
      <c r="E911">
        <v>9</v>
      </c>
      <c r="F911" t="s">
        <v>588</v>
      </c>
      <c r="G911" t="s">
        <v>590</v>
      </c>
      <c r="H911">
        <v>23</v>
      </c>
      <c r="I911">
        <v>2024</v>
      </c>
      <c r="J911" s="7">
        <v>0.55406250000000001</v>
      </c>
      <c r="K911" t="s">
        <v>448</v>
      </c>
      <c r="L911" t="s">
        <v>282</v>
      </c>
      <c r="M911" t="s">
        <v>118</v>
      </c>
    </row>
    <row r="912" spans="1:13" x14ac:dyDescent="0.35">
      <c r="A912" t="s">
        <v>231</v>
      </c>
      <c r="B912" t="s">
        <v>1</v>
      </c>
      <c r="C912" s="14">
        <v>92.56</v>
      </c>
      <c r="D912">
        <v>8</v>
      </c>
      <c r="E912">
        <v>2293</v>
      </c>
      <c r="F912" t="s">
        <v>589</v>
      </c>
      <c r="G912" t="s">
        <v>590</v>
      </c>
      <c r="H912">
        <v>24</v>
      </c>
      <c r="I912">
        <v>2024</v>
      </c>
      <c r="J912" s="7">
        <v>0.26087962962962963</v>
      </c>
      <c r="K912" t="s">
        <v>290</v>
      </c>
      <c r="L912" t="s">
        <v>506</v>
      </c>
      <c r="M912" t="s">
        <v>118</v>
      </c>
    </row>
    <row r="913" spans="1:13" x14ac:dyDescent="0.35">
      <c r="A913" t="s">
        <v>2</v>
      </c>
      <c r="B913" t="s">
        <v>1</v>
      </c>
      <c r="C913" s="14">
        <v>92.99</v>
      </c>
      <c r="D913">
        <v>258</v>
      </c>
      <c r="E913">
        <v>19</v>
      </c>
      <c r="F913" t="s">
        <v>588</v>
      </c>
      <c r="G913" t="s">
        <v>590</v>
      </c>
      <c r="H913">
        <v>24</v>
      </c>
      <c r="I913">
        <v>2024</v>
      </c>
      <c r="J913" s="7">
        <v>8.9120370370370373E-4</v>
      </c>
      <c r="K913" t="s">
        <v>293</v>
      </c>
      <c r="L913" t="s">
        <v>505</v>
      </c>
      <c r="M913" t="s">
        <v>118</v>
      </c>
    </row>
    <row r="914" spans="1:13" x14ac:dyDescent="0.35">
      <c r="A914" t="s">
        <v>21</v>
      </c>
      <c r="B914" t="s">
        <v>1</v>
      </c>
      <c r="C914" s="14">
        <v>93.05</v>
      </c>
      <c r="D914">
        <v>3</v>
      </c>
      <c r="E914">
        <v>21</v>
      </c>
      <c r="F914" t="s">
        <v>588</v>
      </c>
      <c r="G914" t="s">
        <v>590</v>
      </c>
      <c r="H914">
        <v>23</v>
      </c>
      <c r="I914">
        <v>2024</v>
      </c>
      <c r="J914" s="7">
        <v>0.16866898148148149</v>
      </c>
      <c r="K914" t="s">
        <v>509</v>
      </c>
      <c r="L914" t="s">
        <v>505</v>
      </c>
      <c r="M914" t="s">
        <v>118</v>
      </c>
    </row>
    <row r="915" spans="1:13" x14ac:dyDescent="0.35">
      <c r="A915" t="s">
        <v>21</v>
      </c>
      <c r="B915" t="s">
        <v>1</v>
      </c>
      <c r="C915" s="14">
        <v>93.91</v>
      </c>
      <c r="D915">
        <v>0</v>
      </c>
      <c r="E915">
        <v>111</v>
      </c>
      <c r="F915" t="s">
        <v>588</v>
      </c>
      <c r="G915" t="s">
        <v>590</v>
      </c>
      <c r="H915">
        <v>22</v>
      </c>
      <c r="I915">
        <v>2024</v>
      </c>
      <c r="J915" s="7">
        <v>0.9585069444444444</v>
      </c>
      <c r="K915" t="s">
        <v>290</v>
      </c>
      <c r="L915" t="s">
        <v>506</v>
      </c>
      <c r="M915" t="s">
        <v>118</v>
      </c>
    </row>
    <row r="916" spans="1:13" x14ac:dyDescent="0.35">
      <c r="A916" t="s">
        <v>4</v>
      </c>
      <c r="B916" t="s">
        <v>1</v>
      </c>
      <c r="C916" s="14">
        <v>94.43</v>
      </c>
      <c r="D916">
        <v>33</v>
      </c>
      <c r="E916">
        <v>98</v>
      </c>
      <c r="F916" t="s">
        <v>588</v>
      </c>
      <c r="G916" t="s">
        <v>590</v>
      </c>
      <c r="H916">
        <v>23</v>
      </c>
      <c r="I916">
        <v>2024</v>
      </c>
      <c r="J916" s="7">
        <v>0.638275462962963</v>
      </c>
      <c r="K916" t="s">
        <v>301</v>
      </c>
      <c r="L916" t="s">
        <v>506</v>
      </c>
      <c r="M916" t="s">
        <v>118</v>
      </c>
    </row>
    <row r="917" spans="1:13" x14ac:dyDescent="0.35">
      <c r="A917" t="s">
        <v>231</v>
      </c>
      <c r="B917" t="s">
        <v>1</v>
      </c>
      <c r="C917" s="14">
        <v>94.93</v>
      </c>
      <c r="D917">
        <v>10</v>
      </c>
      <c r="E917">
        <v>15</v>
      </c>
      <c r="F917" t="s">
        <v>588</v>
      </c>
      <c r="G917" t="s">
        <v>590</v>
      </c>
      <c r="H917">
        <v>23</v>
      </c>
      <c r="I917">
        <v>2024</v>
      </c>
      <c r="J917" s="7">
        <v>0.38950231481481479</v>
      </c>
      <c r="K917" t="s">
        <v>509</v>
      </c>
      <c r="L917" t="s">
        <v>505</v>
      </c>
      <c r="M917" t="s">
        <v>118</v>
      </c>
    </row>
    <row r="918" spans="1:13" x14ac:dyDescent="0.35">
      <c r="A918" t="s">
        <v>50</v>
      </c>
      <c r="B918" t="s">
        <v>1</v>
      </c>
      <c r="C918" s="14">
        <v>94.99</v>
      </c>
      <c r="D918">
        <v>9</v>
      </c>
      <c r="E918">
        <v>1024</v>
      </c>
      <c r="F918" t="s">
        <v>589</v>
      </c>
      <c r="G918" t="s">
        <v>590</v>
      </c>
      <c r="H918">
        <v>24</v>
      </c>
      <c r="I918">
        <v>2024</v>
      </c>
      <c r="J918" s="7">
        <v>0.36454861111111109</v>
      </c>
      <c r="K918" t="s">
        <v>511</v>
      </c>
      <c r="L918" t="s">
        <v>274</v>
      </c>
      <c r="M918" t="s">
        <v>118</v>
      </c>
    </row>
    <row r="919" spans="1:13" x14ac:dyDescent="0.35">
      <c r="A919" t="s">
        <v>231</v>
      </c>
      <c r="B919" t="s">
        <v>1</v>
      </c>
      <c r="C919" s="14">
        <v>94.99</v>
      </c>
      <c r="D919">
        <v>101</v>
      </c>
      <c r="E919">
        <v>581</v>
      </c>
      <c r="F919" t="s">
        <v>588</v>
      </c>
      <c r="G919" t="s">
        <v>590</v>
      </c>
      <c r="H919">
        <v>14</v>
      </c>
      <c r="I919">
        <v>2024</v>
      </c>
      <c r="J919" s="7">
        <v>0.30796296296296294</v>
      </c>
      <c r="K919" t="s">
        <v>285</v>
      </c>
      <c r="L919" t="s">
        <v>286</v>
      </c>
      <c r="M919" t="s">
        <v>118</v>
      </c>
    </row>
    <row r="920" spans="1:13" x14ac:dyDescent="0.35">
      <c r="A920" t="s">
        <v>112</v>
      </c>
      <c r="B920" t="s">
        <v>3</v>
      </c>
      <c r="C920" s="14">
        <v>94.99</v>
      </c>
      <c r="D920">
        <v>9</v>
      </c>
      <c r="E920">
        <v>24</v>
      </c>
      <c r="F920" t="s">
        <v>588</v>
      </c>
      <c r="G920" t="s">
        <v>591</v>
      </c>
      <c r="H920">
        <v>14</v>
      </c>
      <c r="I920">
        <v>2024</v>
      </c>
      <c r="J920" s="7">
        <v>0.68223379629629632</v>
      </c>
      <c r="K920" t="s">
        <v>509</v>
      </c>
      <c r="L920" t="s">
        <v>505</v>
      </c>
      <c r="M920" t="s">
        <v>118</v>
      </c>
    </row>
    <row r="921" spans="1:13" x14ac:dyDescent="0.35">
      <c r="A921" t="s">
        <v>4</v>
      </c>
      <c r="B921" t="s">
        <v>1</v>
      </c>
      <c r="C921" s="14">
        <v>94.99</v>
      </c>
      <c r="D921">
        <v>8</v>
      </c>
      <c r="E921">
        <v>420</v>
      </c>
      <c r="F921" t="s">
        <v>588</v>
      </c>
      <c r="G921" t="s">
        <v>590</v>
      </c>
      <c r="H921">
        <v>23</v>
      </c>
      <c r="I921">
        <v>2024</v>
      </c>
      <c r="J921" s="7">
        <v>0.98026620370370365</v>
      </c>
      <c r="K921" t="s">
        <v>511</v>
      </c>
      <c r="L921" t="s">
        <v>274</v>
      </c>
      <c r="M921" t="s">
        <v>118</v>
      </c>
    </row>
    <row r="922" spans="1:13" x14ac:dyDescent="0.35">
      <c r="A922" t="s">
        <v>112</v>
      </c>
      <c r="B922" t="s">
        <v>37</v>
      </c>
      <c r="C922" s="14">
        <v>96.95</v>
      </c>
      <c r="D922">
        <v>10</v>
      </c>
      <c r="E922">
        <v>6</v>
      </c>
      <c r="F922" t="s">
        <v>588</v>
      </c>
      <c r="G922" t="s">
        <v>590</v>
      </c>
      <c r="H922">
        <v>15</v>
      </c>
      <c r="I922">
        <v>2024</v>
      </c>
      <c r="J922" s="7">
        <v>0.9673842592592593</v>
      </c>
      <c r="K922" t="s">
        <v>285</v>
      </c>
      <c r="L922" t="s">
        <v>286</v>
      </c>
      <c r="M922" t="s">
        <v>118</v>
      </c>
    </row>
    <row r="923" spans="1:13" x14ac:dyDescent="0.35">
      <c r="A923" t="s">
        <v>216</v>
      </c>
      <c r="B923" t="s">
        <v>1</v>
      </c>
      <c r="C923" s="14">
        <v>99</v>
      </c>
      <c r="D923">
        <v>0</v>
      </c>
      <c r="E923">
        <v>177</v>
      </c>
      <c r="F923" t="s">
        <v>588</v>
      </c>
      <c r="G923" t="s">
        <v>592</v>
      </c>
      <c r="H923">
        <v>20</v>
      </c>
      <c r="I923">
        <v>2024</v>
      </c>
      <c r="J923" s="7">
        <v>0.75114583333333329</v>
      </c>
      <c r="K923" t="s">
        <v>555</v>
      </c>
      <c r="L923" t="s">
        <v>457</v>
      </c>
      <c r="M923" t="s">
        <v>118</v>
      </c>
    </row>
    <row r="924" spans="1:13" x14ac:dyDescent="0.35">
      <c r="A924" t="s">
        <v>11</v>
      </c>
      <c r="B924" t="s">
        <v>1</v>
      </c>
      <c r="C924" s="14">
        <v>99.49</v>
      </c>
      <c r="D924">
        <v>0</v>
      </c>
      <c r="E924">
        <v>3</v>
      </c>
      <c r="F924" t="s">
        <v>588</v>
      </c>
      <c r="G924" t="s">
        <v>590</v>
      </c>
      <c r="H924">
        <v>24</v>
      </c>
      <c r="I924">
        <v>2024</v>
      </c>
      <c r="J924" s="7">
        <v>1.4143518518518519E-2</v>
      </c>
      <c r="K924" t="s">
        <v>380</v>
      </c>
      <c r="L924" t="s">
        <v>505</v>
      </c>
      <c r="M924" t="s">
        <v>118</v>
      </c>
    </row>
    <row r="925" spans="1:13" x14ac:dyDescent="0.35">
      <c r="A925" t="s">
        <v>156</v>
      </c>
      <c r="B925" t="s">
        <v>1</v>
      </c>
      <c r="C925" s="14">
        <v>99.63</v>
      </c>
      <c r="D925">
        <v>88</v>
      </c>
      <c r="E925">
        <v>13</v>
      </c>
      <c r="F925" t="s">
        <v>588</v>
      </c>
      <c r="G925" t="s">
        <v>590</v>
      </c>
      <c r="H925">
        <v>22</v>
      </c>
      <c r="I925">
        <v>2024</v>
      </c>
      <c r="J925" s="7">
        <v>0.39354166666666668</v>
      </c>
      <c r="K925" t="s">
        <v>509</v>
      </c>
      <c r="L925" t="s">
        <v>505</v>
      </c>
      <c r="M925" t="s">
        <v>118</v>
      </c>
    </row>
    <row r="926" spans="1:13" x14ac:dyDescent="0.35">
      <c r="A926" t="s">
        <v>148</v>
      </c>
      <c r="B926" t="s">
        <v>1</v>
      </c>
      <c r="C926" s="14">
        <v>99.86</v>
      </c>
      <c r="D926">
        <v>10</v>
      </c>
      <c r="E926">
        <v>4</v>
      </c>
      <c r="F926" t="s">
        <v>588</v>
      </c>
      <c r="G926" t="s">
        <v>590</v>
      </c>
      <c r="H926">
        <v>22</v>
      </c>
      <c r="I926">
        <v>2024</v>
      </c>
      <c r="J926" s="7">
        <v>0.79278935185185184</v>
      </c>
      <c r="K926" t="s">
        <v>509</v>
      </c>
      <c r="L926" t="s">
        <v>505</v>
      </c>
      <c r="M926" t="s">
        <v>118</v>
      </c>
    </row>
    <row r="927" spans="1:13" x14ac:dyDescent="0.35">
      <c r="A927" t="s">
        <v>193</v>
      </c>
      <c r="B927" t="s">
        <v>3</v>
      </c>
      <c r="C927" s="14">
        <v>99.98</v>
      </c>
      <c r="D927">
        <v>10</v>
      </c>
      <c r="E927">
        <v>740</v>
      </c>
      <c r="F927" t="s">
        <v>588</v>
      </c>
      <c r="G927" t="s">
        <v>590</v>
      </c>
      <c r="H927">
        <v>22</v>
      </c>
      <c r="I927">
        <v>2024</v>
      </c>
      <c r="J927" s="7">
        <v>0.49495370370370373</v>
      </c>
      <c r="K927" t="s">
        <v>290</v>
      </c>
      <c r="L927" t="s">
        <v>506</v>
      </c>
      <c r="M927" t="s">
        <v>118</v>
      </c>
    </row>
    <row r="928" spans="1:13" x14ac:dyDescent="0.35">
      <c r="A928" t="s">
        <v>188</v>
      </c>
      <c r="B928" t="s">
        <v>1</v>
      </c>
      <c r="C928" s="14">
        <v>99.99</v>
      </c>
      <c r="D928">
        <v>8</v>
      </c>
      <c r="E928">
        <v>30</v>
      </c>
      <c r="F928" t="s">
        <v>588</v>
      </c>
      <c r="G928" t="s">
        <v>590</v>
      </c>
      <c r="H928">
        <v>20</v>
      </c>
      <c r="I928">
        <v>2024</v>
      </c>
      <c r="J928" s="7">
        <v>0.17809027777777778</v>
      </c>
      <c r="K928" t="s">
        <v>295</v>
      </c>
      <c r="L928" t="s">
        <v>274</v>
      </c>
      <c r="M928" t="s">
        <v>118</v>
      </c>
    </row>
    <row r="929" spans="1:13" x14ac:dyDescent="0.35">
      <c r="A929" t="s">
        <v>52</v>
      </c>
      <c r="B929" t="s">
        <v>1</v>
      </c>
      <c r="C929" s="14">
        <v>99.99</v>
      </c>
      <c r="D929">
        <v>9</v>
      </c>
      <c r="E929">
        <v>8</v>
      </c>
      <c r="F929" t="s">
        <v>588</v>
      </c>
      <c r="G929" t="s">
        <v>590</v>
      </c>
      <c r="H929">
        <v>24</v>
      </c>
      <c r="I929">
        <v>2024</v>
      </c>
      <c r="J929" s="7">
        <v>0.41765046296296299</v>
      </c>
      <c r="K929" t="s">
        <v>545</v>
      </c>
      <c r="L929" t="s">
        <v>283</v>
      </c>
      <c r="M929" t="s">
        <v>333</v>
      </c>
    </row>
    <row r="930" spans="1:13" x14ac:dyDescent="0.35">
      <c r="A930" t="s">
        <v>193</v>
      </c>
      <c r="B930" t="s">
        <v>3</v>
      </c>
      <c r="C930" s="14">
        <v>99.99</v>
      </c>
      <c r="D930">
        <v>2</v>
      </c>
      <c r="E930">
        <v>65</v>
      </c>
      <c r="F930" t="s">
        <v>588</v>
      </c>
      <c r="G930" t="s">
        <v>592</v>
      </c>
      <c r="H930">
        <v>12</v>
      </c>
      <c r="I930">
        <v>2024</v>
      </c>
      <c r="J930" s="7">
        <v>0.39606481481481481</v>
      </c>
      <c r="K930" t="s">
        <v>285</v>
      </c>
      <c r="L930" t="s">
        <v>286</v>
      </c>
      <c r="M930" t="s">
        <v>118</v>
      </c>
    </row>
    <row r="931" spans="1:13" x14ac:dyDescent="0.35">
      <c r="A931" t="s">
        <v>10</v>
      </c>
      <c r="B931" t="s">
        <v>3</v>
      </c>
      <c r="C931" s="14">
        <v>99.99</v>
      </c>
      <c r="D931">
        <v>10</v>
      </c>
      <c r="E931">
        <v>17</v>
      </c>
      <c r="F931" t="s">
        <v>588</v>
      </c>
      <c r="G931" t="s">
        <v>590</v>
      </c>
      <c r="H931">
        <v>22</v>
      </c>
      <c r="I931">
        <v>2024</v>
      </c>
      <c r="J931" s="7">
        <v>0.5559722222222222</v>
      </c>
      <c r="K931" t="s">
        <v>424</v>
      </c>
      <c r="L931" t="s">
        <v>505</v>
      </c>
      <c r="M931" t="s">
        <v>118</v>
      </c>
    </row>
    <row r="932" spans="1:13" x14ac:dyDescent="0.35">
      <c r="A932" t="s">
        <v>13</v>
      </c>
      <c r="B932" t="s">
        <v>1</v>
      </c>
      <c r="C932" s="14">
        <v>99.99</v>
      </c>
      <c r="D932">
        <v>0</v>
      </c>
      <c r="E932">
        <v>50</v>
      </c>
      <c r="F932" t="s">
        <v>588</v>
      </c>
      <c r="G932" t="s">
        <v>590</v>
      </c>
      <c r="H932">
        <v>21</v>
      </c>
      <c r="I932">
        <v>2024</v>
      </c>
      <c r="J932" s="7">
        <v>0.98368055555555556</v>
      </c>
      <c r="K932" t="s">
        <v>369</v>
      </c>
      <c r="L932" t="s">
        <v>506</v>
      </c>
      <c r="M932" t="s">
        <v>118</v>
      </c>
    </row>
    <row r="933" spans="1:13" x14ac:dyDescent="0.35">
      <c r="A933" t="s">
        <v>2</v>
      </c>
      <c r="B933" t="s">
        <v>3</v>
      </c>
      <c r="C933" s="14">
        <v>100</v>
      </c>
      <c r="D933">
        <v>9</v>
      </c>
      <c r="E933">
        <v>27</v>
      </c>
      <c r="F933" t="s">
        <v>588</v>
      </c>
      <c r="G933" t="s">
        <v>590</v>
      </c>
      <c r="H933">
        <v>22</v>
      </c>
      <c r="I933">
        <v>2024</v>
      </c>
      <c r="J933" s="7">
        <v>0.91369212962962965</v>
      </c>
      <c r="K933" t="s">
        <v>271</v>
      </c>
      <c r="L933" t="s">
        <v>266</v>
      </c>
      <c r="M933" t="s">
        <v>118</v>
      </c>
    </row>
    <row r="934" spans="1:13" x14ac:dyDescent="0.35">
      <c r="A934" t="s">
        <v>207</v>
      </c>
      <c r="B934" t="s">
        <v>37</v>
      </c>
      <c r="C934" s="14">
        <v>100</v>
      </c>
      <c r="D934">
        <v>10</v>
      </c>
      <c r="E934">
        <v>1</v>
      </c>
      <c r="F934" t="s">
        <v>588</v>
      </c>
      <c r="G934" t="s">
        <v>590</v>
      </c>
      <c r="H934">
        <v>18</v>
      </c>
      <c r="I934">
        <v>2024</v>
      </c>
      <c r="J934" s="7">
        <v>8.6342592592592596E-2</v>
      </c>
      <c r="K934" t="s">
        <v>401</v>
      </c>
      <c r="L934" t="s">
        <v>396</v>
      </c>
      <c r="M934" t="s">
        <v>118</v>
      </c>
    </row>
    <row r="935" spans="1:13" x14ac:dyDescent="0.35">
      <c r="A935" t="s">
        <v>27</v>
      </c>
      <c r="B935" t="s">
        <v>1</v>
      </c>
      <c r="C935" s="14">
        <v>103.2</v>
      </c>
      <c r="D935">
        <v>54</v>
      </c>
      <c r="E935">
        <v>5</v>
      </c>
      <c r="F935" t="s">
        <v>588</v>
      </c>
      <c r="G935" t="s">
        <v>590</v>
      </c>
      <c r="H935">
        <v>1</v>
      </c>
      <c r="I935">
        <v>2024</v>
      </c>
      <c r="J935" s="7">
        <v>0.63258101851851856</v>
      </c>
      <c r="K935" t="s">
        <v>395</v>
      </c>
      <c r="L935" t="s">
        <v>396</v>
      </c>
      <c r="M935" t="s">
        <v>118</v>
      </c>
    </row>
    <row r="936" spans="1:13" x14ac:dyDescent="0.35">
      <c r="A936" t="s">
        <v>23</v>
      </c>
      <c r="B936" t="s">
        <v>3</v>
      </c>
      <c r="C936" s="14">
        <v>103.98</v>
      </c>
      <c r="D936">
        <v>0</v>
      </c>
      <c r="E936">
        <v>350</v>
      </c>
      <c r="F936" t="s">
        <v>588</v>
      </c>
      <c r="G936" t="s">
        <v>590</v>
      </c>
      <c r="H936">
        <v>22</v>
      </c>
      <c r="I936">
        <v>2024</v>
      </c>
      <c r="J936" s="7">
        <v>0.70601851851851849</v>
      </c>
      <c r="K936" t="s">
        <v>290</v>
      </c>
      <c r="L936" t="s">
        <v>506</v>
      </c>
      <c r="M936" t="s">
        <v>118</v>
      </c>
    </row>
    <row r="937" spans="1:13" x14ac:dyDescent="0.35">
      <c r="A937" t="s">
        <v>13</v>
      </c>
      <c r="B937" t="s">
        <v>1</v>
      </c>
      <c r="C937" s="14">
        <v>104.99</v>
      </c>
      <c r="D937">
        <v>16</v>
      </c>
      <c r="E937">
        <v>38</v>
      </c>
      <c r="F937" t="s">
        <v>588</v>
      </c>
      <c r="G937" t="s">
        <v>590</v>
      </c>
      <c r="H937">
        <v>22</v>
      </c>
      <c r="I937">
        <v>2024</v>
      </c>
      <c r="J937" s="7">
        <v>0.70057870370370368</v>
      </c>
      <c r="K937" t="s">
        <v>424</v>
      </c>
      <c r="L937" t="s">
        <v>505</v>
      </c>
      <c r="M937" t="s">
        <v>118</v>
      </c>
    </row>
    <row r="938" spans="1:13" x14ac:dyDescent="0.35">
      <c r="A938" t="s">
        <v>13</v>
      </c>
      <c r="B938" t="s">
        <v>1</v>
      </c>
      <c r="C938" s="14">
        <v>108</v>
      </c>
      <c r="D938">
        <v>0</v>
      </c>
      <c r="E938">
        <v>10</v>
      </c>
      <c r="F938" t="s">
        <v>588</v>
      </c>
      <c r="G938" t="s">
        <v>590</v>
      </c>
      <c r="H938">
        <v>23</v>
      </c>
      <c r="I938">
        <v>2024</v>
      </c>
      <c r="J938" s="7">
        <v>0.43497685185185186</v>
      </c>
      <c r="K938" t="s">
        <v>453</v>
      </c>
      <c r="L938" t="s">
        <v>434</v>
      </c>
      <c r="M938" t="s">
        <v>118</v>
      </c>
    </row>
    <row r="939" spans="1:13" x14ac:dyDescent="0.35">
      <c r="A939" t="s">
        <v>13</v>
      </c>
      <c r="B939" t="s">
        <v>3</v>
      </c>
      <c r="C939" s="14">
        <v>108.98</v>
      </c>
      <c r="D939">
        <v>0</v>
      </c>
      <c r="E939">
        <v>33</v>
      </c>
      <c r="F939" t="s">
        <v>588</v>
      </c>
      <c r="G939" t="s">
        <v>590</v>
      </c>
      <c r="H939">
        <v>24</v>
      </c>
      <c r="I939">
        <v>2024</v>
      </c>
      <c r="J939" s="7">
        <v>0.32156249999999997</v>
      </c>
      <c r="K939" t="s">
        <v>290</v>
      </c>
      <c r="L939" t="s">
        <v>506</v>
      </c>
      <c r="M939" t="s">
        <v>118</v>
      </c>
    </row>
    <row r="940" spans="1:13" x14ac:dyDescent="0.35">
      <c r="A940" t="s">
        <v>11</v>
      </c>
      <c r="B940" t="s">
        <v>1</v>
      </c>
      <c r="C940" s="14">
        <v>109.99</v>
      </c>
      <c r="D940">
        <v>10</v>
      </c>
      <c r="E940">
        <v>48</v>
      </c>
      <c r="F940" t="s">
        <v>588</v>
      </c>
      <c r="G940" t="s">
        <v>590</v>
      </c>
      <c r="H940">
        <v>23</v>
      </c>
      <c r="I940">
        <v>2024</v>
      </c>
      <c r="J940" s="7">
        <v>0.96376157407407403</v>
      </c>
      <c r="K940" t="s">
        <v>268</v>
      </c>
      <c r="L940" t="s">
        <v>269</v>
      </c>
      <c r="M940" t="s">
        <v>537</v>
      </c>
    </row>
    <row r="941" spans="1:13" x14ac:dyDescent="0.35">
      <c r="A941" t="s">
        <v>11</v>
      </c>
      <c r="B941" t="s">
        <v>1</v>
      </c>
      <c r="C941" s="14">
        <v>109.99</v>
      </c>
      <c r="D941">
        <v>5</v>
      </c>
      <c r="E941">
        <v>24</v>
      </c>
      <c r="F941" t="s">
        <v>588</v>
      </c>
      <c r="G941" t="s">
        <v>590</v>
      </c>
      <c r="H941">
        <v>23</v>
      </c>
      <c r="I941">
        <v>2024</v>
      </c>
      <c r="J941" s="7">
        <v>0.75210648148148151</v>
      </c>
      <c r="K941" t="s">
        <v>317</v>
      </c>
      <c r="L941" t="s">
        <v>118</v>
      </c>
      <c r="M941" t="s">
        <v>333</v>
      </c>
    </row>
    <row r="942" spans="1:13" x14ac:dyDescent="0.35">
      <c r="A942" t="s">
        <v>33</v>
      </c>
      <c r="B942" t="s">
        <v>1</v>
      </c>
      <c r="C942" s="14">
        <v>109.99</v>
      </c>
      <c r="D942">
        <v>10</v>
      </c>
      <c r="E942">
        <v>26</v>
      </c>
      <c r="F942" t="s">
        <v>588</v>
      </c>
      <c r="G942" t="s">
        <v>590</v>
      </c>
      <c r="H942">
        <v>4</v>
      </c>
      <c r="I942">
        <v>2024</v>
      </c>
      <c r="J942" s="7">
        <v>0.24815972222222221</v>
      </c>
      <c r="K942" t="s">
        <v>405</v>
      </c>
      <c r="L942" t="s">
        <v>282</v>
      </c>
      <c r="M942" t="s">
        <v>118</v>
      </c>
    </row>
    <row r="943" spans="1:13" x14ac:dyDescent="0.35">
      <c r="A943" t="s">
        <v>11</v>
      </c>
      <c r="B943" t="s">
        <v>1</v>
      </c>
      <c r="C943" s="14">
        <v>109.99</v>
      </c>
      <c r="D943">
        <v>0</v>
      </c>
      <c r="E943">
        <v>5</v>
      </c>
      <c r="F943" t="s">
        <v>588</v>
      </c>
      <c r="G943" t="s">
        <v>590</v>
      </c>
      <c r="H943">
        <v>23</v>
      </c>
      <c r="I943">
        <v>2024</v>
      </c>
      <c r="J943" s="7">
        <v>0.79972222222222222</v>
      </c>
      <c r="K943" t="s">
        <v>552</v>
      </c>
      <c r="L943" t="s">
        <v>383</v>
      </c>
      <c r="M943" t="s">
        <v>537</v>
      </c>
    </row>
    <row r="944" spans="1:13" x14ac:dyDescent="0.35">
      <c r="A944" t="s">
        <v>233</v>
      </c>
      <c r="B944" t="s">
        <v>1</v>
      </c>
      <c r="C944" s="14">
        <v>110</v>
      </c>
      <c r="D944">
        <v>0</v>
      </c>
      <c r="E944">
        <v>6</v>
      </c>
      <c r="F944" t="s">
        <v>588</v>
      </c>
      <c r="G944" t="s">
        <v>590</v>
      </c>
      <c r="H944">
        <v>21</v>
      </c>
      <c r="I944">
        <v>2024</v>
      </c>
      <c r="J944" s="7">
        <v>0.2777662037037037</v>
      </c>
      <c r="K944" t="s">
        <v>431</v>
      </c>
      <c r="L944" t="s">
        <v>274</v>
      </c>
      <c r="M944" t="s">
        <v>118</v>
      </c>
    </row>
    <row r="945" spans="1:13" x14ac:dyDescent="0.35">
      <c r="A945" t="s">
        <v>4</v>
      </c>
      <c r="B945" t="s">
        <v>1</v>
      </c>
      <c r="C945" s="14">
        <v>110.08</v>
      </c>
      <c r="D945">
        <v>0</v>
      </c>
      <c r="E945">
        <v>684</v>
      </c>
      <c r="F945" t="s">
        <v>588</v>
      </c>
      <c r="G945" t="s">
        <v>590</v>
      </c>
      <c r="H945">
        <v>23</v>
      </c>
      <c r="I945">
        <v>2024</v>
      </c>
      <c r="J945" s="7">
        <v>0.19322916666666667</v>
      </c>
      <c r="K945" t="s">
        <v>290</v>
      </c>
      <c r="L945" t="s">
        <v>506</v>
      </c>
      <c r="M945" t="s">
        <v>118</v>
      </c>
    </row>
    <row r="946" spans="1:13" x14ac:dyDescent="0.35">
      <c r="A946" t="s">
        <v>1</v>
      </c>
      <c r="B946" t="s">
        <v>37</v>
      </c>
      <c r="C946" s="14">
        <v>110.19</v>
      </c>
      <c r="D946">
        <v>10</v>
      </c>
      <c r="E946">
        <v>11</v>
      </c>
      <c r="F946" t="s">
        <v>588</v>
      </c>
      <c r="G946" t="s">
        <v>590</v>
      </c>
      <c r="H946">
        <v>23</v>
      </c>
      <c r="I946">
        <v>2024</v>
      </c>
      <c r="J946" s="7">
        <v>0.91443287037037035</v>
      </c>
      <c r="K946" t="s">
        <v>487</v>
      </c>
      <c r="L946" t="s">
        <v>282</v>
      </c>
      <c r="M946" t="s">
        <v>118</v>
      </c>
    </row>
    <row r="947" spans="1:13" x14ac:dyDescent="0.35">
      <c r="A947" t="s">
        <v>94</v>
      </c>
      <c r="B947" t="s">
        <v>1</v>
      </c>
      <c r="C947" s="14">
        <v>112.49</v>
      </c>
      <c r="D947">
        <v>0</v>
      </c>
      <c r="E947">
        <v>15</v>
      </c>
      <c r="F947" t="s">
        <v>588</v>
      </c>
      <c r="G947" t="s">
        <v>590</v>
      </c>
      <c r="H947">
        <v>23</v>
      </c>
      <c r="I947">
        <v>2024</v>
      </c>
      <c r="J947" s="7">
        <v>0.40341435185185187</v>
      </c>
      <c r="K947" t="s">
        <v>391</v>
      </c>
      <c r="L947" t="s">
        <v>356</v>
      </c>
      <c r="M947" t="s">
        <v>118</v>
      </c>
    </row>
    <row r="948" spans="1:13" x14ac:dyDescent="0.35">
      <c r="A948" t="s">
        <v>62</v>
      </c>
      <c r="B948" t="s">
        <v>1</v>
      </c>
      <c r="C948" s="14">
        <v>113.98</v>
      </c>
      <c r="D948">
        <v>0</v>
      </c>
      <c r="E948">
        <v>755</v>
      </c>
      <c r="F948" t="s">
        <v>588</v>
      </c>
      <c r="G948" t="s">
        <v>590</v>
      </c>
      <c r="H948">
        <v>22</v>
      </c>
      <c r="I948">
        <v>2024</v>
      </c>
      <c r="J948" s="7">
        <v>0.20805555555555555</v>
      </c>
      <c r="K948" t="s">
        <v>511</v>
      </c>
      <c r="L948" t="s">
        <v>274</v>
      </c>
      <c r="M948" t="s">
        <v>118</v>
      </c>
    </row>
    <row r="949" spans="1:13" x14ac:dyDescent="0.35">
      <c r="A949" t="s">
        <v>50</v>
      </c>
      <c r="B949" t="s">
        <v>3</v>
      </c>
      <c r="C949" s="14">
        <v>114.99</v>
      </c>
      <c r="D949">
        <v>8</v>
      </c>
      <c r="E949">
        <v>539</v>
      </c>
      <c r="F949" t="s">
        <v>588</v>
      </c>
      <c r="G949" t="s">
        <v>590</v>
      </c>
      <c r="H949">
        <v>23</v>
      </c>
      <c r="I949">
        <v>2024</v>
      </c>
      <c r="J949" s="7">
        <v>0.94679398148148153</v>
      </c>
      <c r="K949" t="s">
        <v>511</v>
      </c>
      <c r="L949" t="s">
        <v>274</v>
      </c>
      <c r="M949" t="s">
        <v>118</v>
      </c>
    </row>
    <row r="950" spans="1:13" x14ac:dyDescent="0.35">
      <c r="A950" t="s">
        <v>10</v>
      </c>
      <c r="B950" t="s">
        <v>1</v>
      </c>
      <c r="C950" s="14">
        <v>114.99</v>
      </c>
      <c r="D950">
        <v>3</v>
      </c>
      <c r="E950">
        <v>13</v>
      </c>
      <c r="F950" t="s">
        <v>588</v>
      </c>
      <c r="G950" t="s">
        <v>590</v>
      </c>
      <c r="H950">
        <v>24</v>
      </c>
      <c r="I950">
        <v>2024</v>
      </c>
      <c r="J950" s="7">
        <v>0.41675925925925927</v>
      </c>
      <c r="K950" t="s">
        <v>424</v>
      </c>
      <c r="L950" t="s">
        <v>505</v>
      </c>
      <c r="M950" t="s">
        <v>118</v>
      </c>
    </row>
    <row r="951" spans="1:13" x14ac:dyDescent="0.35">
      <c r="A951" t="s">
        <v>79</v>
      </c>
      <c r="B951" t="s">
        <v>1</v>
      </c>
      <c r="C951" s="14">
        <v>116.54</v>
      </c>
      <c r="D951">
        <v>0</v>
      </c>
      <c r="E951">
        <v>262</v>
      </c>
      <c r="F951" t="s">
        <v>588</v>
      </c>
      <c r="G951" t="s">
        <v>590</v>
      </c>
      <c r="H951">
        <v>23</v>
      </c>
      <c r="I951">
        <v>2024</v>
      </c>
      <c r="J951" s="7">
        <v>0.91623842592592597</v>
      </c>
      <c r="K951" t="s">
        <v>290</v>
      </c>
      <c r="L951" t="s">
        <v>506</v>
      </c>
      <c r="M951" t="s">
        <v>118</v>
      </c>
    </row>
    <row r="952" spans="1:13" x14ac:dyDescent="0.35">
      <c r="A952" t="s">
        <v>4</v>
      </c>
      <c r="B952" t="s">
        <v>1</v>
      </c>
      <c r="C952" s="14">
        <v>119.99</v>
      </c>
      <c r="D952">
        <v>8</v>
      </c>
      <c r="E952">
        <v>34</v>
      </c>
      <c r="F952" t="s">
        <v>588</v>
      </c>
      <c r="G952" t="s">
        <v>590</v>
      </c>
      <c r="H952">
        <v>24</v>
      </c>
      <c r="I952">
        <v>2024</v>
      </c>
      <c r="J952" s="7">
        <v>0.3033912037037037</v>
      </c>
      <c r="K952" t="s">
        <v>506</v>
      </c>
      <c r="L952" t="s">
        <v>294</v>
      </c>
      <c r="M952" t="s">
        <v>333</v>
      </c>
    </row>
    <row r="953" spans="1:13" x14ac:dyDescent="0.35">
      <c r="A953" t="s">
        <v>195</v>
      </c>
      <c r="B953" t="s">
        <v>1</v>
      </c>
      <c r="C953" s="14">
        <v>119.99</v>
      </c>
      <c r="D953">
        <v>10</v>
      </c>
      <c r="E953">
        <v>13</v>
      </c>
      <c r="F953" t="s">
        <v>588</v>
      </c>
      <c r="G953" t="s">
        <v>590</v>
      </c>
      <c r="H953">
        <v>22</v>
      </c>
      <c r="I953">
        <v>2024</v>
      </c>
      <c r="J953" s="7">
        <v>0.74792824074074071</v>
      </c>
      <c r="K953" t="s">
        <v>546</v>
      </c>
      <c r="L953" t="s">
        <v>318</v>
      </c>
      <c r="M953" t="s">
        <v>333</v>
      </c>
    </row>
    <row r="954" spans="1:13" x14ac:dyDescent="0.35">
      <c r="A954" t="s">
        <v>10</v>
      </c>
      <c r="B954" t="s">
        <v>1</v>
      </c>
      <c r="C954" s="14">
        <v>119.99</v>
      </c>
      <c r="D954">
        <v>10</v>
      </c>
      <c r="E954">
        <v>21</v>
      </c>
      <c r="F954" t="s">
        <v>588</v>
      </c>
      <c r="G954" t="s">
        <v>590</v>
      </c>
      <c r="H954">
        <v>22</v>
      </c>
      <c r="I954">
        <v>2024</v>
      </c>
      <c r="J954" s="7">
        <v>0.65870370370370368</v>
      </c>
      <c r="K954" t="s">
        <v>424</v>
      </c>
      <c r="L954" t="s">
        <v>505</v>
      </c>
      <c r="M954" t="s">
        <v>118</v>
      </c>
    </row>
    <row r="955" spans="1:13" x14ac:dyDescent="0.35">
      <c r="A955" t="s">
        <v>161</v>
      </c>
      <c r="B955" t="s">
        <v>3</v>
      </c>
      <c r="C955" s="14">
        <v>120</v>
      </c>
      <c r="D955">
        <v>5</v>
      </c>
      <c r="E955">
        <v>7</v>
      </c>
      <c r="F955" t="s">
        <v>588</v>
      </c>
      <c r="G955" t="s">
        <v>590</v>
      </c>
      <c r="H955">
        <v>14</v>
      </c>
      <c r="I955">
        <v>2024</v>
      </c>
      <c r="J955" s="7">
        <v>0.55103009259259261</v>
      </c>
      <c r="K955" t="s">
        <v>534</v>
      </c>
      <c r="L955" t="s">
        <v>274</v>
      </c>
      <c r="M955" t="s">
        <v>118</v>
      </c>
    </row>
    <row r="956" spans="1:13" x14ac:dyDescent="0.35">
      <c r="A956" t="s">
        <v>4</v>
      </c>
      <c r="B956" t="s">
        <v>1</v>
      </c>
      <c r="C956" s="14">
        <v>123.99</v>
      </c>
      <c r="D956">
        <v>3</v>
      </c>
      <c r="E956">
        <v>5</v>
      </c>
      <c r="F956" t="s">
        <v>588</v>
      </c>
      <c r="G956" t="s">
        <v>590</v>
      </c>
      <c r="H956">
        <v>16</v>
      </c>
      <c r="I956">
        <v>2024</v>
      </c>
      <c r="J956" s="7">
        <v>0.73929398148148151</v>
      </c>
      <c r="K956" t="s">
        <v>285</v>
      </c>
      <c r="L956" t="s">
        <v>286</v>
      </c>
      <c r="M956" t="s">
        <v>118</v>
      </c>
    </row>
    <row r="957" spans="1:13" x14ac:dyDescent="0.35">
      <c r="A957" t="s">
        <v>233</v>
      </c>
      <c r="B957" t="s">
        <v>1</v>
      </c>
      <c r="C957" s="14">
        <v>124.96</v>
      </c>
      <c r="D957">
        <v>3</v>
      </c>
      <c r="E957">
        <v>151</v>
      </c>
      <c r="F957" t="s">
        <v>588</v>
      </c>
      <c r="G957" t="s">
        <v>590</v>
      </c>
      <c r="H957">
        <v>19</v>
      </c>
      <c r="I957">
        <v>2024</v>
      </c>
      <c r="J957" s="7">
        <v>0.65590277777777772</v>
      </c>
      <c r="K957" t="s">
        <v>290</v>
      </c>
      <c r="L957" t="s">
        <v>506</v>
      </c>
      <c r="M957" t="s">
        <v>118</v>
      </c>
    </row>
    <row r="958" spans="1:13" x14ac:dyDescent="0.35">
      <c r="A958" t="s">
        <v>31</v>
      </c>
      <c r="B958" t="s">
        <v>1</v>
      </c>
      <c r="C958" s="14">
        <v>124.99</v>
      </c>
      <c r="D958">
        <v>10</v>
      </c>
      <c r="E958">
        <v>13</v>
      </c>
      <c r="F958" t="s">
        <v>588</v>
      </c>
      <c r="G958" t="s">
        <v>590</v>
      </c>
      <c r="H958">
        <v>24</v>
      </c>
      <c r="I958">
        <v>2024</v>
      </c>
      <c r="J958" s="7">
        <v>0.41765046296296299</v>
      </c>
      <c r="K958" t="s">
        <v>379</v>
      </c>
      <c r="L958" t="s">
        <v>318</v>
      </c>
      <c r="M958" t="s">
        <v>536</v>
      </c>
    </row>
    <row r="959" spans="1:13" x14ac:dyDescent="0.35">
      <c r="A959" t="s">
        <v>10</v>
      </c>
      <c r="B959" t="s">
        <v>1</v>
      </c>
      <c r="C959" s="14">
        <v>124.99</v>
      </c>
      <c r="D959">
        <v>5</v>
      </c>
      <c r="E959">
        <v>13</v>
      </c>
      <c r="F959" t="s">
        <v>588</v>
      </c>
      <c r="G959" t="s">
        <v>590</v>
      </c>
      <c r="H959">
        <v>22</v>
      </c>
      <c r="I959">
        <v>2024</v>
      </c>
      <c r="J959" s="7">
        <v>0.48332175925925924</v>
      </c>
      <c r="K959" t="s">
        <v>424</v>
      </c>
      <c r="L959" t="s">
        <v>505</v>
      </c>
      <c r="M959" t="s">
        <v>118</v>
      </c>
    </row>
    <row r="960" spans="1:13" x14ac:dyDescent="0.35">
      <c r="A960" t="s">
        <v>40</v>
      </c>
      <c r="B960" t="s">
        <v>1</v>
      </c>
      <c r="C960" s="14">
        <v>125</v>
      </c>
      <c r="D960">
        <v>10</v>
      </c>
      <c r="E960">
        <v>28</v>
      </c>
      <c r="F960" t="s">
        <v>588</v>
      </c>
      <c r="G960" t="s">
        <v>590</v>
      </c>
      <c r="H960">
        <v>23</v>
      </c>
      <c r="I960">
        <v>2024</v>
      </c>
      <c r="J960" s="7">
        <v>0.8256944444444444</v>
      </c>
      <c r="K960" t="s">
        <v>513</v>
      </c>
      <c r="L960" t="s">
        <v>286</v>
      </c>
      <c r="M960" t="s">
        <v>118</v>
      </c>
    </row>
    <row r="961" spans="1:13" x14ac:dyDescent="0.35">
      <c r="A961" t="s">
        <v>15</v>
      </c>
      <c r="B961" t="s">
        <v>1</v>
      </c>
      <c r="C961" s="14">
        <v>125</v>
      </c>
      <c r="D961">
        <v>10</v>
      </c>
      <c r="E961">
        <v>2</v>
      </c>
      <c r="F961" t="s">
        <v>588</v>
      </c>
      <c r="G961" t="s">
        <v>239</v>
      </c>
      <c r="H961">
        <v>0</v>
      </c>
      <c r="I961">
        <v>0</v>
      </c>
      <c r="J961" s="7">
        <v>0</v>
      </c>
      <c r="K961" t="s">
        <v>273</v>
      </c>
      <c r="L961" t="s">
        <v>274</v>
      </c>
      <c r="M961" t="s">
        <v>118</v>
      </c>
    </row>
    <row r="962" spans="1:13" x14ac:dyDescent="0.35">
      <c r="A962" t="s">
        <v>52</v>
      </c>
      <c r="B962" t="s">
        <v>1</v>
      </c>
      <c r="C962" s="14">
        <v>125.99</v>
      </c>
      <c r="D962">
        <v>0</v>
      </c>
      <c r="E962">
        <v>15</v>
      </c>
      <c r="F962" t="s">
        <v>588</v>
      </c>
      <c r="G962" t="s">
        <v>590</v>
      </c>
      <c r="H962">
        <v>24</v>
      </c>
      <c r="I962">
        <v>2024</v>
      </c>
      <c r="J962" s="7">
        <v>4.4537037037037035E-2</v>
      </c>
      <c r="K962" t="s">
        <v>331</v>
      </c>
      <c r="L962" t="s">
        <v>505</v>
      </c>
      <c r="M962" t="s">
        <v>118</v>
      </c>
    </row>
    <row r="963" spans="1:13" x14ac:dyDescent="0.35">
      <c r="A963" t="s">
        <v>39</v>
      </c>
      <c r="B963" t="s">
        <v>1</v>
      </c>
      <c r="C963" s="14">
        <v>126.99</v>
      </c>
      <c r="D963">
        <v>10</v>
      </c>
      <c r="E963">
        <v>32</v>
      </c>
      <c r="F963" t="s">
        <v>588</v>
      </c>
      <c r="G963" t="s">
        <v>590</v>
      </c>
      <c r="H963">
        <v>21</v>
      </c>
      <c r="I963">
        <v>2024</v>
      </c>
      <c r="J963" s="7">
        <v>0.94467592592592597</v>
      </c>
      <c r="K963" t="s">
        <v>544</v>
      </c>
      <c r="L963" t="s">
        <v>317</v>
      </c>
      <c r="M963" t="s">
        <v>333</v>
      </c>
    </row>
    <row r="964" spans="1:13" x14ac:dyDescent="0.35">
      <c r="A964" t="s">
        <v>4</v>
      </c>
      <c r="B964" t="s">
        <v>1</v>
      </c>
      <c r="C964" s="14">
        <v>128.99</v>
      </c>
      <c r="D964">
        <v>10</v>
      </c>
      <c r="E964">
        <v>9</v>
      </c>
      <c r="F964" t="s">
        <v>588</v>
      </c>
      <c r="G964" t="s">
        <v>590</v>
      </c>
      <c r="H964">
        <v>21</v>
      </c>
      <c r="I964">
        <v>2024</v>
      </c>
      <c r="J964" s="7">
        <v>0.67805555555555552</v>
      </c>
      <c r="K964" t="s">
        <v>506</v>
      </c>
      <c r="L964" t="s">
        <v>505</v>
      </c>
      <c r="M964" t="s">
        <v>118</v>
      </c>
    </row>
    <row r="965" spans="1:13" x14ac:dyDescent="0.35">
      <c r="A965" t="s">
        <v>94</v>
      </c>
      <c r="B965" t="s">
        <v>1</v>
      </c>
      <c r="C965" s="14">
        <v>129</v>
      </c>
      <c r="D965">
        <v>10</v>
      </c>
      <c r="E965">
        <v>11</v>
      </c>
      <c r="F965" t="s">
        <v>588</v>
      </c>
      <c r="G965" t="s">
        <v>590</v>
      </c>
      <c r="H965">
        <v>21</v>
      </c>
      <c r="I965">
        <v>2024</v>
      </c>
      <c r="J965" s="7">
        <v>0.75623842592592594</v>
      </c>
      <c r="K965" t="s">
        <v>273</v>
      </c>
      <c r="L965" t="s">
        <v>274</v>
      </c>
      <c r="M965" t="s">
        <v>118</v>
      </c>
    </row>
    <row r="966" spans="1:13" x14ac:dyDescent="0.35">
      <c r="A966" t="s">
        <v>231</v>
      </c>
      <c r="B966" t="s">
        <v>1</v>
      </c>
      <c r="C966" s="14">
        <v>129</v>
      </c>
      <c r="D966">
        <v>26</v>
      </c>
      <c r="E966">
        <v>13</v>
      </c>
      <c r="F966" t="s">
        <v>588</v>
      </c>
      <c r="G966" t="s">
        <v>590</v>
      </c>
      <c r="H966">
        <v>6</v>
      </c>
      <c r="I966">
        <v>2024</v>
      </c>
      <c r="J966" s="7">
        <v>0.51643518518518516</v>
      </c>
      <c r="K966" t="s">
        <v>551</v>
      </c>
      <c r="L966" t="s">
        <v>315</v>
      </c>
      <c r="M966" t="s">
        <v>118</v>
      </c>
    </row>
    <row r="967" spans="1:13" x14ac:dyDescent="0.35">
      <c r="A967" t="s">
        <v>78</v>
      </c>
      <c r="B967" t="s">
        <v>1</v>
      </c>
      <c r="C967" s="14">
        <v>129.99</v>
      </c>
      <c r="D967">
        <v>10</v>
      </c>
      <c r="E967">
        <v>25</v>
      </c>
      <c r="F967" t="s">
        <v>588</v>
      </c>
      <c r="G967" t="s">
        <v>590</v>
      </c>
      <c r="H967">
        <v>5</v>
      </c>
      <c r="I967">
        <v>2024</v>
      </c>
      <c r="J967" s="7">
        <v>0.76893518518518522</v>
      </c>
      <c r="K967" t="s">
        <v>292</v>
      </c>
      <c r="L967" t="s">
        <v>282</v>
      </c>
      <c r="M967" t="s">
        <v>118</v>
      </c>
    </row>
    <row r="968" spans="1:13" x14ac:dyDescent="0.35">
      <c r="A968" t="s">
        <v>4</v>
      </c>
      <c r="B968" t="s">
        <v>37</v>
      </c>
      <c r="C968" s="14">
        <v>129.99</v>
      </c>
      <c r="D968">
        <v>0</v>
      </c>
      <c r="E968">
        <v>14</v>
      </c>
      <c r="F968" t="s">
        <v>588</v>
      </c>
      <c r="G968" t="s">
        <v>590</v>
      </c>
      <c r="H968">
        <v>23</v>
      </c>
      <c r="I968">
        <v>2024</v>
      </c>
      <c r="J968" s="7">
        <v>0.10106481481481482</v>
      </c>
      <c r="K968" t="s">
        <v>548</v>
      </c>
      <c r="L968" t="s">
        <v>283</v>
      </c>
      <c r="M968" t="s">
        <v>333</v>
      </c>
    </row>
    <row r="969" spans="1:13" x14ac:dyDescent="0.35">
      <c r="A969" t="s">
        <v>13</v>
      </c>
      <c r="B969" t="s">
        <v>3</v>
      </c>
      <c r="C969" s="14">
        <v>135</v>
      </c>
      <c r="D969">
        <v>10</v>
      </c>
      <c r="E969">
        <v>4</v>
      </c>
      <c r="F969" t="s">
        <v>588</v>
      </c>
      <c r="G969" t="s">
        <v>239</v>
      </c>
      <c r="H969">
        <v>0</v>
      </c>
      <c r="I969">
        <v>0</v>
      </c>
      <c r="J969" s="7">
        <v>0</v>
      </c>
      <c r="K969" t="s">
        <v>412</v>
      </c>
      <c r="L969" t="s">
        <v>505</v>
      </c>
      <c r="M969" t="s">
        <v>118</v>
      </c>
    </row>
    <row r="970" spans="1:13" x14ac:dyDescent="0.35">
      <c r="A970" t="s">
        <v>79</v>
      </c>
      <c r="B970" t="s">
        <v>1</v>
      </c>
      <c r="C970" s="14">
        <v>135.49</v>
      </c>
      <c r="D970">
        <v>10</v>
      </c>
      <c r="E970">
        <v>64</v>
      </c>
      <c r="F970" t="s">
        <v>588</v>
      </c>
      <c r="G970" t="s">
        <v>590</v>
      </c>
      <c r="H970">
        <v>24</v>
      </c>
      <c r="I970">
        <v>2024</v>
      </c>
      <c r="J970" s="7">
        <v>0.38905092592592594</v>
      </c>
      <c r="K970" t="s">
        <v>290</v>
      </c>
      <c r="L970" t="s">
        <v>506</v>
      </c>
      <c r="M970" t="s">
        <v>118</v>
      </c>
    </row>
    <row r="971" spans="1:13" x14ac:dyDescent="0.35">
      <c r="A971" t="s">
        <v>50</v>
      </c>
      <c r="B971" t="s">
        <v>3</v>
      </c>
      <c r="C971" s="14">
        <v>136</v>
      </c>
      <c r="D971">
        <v>9</v>
      </c>
      <c r="E971">
        <v>51</v>
      </c>
      <c r="F971" t="s">
        <v>588</v>
      </c>
      <c r="G971" t="s">
        <v>590</v>
      </c>
      <c r="H971">
        <v>23</v>
      </c>
      <c r="I971">
        <v>2024</v>
      </c>
      <c r="J971" s="7">
        <v>0.69076388888888884</v>
      </c>
      <c r="K971" t="s">
        <v>285</v>
      </c>
      <c r="L971" t="s">
        <v>286</v>
      </c>
      <c r="M971" t="s">
        <v>118</v>
      </c>
    </row>
    <row r="972" spans="1:13" x14ac:dyDescent="0.35">
      <c r="A972" t="s">
        <v>4</v>
      </c>
      <c r="B972" t="s">
        <v>1</v>
      </c>
      <c r="C972" s="14">
        <v>138.99</v>
      </c>
      <c r="D972">
        <v>6</v>
      </c>
      <c r="E972">
        <v>6</v>
      </c>
      <c r="F972" t="s">
        <v>588</v>
      </c>
      <c r="G972" t="s">
        <v>590</v>
      </c>
      <c r="H972">
        <v>16</v>
      </c>
      <c r="I972">
        <v>2024</v>
      </c>
      <c r="J972" s="7">
        <v>9.2268518518518514E-2</v>
      </c>
      <c r="K972" t="s">
        <v>506</v>
      </c>
      <c r="L972" t="s">
        <v>118</v>
      </c>
      <c r="M972" t="s">
        <v>333</v>
      </c>
    </row>
    <row r="973" spans="1:13" x14ac:dyDescent="0.35">
      <c r="A973" t="s">
        <v>100</v>
      </c>
      <c r="B973" t="s">
        <v>1</v>
      </c>
      <c r="C973" s="14">
        <v>139.99</v>
      </c>
      <c r="D973">
        <v>10</v>
      </c>
      <c r="E973">
        <v>4</v>
      </c>
      <c r="F973" t="s">
        <v>588</v>
      </c>
      <c r="G973" t="s">
        <v>590</v>
      </c>
      <c r="H973">
        <v>10</v>
      </c>
      <c r="I973">
        <v>2024</v>
      </c>
      <c r="J973" s="7">
        <v>0.91189814814814818</v>
      </c>
      <c r="K973" t="s">
        <v>273</v>
      </c>
      <c r="L973" t="s">
        <v>274</v>
      </c>
      <c r="M973" t="s">
        <v>118</v>
      </c>
    </row>
    <row r="974" spans="1:13" x14ac:dyDescent="0.35">
      <c r="A974" t="s">
        <v>104</v>
      </c>
      <c r="B974" t="s">
        <v>1</v>
      </c>
      <c r="C974" s="14">
        <v>139.99</v>
      </c>
      <c r="D974">
        <v>16</v>
      </c>
      <c r="E974">
        <v>46</v>
      </c>
      <c r="F974" t="s">
        <v>588</v>
      </c>
      <c r="G974" t="s">
        <v>590</v>
      </c>
      <c r="H974">
        <v>11</v>
      </c>
      <c r="I974">
        <v>2024</v>
      </c>
      <c r="J974" s="7">
        <v>0.63159722222222225</v>
      </c>
      <c r="K974" t="s">
        <v>415</v>
      </c>
      <c r="L974" t="s">
        <v>356</v>
      </c>
      <c r="M974" t="s">
        <v>118</v>
      </c>
    </row>
    <row r="975" spans="1:13" x14ac:dyDescent="0.35">
      <c r="A975" t="s">
        <v>90</v>
      </c>
      <c r="B975" t="s">
        <v>3</v>
      </c>
      <c r="C975" s="14">
        <v>140</v>
      </c>
      <c r="D975">
        <v>10</v>
      </c>
      <c r="E975">
        <v>6</v>
      </c>
      <c r="F975" t="s">
        <v>588</v>
      </c>
      <c r="G975" t="s">
        <v>590</v>
      </c>
      <c r="H975">
        <v>20</v>
      </c>
      <c r="I975">
        <v>2024</v>
      </c>
      <c r="J975" s="7">
        <v>0.53762731481481485</v>
      </c>
      <c r="K975" t="s">
        <v>281</v>
      </c>
      <c r="L975" t="s">
        <v>282</v>
      </c>
      <c r="M975" t="s">
        <v>118</v>
      </c>
    </row>
    <row r="976" spans="1:13" x14ac:dyDescent="0.35">
      <c r="A976" t="s">
        <v>13</v>
      </c>
      <c r="B976" t="s">
        <v>1</v>
      </c>
      <c r="C976" s="14">
        <v>140</v>
      </c>
      <c r="D976">
        <v>0</v>
      </c>
      <c r="E976">
        <v>2</v>
      </c>
      <c r="F976" t="s">
        <v>588</v>
      </c>
      <c r="G976" t="s">
        <v>239</v>
      </c>
      <c r="H976">
        <v>0</v>
      </c>
      <c r="I976">
        <v>0</v>
      </c>
      <c r="J976" s="7">
        <v>0</v>
      </c>
      <c r="K976" t="s">
        <v>412</v>
      </c>
      <c r="L976" t="s">
        <v>505</v>
      </c>
      <c r="M976" t="s">
        <v>118</v>
      </c>
    </row>
    <row r="977" spans="1:13" x14ac:dyDescent="0.35">
      <c r="A977" t="s">
        <v>231</v>
      </c>
      <c r="B977" t="s">
        <v>3</v>
      </c>
      <c r="C977" s="14">
        <v>144.99</v>
      </c>
      <c r="D977">
        <v>10</v>
      </c>
      <c r="E977">
        <v>145</v>
      </c>
      <c r="F977" t="s">
        <v>588</v>
      </c>
      <c r="G977" t="s">
        <v>590</v>
      </c>
      <c r="H977">
        <v>24</v>
      </c>
      <c r="I977">
        <v>2024</v>
      </c>
      <c r="J977" s="7">
        <v>0.42171296296296296</v>
      </c>
      <c r="K977" t="s">
        <v>511</v>
      </c>
      <c r="L977" t="s">
        <v>274</v>
      </c>
      <c r="M977" t="s">
        <v>118</v>
      </c>
    </row>
    <row r="978" spans="1:13" x14ac:dyDescent="0.35">
      <c r="A978" t="s">
        <v>16</v>
      </c>
      <c r="B978" t="s">
        <v>3</v>
      </c>
      <c r="C978" s="14">
        <v>153</v>
      </c>
      <c r="D978">
        <v>10</v>
      </c>
      <c r="E978">
        <v>23</v>
      </c>
      <c r="F978" t="s">
        <v>588</v>
      </c>
      <c r="G978" t="s">
        <v>590</v>
      </c>
      <c r="H978">
        <v>17</v>
      </c>
      <c r="I978">
        <v>2024</v>
      </c>
      <c r="J978" s="7">
        <v>0.40152777777777776</v>
      </c>
      <c r="K978" t="s">
        <v>516</v>
      </c>
      <c r="L978" t="s">
        <v>282</v>
      </c>
      <c r="M978" t="s">
        <v>118</v>
      </c>
    </row>
    <row r="979" spans="1:13" x14ac:dyDescent="0.35">
      <c r="A979" t="s">
        <v>233</v>
      </c>
      <c r="B979" t="s">
        <v>1</v>
      </c>
      <c r="C979" s="14">
        <v>155.65</v>
      </c>
      <c r="D979">
        <v>0</v>
      </c>
      <c r="E979">
        <v>593</v>
      </c>
      <c r="F979" t="s">
        <v>588</v>
      </c>
      <c r="G979" t="s">
        <v>590</v>
      </c>
      <c r="H979">
        <v>24</v>
      </c>
      <c r="I979">
        <v>2024</v>
      </c>
      <c r="J979" s="7">
        <v>0.33077546296296295</v>
      </c>
      <c r="K979" t="s">
        <v>301</v>
      </c>
      <c r="L979" t="s">
        <v>506</v>
      </c>
      <c r="M979" t="s">
        <v>118</v>
      </c>
    </row>
    <row r="980" spans="1:13" x14ac:dyDescent="0.35">
      <c r="A980" t="s">
        <v>33</v>
      </c>
      <c r="B980" t="s">
        <v>1</v>
      </c>
      <c r="C980" s="14">
        <v>159.99</v>
      </c>
      <c r="D980">
        <v>4</v>
      </c>
      <c r="E980">
        <v>30</v>
      </c>
      <c r="F980" t="s">
        <v>588</v>
      </c>
      <c r="G980" t="s">
        <v>590</v>
      </c>
      <c r="H980">
        <v>21</v>
      </c>
      <c r="I980">
        <v>2024</v>
      </c>
      <c r="J980" s="7">
        <v>0.75048611111111108</v>
      </c>
      <c r="K980" t="s">
        <v>506</v>
      </c>
      <c r="L980" t="s">
        <v>505</v>
      </c>
      <c r="M980" t="s">
        <v>379</v>
      </c>
    </row>
    <row r="981" spans="1:13" x14ac:dyDescent="0.35">
      <c r="A981" t="s">
        <v>42</v>
      </c>
      <c r="B981" t="s">
        <v>1</v>
      </c>
      <c r="C981" s="14">
        <v>159.99</v>
      </c>
      <c r="D981">
        <v>3</v>
      </c>
      <c r="E981">
        <v>160</v>
      </c>
      <c r="F981" t="s">
        <v>588</v>
      </c>
      <c r="G981" t="s">
        <v>590</v>
      </c>
      <c r="H981">
        <v>16</v>
      </c>
      <c r="I981">
        <v>2024</v>
      </c>
      <c r="J981" s="7">
        <v>0.2245601851851852</v>
      </c>
      <c r="K981" t="s">
        <v>285</v>
      </c>
      <c r="L981" t="s">
        <v>286</v>
      </c>
      <c r="M981" t="s">
        <v>118</v>
      </c>
    </row>
    <row r="982" spans="1:13" x14ac:dyDescent="0.35">
      <c r="A982" t="s">
        <v>90</v>
      </c>
      <c r="B982" t="s">
        <v>239</v>
      </c>
      <c r="C982" s="14">
        <v>159.99</v>
      </c>
      <c r="D982">
        <v>10</v>
      </c>
      <c r="E982">
        <v>2</v>
      </c>
      <c r="F982" t="s">
        <v>588</v>
      </c>
      <c r="G982" t="s">
        <v>590</v>
      </c>
      <c r="H982">
        <v>17</v>
      </c>
      <c r="I982">
        <v>2024</v>
      </c>
      <c r="J982" s="7">
        <v>0.48884259259259261</v>
      </c>
      <c r="K982" t="s">
        <v>481</v>
      </c>
      <c r="L982" t="s">
        <v>508</v>
      </c>
      <c r="M982" t="s">
        <v>118</v>
      </c>
    </row>
    <row r="983" spans="1:13" x14ac:dyDescent="0.35">
      <c r="A983" t="s">
        <v>97</v>
      </c>
      <c r="B983" t="s">
        <v>1</v>
      </c>
      <c r="C983" s="14">
        <v>160.27000000000001</v>
      </c>
      <c r="D983">
        <v>6</v>
      </c>
      <c r="E983">
        <v>47</v>
      </c>
      <c r="F983" t="s">
        <v>588</v>
      </c>
      <c r="G983" t="s">
        <v>590</v>
      </c>
      <c r="H983">
        <v>23</v>
      </c>
      <c r="I983">
        <v>2024</v>
      </c>
      <c r="J983" s="7">
        <v>0.33427083333333335</v>
      </c>
      <c r="K983" t="s">
        <v>301</v>
      </c>
      <c r="L983" t="s">
        <v>506</v>
      </c>
      <c r="M983" t="s">
        <v>118</v>
      </c>
    </row>
    <row r="984" spans="1:13" x14ac:dyDescent="0.35">
      <c r="A984" t="s">
        <v>70</v>
      </c>
      <c r="B984" t="s">
        <v>1</v>
      </c>
      <c r="C984" s="14">
        <v>160.91</v>
      </c>
      <c r="D984">
        <v>0</v>
      </c>
      <c r="E984">
        <v>386</v>
      </c>
      <c r="F984" t="s">
        <v>588</v>
      </c>
      <c r="G984" t="s">
        <v>590</v>
      </c>
      <c r="H984">
        <v>21</v>
      </c>
      <c r="I984">
        <v>2024</v>
      </c>
      <c r="J984" s="7">
        <v>0.32850694444444445</v>
      </c>
      <c r="K984" t="s">
        <v>290</v>
      </c>
      <c r="L984" t="s">
        <v>506</v>
      </c>
      <c r="M984" t="s">
        <v>118</v>
      </c>
    </row>
    <row r="985" spans="1:13" x14ac:dyDescent="0.35">
      <c r="A985" t="s">
        <v>42</v>
      </c>
      <c r="B985" t="s">
        <v>1</v>
      </c>
      <c r="C985" s="14">
        <v>161.99</v>
      </c>
      <c r="D985">
        <v>3</v>
      </c>
      <c r="E985">
        <v>129</v>
      </c>
      <c r="F985" t="s">
        <v>588</v>
      </c>
      <c r="G985" t="s">
        <v>590</v>
      </c>
      <c r="H985">
        <v>13</v>
      </c>
      <c r="I985">
        <v>2024</v>
      </c>
      <c r="J985" s="7">
        <v>0.44500000000000001</v>
      </c>
      <c r="K985" t="s">
        <v>285</v>
      </c>
      <c r="L985" t="s">
        <v>286</v>
      </c>
      <c r="M985" t="s">
        <v>118</v>
      </c>
    </row>
    <row r="986" spans="1:13" x14ac:dyDescent="0.35">
      <c r="A986" t="s">
        <v>154</v>
      </c>
      <c r="B986" t="s">
        <v>1</v>
      </c>
      <c r="C986" s="14">
        <v>166.18</v>
      </c>
      <c r="D986">
        <v>10</v>
      </c>
      <c r="E986">
        <v>78</v>
      </c>
      <c r="F986" t="s">
        <v>588</v>
      </c>
      <c r="G986" t="s">
        <v>590</v>
      </c>
      <c r="H986">
        <v>22</v>
      </c>
      <c r="I986">
        <v>2024</v>
      </c>
      <c r="J986" s="7">
        <v>0.31569444444444444</v>
      </c>
      <c r="K986" t="s">
        <v>290</v>
      </c>
      <c r="L986" t="s">
        <v>506</v>
      </c>
      <c r="M986" t="s">
        <v>118</v>
      </c>
    </row>
    <row r="987" spans="1:13" x14ac:dyDescent="0.35">
      <c r="A987" t="s">
        <v>50</v>
      </c>
      <c r="B987" t="s">
        <v>1</v>
      </c>
      <c r="C987" s="14">
        <v>169</v>
      </c>
      <c r="D987">
        <v>0</v>
      </c>
      <c r="E987">
        <v>0</v>
      </c>
      <c r="F987" t="s">
        <v>589</v>
      </c>
      <c r="G987" t="s">
        <v>239</v>
      </c>
      <c r="H987">
        <v>0</v>
      </c>
      <c r="I987">
        <v>0</v>
      </c>
      <c r="J987" s="7">
        <v>0</v>
      </c>
      <c r="K987" t="s">
        <v>393</v>
      </c>
      <c r="L987" t="s">
        <v>286</v>
      </c>
      <c r="M987" t="s">
        <v>118</v>
      </c>
    </row>
    <row r="988" spans="1:13" x14ac:dyDescent="0.35">
      <c r="A988" t="s">
        <v>231</v>
      </c>
      <c r="B988" t="s">
        <v>3</v>
      </c>
      <c r="C988" s="14">
        <v>178.99</v>
      </c>
      <c r="D988">
        <v>0</v>
      </c>
      <c r="E988">
        <v>77</v>
      </c>
      <c r="F988" t="s">
        <v>588</v>
      </c>
      <c r="G988" t="s">
        <v>590</v>
      </c>
      <c r="H988">
        <v>22</v>
      </c>
      <c r="I988">
        <v>2024</v>
      </c>
      <c r="J988" s="7">
        <v>0.69252314814814819</v>
      </c>
      <c r="K988" t="s">
        <v>334</v>
      </c>
      <c r="L988" t="s">
        <v>274</v>
      </c>
      <c r="M988" t="s">
        <v>118</v>
      </c>
    </row>
    <row r="989" spans="1:13" x14ac:dyDescent="0.35">
      <c r="A989" t="s">
        <v>219</v>
      </c>
      <c r="B989" t="s">
        <v>1</v>
      </c>
      <c r="C989" s="14">
        <v>179.99</v>
      </c>
      <c r="D989">
        <v>10</v>
      </c>
      <c r="E989">
        <v>5</v>
      </c>
      <c r="F989" t="s">
        <v>588</v>
      </c>
      <c r="G989" t="s">
        <v>590</v>
      </c>
      <c r="H989">
        <v>21</v>
      </c>
      <c r="I989">
        <v>2024</v>
      </c>
      <c r="J989" s="7">
        <v>7.255787037037037E-2</v>
      </c>
      <c r="K989" t="s">
        <v>485</v>
      </c>
      <c r="L989" t="s">
        <v>507</v>
      </c>
      <c r="M989" t="s">
        <v>118</v>
      </c>
    </row>
    <row r="990" spans="1:13" x14ac:dyDescent="0.35">
      <c r="A990" t="s">
        <v>83</v>
      </c>
      <c r="B990" t="s">
        <v>1</v>
      </c>
      <c r="C990" s="14">
        <v>180</v>
      </c>
      <c r="D990">
        <v>0</v>
      </c>
      <c r="E990">
        <v>9</v>
      </c>
      <c r="F990" t="s">
        <v>588</v>
      </c>
      <c r="G990" t="s">
        <v>593</v>
      </c>
      <c r="H990">
        <v>21</v>
      </c>
      <c r="I990">
        <v>2024</v>
      </c>
      <c r="J990" s="7">
        <v>0.67236111111111108</v>
      </c>
      <c r="K990" t="s">
        <v>382</v>
      </c>
      <c r="L990" t="s">
        <v>286</v>
      </c>
      <c r="M990" t="s">
        <v>118</v>
      </c>
    </row>
    <row r="991" spans="1:13" x14ac:dyDescent="0.35">
      <c r="A991" t="s">
        <v>70</v>
      </c>
      <c r="B991" t="s">
        <v>1</v>
      </c>
      <c r="C991" s="14">
        <v>180.17</v>
      </c>
      <c r="D991">
        <v>0</v>
      </c>
      <c r="E991">
        <v>327</v>
      </c>
      <c r="F991" t="s">
        <v>588</v>
      </c>
      <c r="G991" t="s">
        <v>590</v>
      </c>
      <c r="H991">
        <v>24</v>
      </c>
      <c r="I991">
        <v>2024</v>
      </c>
      <c r="J991" s="7">
        <v>0.34459490740740739</v>
      </c>
      <c r="K991" t="s">
        <v>290</v>
      </c>
      <c r="L991" t="s">
        <v>506</v>
      </c>
      <c r="M991" t="s">
        <v>118</v>
      </c>
    </row>
    <row r="992" spans="1:13" x14ac:dyDescent="0.35">
      <c r="A992" t="s">
        <v>62</v>
      </c>
      <c r="B992" t="s">
        <v>1</v>
      </c>
      <c r="C992" s="14">
        <v>181.04</v>
      </c>
      <c r="D992">
        <v>10</v>
      </c>
      <c r="E992">
        <v>30</v>
      </c>
      <c r="F992" t="s">
        <v>588</v>
      </c>
      <c r="G992" t="s">
        <v>590</v>
      </c>
      <c r="H992">
        <v>20</v>
      </c>
      <c r="I992">
        <v>2024</v>
      </c>
      <c r="J992" s="7">
        <v>0.54805555555555552</v>
      </c>
      <c r="K992" t="s">
        <v>118</v>
      </c>
      <c r="L992" t="s">
        <v>267</v>
      </c>
      <c r="M992" t="s">
        <v>118</v>
      </c>
    </row>
    <row r="993" spans="1:13" x14ac:dyDescent="0.35">
      <c r="A993" t="s">
        <v>70</v>
      </c>
      <c r="B993" t="s">
        <v>1</v>
      </c>
      <c r="C993" s="14">
        <v>188.3</v>
      </c>
      <c r="D993">
        <v>0</v>
      </c>
      <c r="E993">
        <v>266</v>
      </c>
      <c r="F993" t="s">
        <v>588</v>
      </c>
      <c r="G993" t="s">
        <v>590</v>
      </c>
      <c r="H993">
        <v>23</v>
      </c>
      <c r="I993">
        <v>2024</v>
      </c>
      <c r="J993" s="7">
        <v>0.99064814814814817</v>
      </c>
      <c r="K993" t="s">
        <v>290</v>
      </c>
      <c r="L993" t="s">
        <v>506</v>
      </c>
      <c r="M993" t="s">
        <v>118</v>
      </c>
    </row>
    <row r="994" spans="1:13" x14ac:dyDescent="0.35">
      <c r="A994" t="s">
        <v>188</v>
      </c>
      <c r="B994" t="s">
        <v>1</v>
      </c>
      <c r="C994" s="14">
        <v>188.99</v>
      </c>
      <c r="D994">
        <v>10</v>
      </c>
      <c r="E994">
        <v>1</v>
      </c>
      <c r="F994" t="s">
        <v>588</v>
      </c>
      <c r="G994" t="s">
        <v>590</v>
      </c>
      <c r="H994">
        <v>5</v>
      </c>
      <c r="I994">
        <v>2024</v>
      </c>
      <c r="J994" s="7">
        <v>0.79861111111111116</v>
      </c>
      <c r="K994" t="s">
        <v>327</v>
      </c>
      <c r="L994" t="s">
        <v>270</v>
      </c>
      <c r="M994" t="s">
        <v>537</v>
      </c>
    </row>
    <row r="995" spans="1:13" x14ac:dyDescent="0.35">
      <c r="A995" t="s">
        <v>31</v>
      </c>
      <c r="B995" t="s">
        <v>1</v>
      </c>
      <c r="C995" s="14">
        <v>189.99</v>
      </c>
      <c r="D995">
        <v>6</v>
      </c>
      <c r="E995">
        <v>32</v>
      </c>
      <c r="F995" t="s">
        <v>588</v>
      </c>
      <c r="G995" t="s">
        <v>590</v>
      </c>
      <c r="H995">
        <v>24</v>
      </c>
      <c r="I995">
        <v>2024</v>
      </c>
      <c r="J995" s="7">
        <v>0.18225694444444446</v>
      </c>
      <c r="K995" t="s">
        <v>331</v>
      </c>
      <c r="L995" t="s">
        <v>505</v>
      </c>
      <c r="M995" t="s">
        <v>118</v>
      </c>
    </row>
    <row r="996" spans="1:13" x14ac:dyDescent="0.35">
      <c r="A996" t="s">
        <v>4</v>
      </c>
      <c r="B996" t="s">
        <v>1</v>
      </c>
      <c r="C996" s="14">
        <v>192</v>
      </c>
      <c r="D996">
        <v>3</v>
      </c>
      <c r="E996">
        <v>37</v>
      </c>
      <c r="F996" t="s">
        <v>588</v>
      </c>
      <c r="G996" t="s">
        <v>590</v>
      </c>
      <c r="H996">
        <v>23</v>
      </c>
      <c r="I996">
        <v>2024</v>
      </c>
      <c r="J996" s="7">
        <v>0.33869212962962963</v>
      </c>
      <c r="K996" t="s">
        <v>441</v>
      </c>
      <c r="L996" t="s">
        <v>442</v>
      </c>
      <c r="M996" t="s">
        <v>118</v>
      </c>
    </row>
    <row r="997" spans="1:13" x14ac:dyDescent="0.35">
      <c r="A997" t="s">
        <v>33</v>
      </c>
      <c r="B997" t="s">
        <v>1</v>
      </c>
      <c r="C997" s="14">
        <v>202.95</v>
      </c>
      <c r="D997">
        <v>0</v>
      </c>
      <c r="E997">
        <v>18</v>
      </c>
      <c r="F997" t="s">
        <v>588</v>
      </c>
      <c r="G997" t="s">
        <v>590</v>
      </c>
      <c r="H997">
        <v>24</v>
      </c>
      <c r="I997">
        <v>2024</v>
      </c>
      <c r="J997" s="7">
        <v>0.3301736111111111</v>
      </c>
      <c r="K997" t="s">
        <v>301</v>
      </c>
      <c r="L997" t="s">
        <v>506</v>
      </c>
      <c r="M997" t="s">
        <v>118</v>
      </c>
    </row>
    <row r="998" spans="1:13" x14ac:dyDescent="0.35">
      <c r="A998" t="s">
        <v>70</v>
      </c>
      <c r="B998" t="s">
        <v>1</v>
      </c>
      <c r="C998" s="14">
        <v>212.89</v>
      </c>
      <c r="D998">
        <v>72</v>
      </c>
      <c r="E998">
        <v>53</v>
      </c>
      <c r="F998" t="s">
        <v>588</v>
      </c>
      <c r="G998" t="s">
        <v>590</v>
      </c>
      <c r="H998">
        <v>24</v>
      </c>
      <c r="I998">
        <v>2024</v>
      </c>
      <c r="J998" s="7">
        <v>0.36842592592592593</v>
      </c>
      <c r="K998" t="s">
        <v>301</v>
      </c>
      <c r="L998" t="s">
        <v>506</v>
      </c>
      <c r="M998" t="s">
        <v>118</v>
      </c>
    </row>
    <row r="999" spans="1:13" x14ac:dyDescent="0.35">
      <c r="A999" t="s">
        <v>10</v>
      </c>
      <c r="B999" t="s">
        <v>1</v>
      </c>
      <c r="C999" s="14">
        <v>239.99</v>
      </c>
      <c r="D999">
        <v>7</v>
      </c>
      <c r="E999">
        <v>14</v>
      </c>
      <c r="F999" t="s">
        <v>588</v>
      </c>
      <c r="G999" t="s">
        <v>590</v>
      </c>
      <c r="H999">
        <v>21</v>
      </c>
      <c r="I999">
        <v>2024</v>
      </c>
      <c r="J999" s="7">
        <v>0.52913194444444445</v>
      </c>
      <c r="K999" t="s">
        <v>322</v>
      </c>
      <c r="L999" t="s">
        <v>282</v>
      </c>
      <c r="M999" t="s">
        <v>118</v>
      </c>
    </row>
    <row r="1000" spans="1:13" x14ac:dyDescent="0.35">
      <c r="A1000" t="s">
        <v>53</v>
      </c>
      <c r="B1000" t="s">
        <v>1</v>
      </c>
      <c r="C1000" s="14">
        <v>250</v>
      </c>
      <c r="D1000">
        <v>0</v>
      </c>
      <c r="E1000">
        <v>0</v>
      </c>
      <c r="F1000" t="s">
        <v>589</v>
      </c>
      <c r="G1000" t="s">
        <v>239</v>
      </c>
      <c r="H1000">
        <v>0</v>
      </c>
      <c r="I1000">
        <v>0</v>
      </c>
      <c r="J1000" s="7">
        <v>0</v>
      </c>
      <c r="K1000" t="s">
        <v>493</v>
      </c>
      <c r="L1000" t="s">
        <v>506</v>
      </c>
      <c r="M1000" t="s">
        <v>118</v>
      </c>
    </row>
    <row r="1001" spans="1:13" x14ac:dyDescent="0.35">
      <c r="A1001" t="s">
        <v>70</v>
      </c>
      <c r="B1001" t="s">
        <v>1</v>
      </c>
      <c r="C1001" s="14">
        <v>259.08999999999997</v>
      </c>
      <c r="D1001">
        <v>3</v>
      </c>
      <c r="E1001">
        <v>456</v>
      </c>
      <c r="F1001" t="s">
        <v>588</v>
      </c>
      <c r="G1001" t="s">
        <v>590</v>
      </c>
      <c r="H1001">
        <v>24</v>
      </c>
      <c r="I1001">
        <v>2024</v>
      </c>
      <c r="J1001" s="7">
        <v>0.35700231481481481</v>
      </c>
      <c r="K1001" t="s">
        <v>301</v>
      </c>
      <c r="L1001" t="s">
        <v>506</v>
      </c>
      <c r="M1001" t="s">
        <v>118</v>
      </c>
    </row>
  </sheetData>
  <phoneticPr fontId="4" type="noConversion"/>
  <conditionalFormatting sqref="C1:C1048576">
    <cfRule type="dataBar" priority="6">
      <dataBar>
        <cfvo type="min"/>
        <cfvo type="max"/>
        <color rgb="FFFF555A"/>
      </dataBar>
      <extLst>
        <ext xmlns:x14="http://schemas.microsoft.com/office/spreadsheetml/2009/9/main" uri="{B025F937-C7B1-47D3-B67F-A62EFF666E3E}">
          <x14:id>{55887151-21C7-4620-89E1-DB78C312C88D}</x14:id>
        </ext>
      </extLst>
    </cfRule>
    <cfRule type="colorScale" priority="7">
      <colorScale>
        <cfvo type="min"/>
        <cfvo type="percentile" val="50"/>
        <cfvo type="max"/>
        <color rgb="FF5A8AC6"/>
        <color rgb="FFFCFCFF"/>
        <color rgb="FFF8696B"/>
      </colorScale>
    </cfRule>
    <cfRule type="cellIs" dxfId="3" priority="8" operator="greaterThan">
      <formula>10</formula>
    </cfRule>
  </conditionalFormatting>
  <conditionalFormatting sqref="C2:C1001">
    <cfRule type="cellIs" dxfId="2" priority="9" operator="greaterThan">
      <formula>100</formula>
    </cfRule>
  </conditionalFormatting>
  <conditionalFormatting sqref="D1:D1001">
    <cfRule type="iconSet" priority="12">
      <iconSet iconSet="4Rating">
        <cfvo type="percent" val="0"/>
        <cfvo type="percent" val="25"/>
        <cfvo type="percent" val="50"/>
        <cfvo type="percent" val="75"/>
      </iconSet>
    </cfRule>
  </conditionalFormatting>
  <conditionalFormatting sqref="E1:E1048576">
    <cfRule type="top10" dxfId="1" priority="1" rank="5"/>
  </conditionalFormatting>
  <conditionalFormatting sqref="E2:E1001">
    <cfRule type="colorScale" priority="11">
      <colorScale>
        <cfvo type="min"/>
        <cfvo type="percentile" val="50"/>
        <cfvo type="max"/>
        <color rgb="FFF8696B"/>
        <color rgb="FFFFEB84"/>
        <color rgb="FF63BE7B"/>
      </colorScale>
    </cfRule>
  </conditionalFormatting>
  <conditionalFormatting sqref="Q8">
    <cfRule type="dataBar" priority="2">
      <dataBar>
        <cfvo type="min"/>
        <cfvo type="max"/>
        <color rgb="FFFF555A"/>
      </dataBar>
      <extLst>
        <ext xmlns:x14="http://schemas.microsoft.com/office/spreadsheetml/2009/9/main" uri="{B025F937-C7B1-47D3-B67F-A62EFF666E3E}">
          <x14:id>{035C349D-0935-478F-9B8D-9C3DD7E9DFE3}</x14:id>
        </ext>
      </extLst>
    </cfRule>
    <cfRule type="colorScale" priority="3">
      <colorScale>
        <cfvo type="min"/>
        <cfvo type="percentile" val="50"/>
        <cfvo type="max"/>
        <color rgb="FF5A8AC6"/>
        <color rgb="FFFCFCFF"/>
        <color rgb="FFF8696B"/>
      </colorScale>
    </cfRule>
    <cfRule type="cellIs" dxfId="0" priority="4" operator="greaterThan">
      <formula>10</formula>
    </cfRule>
  </conditionalFormatting>
  <conditionalFormatting sqref="R8">
    <cfRule type="iconSet" priority="5">
      <iconSet iconSet="4Rating">
        <cfvo type="percent" val="0"/>
        <cfvo type="percent" val="25"/>
        <cfvo type="percent" val="50"/>
        <cfvo type="percent" val="75"/>
      </iconSe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5887151-21C7-4620-89E1-DB78C312C88D}">
            <x14:dataBar minLength="0" maxLength="100" border="1" negativeBarBorderColorSameAsPositive="0">
              <x14:cfvo type="autoMin"/>
              <x14:cfvo type="autoMax"/>
              <x14:borderColor rgb="FFFF555A"/>
              <x14:negativeFillColor rgb="FFFF0000"/>
              <x14:negativeBorderColor rgb="FFFF0000"/>
              <x14:axisColor rgb="FF000000"/>
            </x14:dataBar>
          </x14:cfRule>
          <xm:sqref>C1:C1048576</xm:sqref>
        </x14:conditionalFormatting>
        <x14:conditionalFormatting xmlns:xm="http://schemas.microsoft.com/office/excel/2006/main">
          <x14:cfRule type="dataBar" id="{035C349D-0935-478F-9B8D-9C3DD7E9DFE3}">
            <x14:dataBar minLength="0" maxLength="100" border="1" negativeBarBorderColorSameAsPositive="0">
              <x14:cfvo type="autoMin"/>
              <x14:cfvo type="autoMax"/>
              <x14:borderColor rgb="FFFF555A"/>
              <x14:negativeFillColor rgb="FFFF0000"/>
              <x14:negativeBorderColor rgb="FFFF0000"/>
              <x14:axisColor rgb="FF000000"/>
            </x14:dataBar>
          </x14:cfRule>
          <xm:sqref>Q8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42A69-95D3-4399-8235-E6558B260DFA}">
  <dimension ref="A3:B50"/>
  <sheetViews>
    <sheetView topLeftCell="C1" workbookViewId="0">
      <selection activeCell="B12" sqref="B12"/>
    </sheetView>
  </sheetViews>
  <sheetFormatPr defaultRowHeight="14.5" x14ac:dyDescent="0.35"/>
  <cols>
    <col min="1" max="1" width="24.26953125" bestFit="1" customWidth="1"/>
    <col min="2" max="2" width="10.6328125" bestFit="1" customWidth="1"/>
  </cols>
  <sheetData>
    <row r="3" spans="1:2" x14ac:dyDescent="0.35">
      <c r="A3" s="28" t="s">
        <v>657</v>
      </c>
      <c r="B3" t="s">
        <v>656</v>
      </c>
    </row>
    <row r="4" spans="1:2" x14ac:dyDescent="0.35">
      <c r="A4" s="29" t="s">
        <v>36</v>
      </c>
      <c r="B4">
        <v>381</v>
      </c>
    </row>
    <row r="5" spans="1:2" x14ac:dyDescent="0.35">
      <c r="A5" s="29" t="s">
        <v>80</v>
      </c>
      <c r="B5">
        <v>36</v>
      </c>
    </row>
    <row r="6" spans="1:2" x14ac:dyDescent="0.35">
      <c r="A6" s="29" t="s">
        <v>15</v>
      </c>
      <c r="B6">
        <v>10</v>
      </c>
    </row>
    <row r="7" spans="1:2" x14ac:dyDescent="0.35">
      <c r="A7" s="29" t="s">
        <v>31</v>
      </c>
      <c r="B7">
        <v>44</v>
      </c>
    </row>
    <row r="8" spans="1:2" x14ac:dyDescent="0.35">
      <c r="A8" s="29" t="s">
        <v>39</v>
      </c>
      <c r="B8">
        <v>11</v>
      </c>
    </row>
    <row r="9" spans="1:2" x14ac:dyDescent="0.35">
      <c r="A9" s="29" t="s">
        <v>93</v>
      </c>
      <c r="B9">
        <v>37</v>
      </c>
    </row>
    <row r="10" spans="1:2" x14ac:dyDescent="0.35">
      <c r="A10" s="29" t="s">
        <v>235</v>
      </c>
      <c r="B10">
        <v>35</v>
      </c>
    </row>
    <row r="11" spans="1:2" x14ac:dyDescent="0.35">
      <c r="A11" s="29" t="s">
        <v>240</v>
      </c>
      <c r="B11">
        <v>79</v>
      </c>
    </row>
    <row r="12" spans="1:2" x14ac:dyDescent="0.35">
      <c r="A12" s="29" t="s">
        <v>26</v>
      </c>
      <c r="B12">
        <v>189</v>
      </c>
    </row>
    <row r="13" spans="1:2" x14ac:dyDescent="0.35">
      <c r="A13" s="29" t="s">
        <v>16</v>
      </c>
      <c r="B13">
        <v>17</v>
      </c>
    </row>
    <row r="14" spans="1:2" x14ac:dyDescent="0.35">
      <c r="A14" s="29" t="s">
        <v>94</v>
      </c>
      <c r="B14">
        <v>286</v>
      </c>
    </row>
    <row r="15" spans="1:2" x14ac:dyDescent="0.35">
      <c r="A15" s="29" t="s">
        <v>83</v>
      </c>
      <c r="B15">
        <v>9</v>
      </c>
    </row>
    <row r="16" spans="1:2" x14ac:dyDescent="0.35">
      <c r="A16" s="29" t="s">
        <v>70</v>
      </c>
      <c r="B16">
        <v>30</v>
      </c>
    </row>
    <row r="17" spans="1:2" x14ac:dyDescent="0.35">
      <c r="A17" s="29" t="s">
        <v>155</v>
      </c>
      <c r="B17">
        <v>647</v>
      </c>
    </row>
    <row r="18" spans="1:2" x14ac:dyDescent="0.35">
      <c r="A18" s="29" t="s">
        <v>43</v>
      </c>
      <c r="B18">
        <v>28</v>
      </c>
    </row>
    <row r="19" spans="1:2" x14ac:dyDescent="0.35">
      <c r="A19" s="29" t="s">
        <v>0</v>
      </c>
      <c r="B19">
        <v>28</v>
      </c>
    </row>
    <row r="20" spans="1:2" x14ac:dyDescent="0.35">
      <c r="A20" s="29" t="s">
        <v>17</v>
      </c>
      <c r="B20">
        <v>817</v>
      </c>
    </row>
    <row r="21" spans="1:2" x14ac:dyDescent="0.35">
      <c r="A21" s="29" t="s">
        <v>10</v>
      </c>
      <c r="B21">
        <v>9</v>
      </c>
    </row>
    <row r="22" spans="1:2" x14ac:dyDescent="0.35">
      <c r="A22" s="29" t="s">
        <v>46</v>
      </c>
      <c r="B22">
        <v>16</v>
      </c>
    </row>
    <row r="23" spans="1:2" x14ac:dyDescent="0.35">
      <c r="A23" s="29" t="s">
        <v>37</v>
      </c>
      <c r="B23">
        <v>331</v>
      </c>
    </row>
    <row r="24" spans="1:2" x14ac:dyDescent="0.35">
      <c r="A24" s="29" t="s">
        <v>248</v>
      </c>
      <c r="B24">
        <v>14</v>
      </c>
    </row>
    <row r="25" spans="1:2" x14ac:dyDescent="0.35">
      <c r="A25" s="29" t="s">
        <v>167</v>
      </c>
      <c r="B25">
        <v>24</v>
      </c>
    </row>
    <row r="26" spans="1:2" x14ac:dyDescent="0.35">
      <c r="A26" s="29" t="s">
        <v>215</v>
      </c>
      <c r="B26">
        <v>119</v>
      </c>
    </row>
    <row r="27" spans="1:2" x14ac:dyDescent="0.35">
      <c r="A27" s="29" t="s">
        <v>131</v>
      </c>
      <c r="B27">
        <v>206</v>
      </c>
    </row>
    <row r="28" spans="1:2" x14ac:dyDescent="0.35">
      <c r="A28" s="29" t="s">
        <v>4</v>
      </c>
      <c r="B28">
        <v>28</v>
      </c>
    </row>
    <row r="29" spans="1:2" x14ac:dyDescent="0.35">
      <c r="A29" s="29" t="s">
        <v>112</v>
      </c>
      <c r="B29">
        <v>24</v>
      </c>
    </row>
    <row r="30" spans="1:2" x14ac:dyDescent="0.35">
      <c r="A30" s="29" t="s">
        <v>129</v>
      </c>
      <c r="B30">
        <v>94</v>
      </c>
    </row>
    <row r="31" spans="1:2" x14ac:dyDescent="0.35">
      <c r="A31" s="29" t="s">
        <v>193</v>
      </c>
      <c r="B31">
        <v>157</v>
      </c>
    </row>
    <row r="32" spans="1:2" x14ac:dyDescent="0.35">
      <c r="A32" s="29" t="s">
        <v>133</v>
      </c>
      <c r="B32">
        <v>75</v>
      </c>
    </row>
    <row r="33" spans="1:2" x14ac:dyDescent="0.35">
      <c r="A33" s="29" t="s">
        <v>142</v>
      </c>
      <c r="B33">
        <v>85</v>
      </c>
    </row>
    <row r="34" spans="1:2" x14ac:dyDescent="0.35">
      <c r="A34" s="29" t="s">
        <v>72</v>
      </c>
      <c r="B34">
        <v>397</v>
      </c>
    </row>
    <row r="35" spans="1:2" x14ac:dyDescent="0.35">
      <c r="A35" s="29" t="s">
        <v>128</v>
      </c>
      <c r="B35">
        <v>518</v>
      </c>
    </row>
    <row r="36" spans="1:2" x14ac:dyDescent="0.35">
      <c r="A36" s="29" t="s">
        <v>69</v>
      </c>
      <c r="B36">
        <v>647</v>
      </c>
    </row>
    <row r="37" spans="1:2" x14ac:dyDescent="0.35">
      <c r="A37" s="29" t="s">
        <v>201</v>
      </c>
      <c r="B37">
        <v>122</v>
      </c>
    </row>
    <row r="38" spans="1:2" x14ac:dyDescent="0.35">
      <c r="A38" s="29" t="s">
        <v>140</v>
      </c>
      <c r="B38">
        <v>11</v>
      </c>
    </row>
    <row r="39" spans="1:2" x14ac:dyDescent="0.35">
      <c r="A39" s="29" t="s">
        <v>132</v>
      </c>
      <c r="B39">
        <v>17</v>
      </c>
    </row>
    <row r="40" spans="1:2" x14ac:dyDescent="0.35">
      <c r="A40" s="29" t="s">
        <v>166</v>
      </c>
      <c r="B40">
        <v>75</v>
      </c>
    </row>
    <row r="41" spans="1:2" x14ac:dyDescent="0.35">
      <c r="A41" s="29" t="s">
        <v>13</v>
      </c>
      <c r="B41">
        <v>13</v>
      </c>
    </row>
    <row r="42" spans="1:2" x14ac:dyDescent="0.35">
      <c r="A42" s="29" t="s">
        <v>27</v>
      </c>
      <c r="B42">
        <v>86</v>
      </c>
    </row>
    <row r="43" spans="1:2" x14ac:dyDescent="0.35">
      <c r="A43" s="29" t="s">
        <v>62</v>
      </c>
      <c r="B43">
        <v>29</v>
      </c>
    </row>
    <row r="44" spans="1:2" x14ac:dyDescent="0.35">
      <c r="A44" s="29" t="s">
        <v>9</v>
      </c>
      <c r="B44">
        <v>16</v>
      </c>
    </row>
    <row r="45" spans="1:2" x14ac:dyDescent="0.35">
      <c r="A45" s="29" t="s">
        <v>187</v>
      </c>
      <c r="B45">
        <v>38</v>
      </c>
    </row>
    <row r="46" spans="1:2" x14ac:dyDescent="0.35">
      <c r="A46" s="29" t="s">
        <v>160</v>
      </c>
      <c r="B46">
        <v>1</v>
      </c>
    </row>
    <row r="47" spans="1:2" x14ac:dyDescent="0.35">
      <c r="A47" s="29" t="s">
        <v>2</v>
      </c>
      <c r="B47">
        <v>552</v>
      </c>
    </row>
    <row r="48" spans="1:2" x14ac:dyDescent="0.35">
      <c r="A48" s="29" t="s">
        <v>234</v>
      </c>
      <c r="B48">
        <v>12</v>
      </c>
    </row>
    <row r="49" spans="1:2" x14ac:dyDescent="0.35">
      <c r="A49" s="29" t="s">
        <v>231</v>
      </c>
      <c r="B49">
        <v>88</v>
      </c>
    </row>
    <row r="50" spans="1:2" x14ac:dyDescent="0.35">
      <c r="A50" s="29" t="s">
        <v>655</v>
      </c>
      <c r="B50">
        <v>6488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1D5A3-EB95-4C39-A660-94016D25F0AD}">
  <dimension ref="A3:B5"/>
  <sheetViews>
    <sheetView topLeftCell="E1" workbookViewId="0">
      <selection activeCell="A3" sqref="A3:B11"/>
    </sheetView>
  </sheetViews>
  <sheetFormatPr defaultRowHeight="14.5" x14ac:dyDescent="0.35"/>
  <cols>
    <col min="1" max="1" width="10.7265625" bestFit="1" customWidth="1"/>
    <col min="2" max="2" width="23.54296875" bestFit="1" customWidth="1"/>
  </cols>
  <sheetData>
    <row r="3" spans="1:2" x14ac:dyDescent="0.35">
      <c r="A3" s="28" t="s">
        <v>540</v>
      </c>
      <c r="B3" t="s">
        <v>659</v>
      </c>
    </row>
    <row r="4" spans="1:2" x14ac:dyDescent="0.35">
      <c r="A4" s="29" t="s">
        <v>538</v>
      </c>
      <c r="B4" s="27">
        <v>124.35</v>
      </c>
    </row>
    <row r="5" spans="1:2" x14ac:dyDescent="0.35">
      <c r="A5" s="29" t="s">
        <v>655</v>
      </c>
      <c r="B5" s="27">
        <v>124.35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E9DCB-D6B1-4586-A214-6638FCDF61DD}">
  <dimension ref="A3:C24"/>
  <sheetViews>
    <sheetView topLeftCell="E1" workbookViewId="0">
      <selection activeCell="B3" sqref="B3:D20"/>
    </sheetView>
  </sheetViews>
  <sheetFormatPr defaultRowHeight="14.5" x14ac:dyDescent="0.35"/>
  <cols>
    <col min="1" max="1" width="16" bestFit="1" customWidth="1"/>
    <col min="2" max="2" width="15.81640625" bestFit="1" customWidth="1"/>
    <col min="3" max="3" width="10.7265625" bestFit="1" customWidth="1"/>
    <col min="4" max="4" width="11.81640625" bestFit="1" customWidth="1"/>
  </cols>
  <sheetData>
    <row r="3" spans="1:3" x14ac:dyDescent="0.35">
      <c r="A3" s="28" t="s">
        <v>658</v>
      </c>
      <c r="B3" s="28" t="s">
        <v>565</v>
      </c>
    </row>
    <row r="4" spans="1:3" x14ac:dyDescent="0.35">
      <c r="A4" s="28" t="s">
        <v>661</v>
      </c>
      <c r="B4" t="s">
        <v>588</v>
      </c>
      <c r="C4" t="s">
        <v>655</v>
      </c>
    </row>
    <row r="5" spans="1:3" x14ac:dyDescent="0.35">
      <c r="A5" s="29" t="s">
        <v>150</v>
      </c>
      <c r="B5">
        <v>941.8900000000001</v>
      </c>
      <c r="C5">
        <v>941.8900000000001</v>
      </c>
    </row>
    <row r="6" spans="1:3" x14ac:dyDescent="0.35">
      <c r="A6" s="29" t="s">
        <v>37</v>
      </c>
      <c r="B6">
        <v>21145.140000000003</v>
      </c>
      <c r="C6">
        <v>21145.140000000003</v>
      </c>
    </row>
    <row r="7" spans="1:3" x14ac:dyDescent="0.35">
      <c r="A7" s="29" t="s">
        <v>1</v>
      </c>
      <c r="B7">
        <v>60034.289999999994</v>
      </c>
      <c r="C7">
        <v>60034.289999999994</v>
      </c>
    </row>
    <row r="8" spans="1:3" x14ac:dyDescent="0.35">
      <c r="A8" s="29" t="s">
        <v>3</v>
      </c>
      <c r="B8">
        <v>38480.5</v>
      </c>
      <c r="C8">
        <v>38480.5</v>
      </c>
    </row>
    <row r="9" spans="1:3" x14ac:dyDescent="0.35">
      <c r="A9" s="29" t="s">
        <v>130</v>
      </c>
      <c r="B9">
        <v>939.06000000000006</v>
      </c>
      <c r="C9">
        <v>939.06000000000006</v>
      </c>
    </row>
    <row r="10" spans="1:3" x14ac:dyDescent="0.35">
      <c r="A10" s="29" t="s">
        <v>655</v>
      </c>
      <c r="B10">
        <v>121540.88</v>
      </c>
      <c r="C10">
        <v>121540.88</v>
      </c>
    </row>
    <row r="24" spans="1:1" x14ac:dyDescent="0.35">
      <c r="A24" s="29" t="s">
        <v>664</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2F3CF-1A53-4693-A9FA-CE944843B8FD}">
  <dimension ref="H1:H4"/>
  <sheetViews>
    <sheetView tabSelected="1" topLeftCell="A49" workbookViewId="0">
      <selection activeCell="H50" sqref="H50"/>
    </sheetView>
  </sheetViews>
  <sheetFormatPr defaultRowHeight="14.5" x14ac:dyDescent="0.35"/>
  <cols>
    <col min="1" max="16384" width="8.7265625" style="36"/>
  </cols>
  <sheetData>
    <row r="1" spans="8:8" s="37" customFormat="1" ht="23.5" customHeight="1" x14ac:dyDescent="0.55000000000000004"/>
    <row r="2" spans="8:8" s="37" customFormat="1" ht="23.5" customHeight="1" x14ac:dyDescent="0.55000000000000004"/>
    <row r="3" spans="8:8" s="37" customFormat="1" ht="23.5" customHeight="1" x14ac:dyDescent="0.8">
      <c r="H3" s="38" t="s">
        <v>680</v>
      </c>
    </row>
    <row r="4" spans="8:8" s="37" customFormat="1" ht="23.5" customHeight="1" x14ac:dyDescent="0.5500000000000000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DEC6A-67BC-4379-BE51-2AAA27454F37}">
  <dimension ref="A2:N55"/>
  <sheetViews>
    <sheetView topLeftCell="A22" workbookViewId="0">
      <selection activeCell="K41" sqref="K41"/>
    </sheetView>
  </sheetViews>
  <sheetFormatPr defaultRowHeight="14.5" x14ac:dyDescent="0.35"/>
  <cols>
    <col min="1" max="1" width="31.90625" bestFit="1" customWidth="1"/>
    <col min="2" max="2" width="18.1796875" bestFit="1" customWidth="1"/>
    <col min="3" max="3" width="13.90625" bestFit="1" customWidth="1"/>
    <col min="4" max="5" width="7.81640625" bestFit="1" customWidth="1"/>
    <col min="6" max="6" width="10.7265625" bestFit="1" customWidth="1"/>
    <col min="7" max="8" width="7.81640625" bestFit="1" customWidth="1"/>
    <col min="9" max="9" width="11.81640625" bestFit="1" customWidth="1"/>
    <col min="10" max="10" width="15.54296875" bestFit="1" customWidth="1"/>
    <col min="11" max="11" width="30.7265625" customWidth="1"/>
    <col min="12" max="934" width="15.54296875" bestFit="1" customWidth="1"/>
    <col min="935" max="935" width="10.7265625" bestFit="1" customWidth="1"/>
  </cols>
  <sheetData>
    <row r="2" spans="1:14" x14ac:dyDescent="0.35">
      <c r="A2" s="28" t="s">
        <v>670</v>
      </c>
      <c r="B2" t="s" vm="1">
        <v>665</v>
      </c>
    </row>
    <row r="4" spans="1:14" x14ac:dyDescent="0.35">
      <c r="A4" s="28" t="s">
        <v>658</v>
      </c>
      <c r="B4" s="28" t="s">
        <v>663</v>
      </c>
    </row>
    <row r="5" spans="1:14" x14ac:dyDescent="0.35">
      <c r="B5" t="s">
        <v>333</v>
      </c>
      <c r="C5" t="s">
        <v>118</v>
      </c>
      <c r="F5" t="s">
        <v>655</v>
      </c>
    </row>
    <row r="6" spans="1:14" x14ac:dyDescent="0.35">
      <c r="B6" t="s">
        <v>662</v>
      </c>
      <c r="C6" t="s">
        <v>662</v>
      </c>
      <c r="D6" t="s">
        <v>681</v>
      </c>
      <c r="E6" t="s">
        <v>682</v>
      </c>
      <c r="K6" t="s">
        <v>666</v>
      </c>
    </row>
    <row r="7" spans="1:14" ht="43.5" x14ac:dyDescent="0.35">
      <c r="K7" s="30" t="s">
        <v>667</v>
      </c>
    </row>
    <row r="8" spans="1:14" x14ac:dyDescent="0.35">
      <c r="A8" s="28" t="s">
        <v>657</v>
      </c>
    </row>
    <row r="9" spans="1:14" x14ac:dyDescent="0.35">
      <c r="A9" s="29" t="s">
        <v>36</v>
      </c>
      <c r="C9">
        <v>19046.190000000002</v>
      </c>
      <c r="F9">
        <v>19046.190000000002</v>
      </c>
    </row>
    <row r="10" spans="1:14" x14ac:dyDescent="0.35">
      <c r="A10" s="29" t="s">
        <v>80</v>
      </c>
      <c r="C10">
        <v>1260</v>
      </c>
      <c r="F10">
        <v>1260</v>
      </c>
      <c r="K10" t="s">
        <v>668</v>
      </c>
    </row>
    <row r="11" spans="1:14" x14ac:dyDescent="0.35">
      <c r="A11" s="29" t="s">
        <v>15</v>
      </c>
      <c r="C11">
        <v>850</v>
      </c>
      <c r="F11">
        <v>850</v>
      </c>
      <c r="K11" s="31" t="s">
        <v>669</v>
      </c>
    </row>
    <row r="12" spans="1:14" x14ac:dyDescent="0.35">
      <c r="A12" s="29" t="s">
        <v>31</v>
      </c>
      <c r="C12">
        <v>3079.56</v>
      </c>
      <c r="F12">
        <v>3079.56</v>
      </c>
    </row>
    <row r="13" spans="1:14" x14ac:dyDescent="0.35">
      <c r="A13" s="29" t="s">
        <v>39</v>
      </c>
      <c r="B13">
        <v>769.89</v>
      </c>
      <c r="F13">
        <v>769.89</v>
      </c>
    </row>
    <row r="14" spans="1:14" x14ac:dyDescent="0.35">
      <c r="A14" s="29" t="s">
        <v>93</v>
      </c>
      <c r="C14">
        <v>1905.13</v>
      </c>
      <c r="F14">
        <v>1905.13</v>
      </c>
    </row>
    <row r="15" spans="1:14" x14ac:dyDescent="0.35">
      <c r="A15" s="29" t="s">
        <v>235</v>
      </c>
      <c r="C15">
        <v>2098.9499999999998</v>
      </c>
      <c r="F15">
        <v>2098.9499999999998</v>
      </c>
    </row>
    <row r="16" spans="1:14" x14ac:dyDescent="0.35">
      <c r="A16" s="29" t="s">
        <v>240</v>
      </c>
      <c r="C16">
        <v>2002.9999999999998</v>
      </c>
      <c r="F16">
        <v>2002.9999999999998</v>
      </c>
      <c r="M16" s="33" t="s">
        <v>678</v>
      </c>
      <c r="N16" s="33"/>
    </row>
    <row r="17" spans="1:6" x14ac:dyDescent="0.35">
      <c r="A17" s="29" t="s">
        <v>26</v>
      </c>
      <c r="C17">
        <v>4148.55</v>
      </c>
      <c r="F17">
        <v>4148.55</v>
      </c>
    </row>
    <row r="18" spans="1:6" x14ac:dyDescent="0.35">
      <c r="A18" s="29" t="s">
        <v>16</v>
      </c>
      <c r="C18">
        <v>1121.83</v>
      </c>
      <c r="F18">
        <v>1121.83</v>
      </c>
    </row>
    <row r="19" spans="1:6" x14ac:dyDescent="0.35">
      <c r="A19" s="29" t="s">
        <v>94</v>
      </c>
      <c r="C19">
        <v>6292</v>
      </c>
      <c r="F19">
        <v>6292</v>
      </c>
    </row>
    <row r="20" spans="1:6" x14ac:dyDescent="0.35">
      <c r="A20" s="29" t="s">
        <v>83</v>
      </c>
      <c r="C20">
        <v>1620</v>
      </c>
      <c r="F20">
        <v>1620</v>
      </c>
    </row>
    <row r="21" spans="1:6" x14ac:dyDescent="0.35">
      <c r="A21" s="29" t="s">
        <v>70</v>
      </c>
      <c r="C21">
        <v>478.5</v>
      </c>
      <c r="F21">
        <v>478.5</v>
      </c>
    </row>
    <row r="22" spans="1:6" x14ac:dyDescent="0.35">
      <c r="A22" s="29" t="s">
        <v>155</v>
      </c>
      <c r="C22">
        <v>9698.5300000000007</v>
      </c>
      <c r="F22">
        <v>9698.5300000000007</v>
      </c>
    </row>
    <row r="23" spans="1:6" x14ac:dyDescent="0.35">
      <c r="A23" s="29" t="s">
        <v>43</v>
      </c>
      <c r="C23">
        <v>475.71999999999997</v>
      </c>
      <c r="F23">
        <v>475.71999999999997</v>
      </c>
    </row>
    <row r="24" spans="1:6" x14ac:dyDescent="0.35">
      <c r="A24" s="29" t="s">
        <v>0</v>
      </c>
      <c r="C24">
        <v>1903.7199999999998</v>
      </c>
      <c r="F24">
        <v>1903.7199999999998</v>
      </c>
    </row>
    <row r="25" spans="1:6" x14ac:dyDescent="0.35">
      <c r="A25" s="29" t="s">
        <v>17</v>
      </c>
      <c r="C25">
        <v>8584.5</v>
      </c>
      <c r="F25">
        <v>8584.5</v>
      </c>
    </row>
    <row r="26" spans="1:6" x14ac:dyDescent="0.35">
      <c r="A26" s="29" t="s">
        <v>10</v>
      </c>
      <c r="C26">
        <v>701.91</v>
      </c>
      <c r="F26">
        <v>701.91</v>
      </c>
    </row>
    <row r="27" spans="1:6" x14ac:dyDescent="0.35">
      <c r="A27" s="29" t="s">
        <v>46</v>
      </c>
      <c r="C27">
        <v>320</v>
      </c>
      <c r="F27">
        <v>320</v>
      </c>
    </row>
    <row r="28" spans="1:6" x14ac:dyDescent="0.35">
      <c r="A28" s="29" t="s">
        <v>37</v>
      </c>
      <c r="D28">
        <v>6586.9</v>
      </c>
      <c r="F28">
        <v>6586.9</v>
      </c>
    </row>
    <row r="29" spans="1:6" x14ac:dyDescent="0.35">
      <c r="A29" s="29" t="s">
        <v>248</v>
      </c>
      <c r="C29">
        <v>573.30000000000007</v>
      </c>
      <c r="F29">
        <v>573.30000000000007</v>
      </c>
    </row>
    <row r="30" spans="1:6" x14ac:dyDescent="0.35">
      <c r="A30" s="29" t="s">
        <v>167</v>
      </c>
      <c r="C30">
        <v>419.76</v>
      </c>
      <c r="F30">
        <v>419.76</v>
      </c>
    </row>
    <row r="31" spans="1:6" x14ac:dyDescent="0.35">
      <c r="A31" s="29" t="s">
        <v>215</v>
      </c>
      <c r="C31">
        <v>1749.3</v>
      </c>
      <c r="F31">
        <v>1749.3</v>
      </c>
    </row>
    <row r="32" spans="1:6" x14ac:dyDescent="0.35">
      <c r="A32" s="29" t="s">
        <v>131</v>
      </c>
      <c r="C32">
        <v>3085.88</v>
      </c>
      <c r="F32">
        <v>3085.88</v>
      </c>
    </row>
    <row r="33" spans="1:13" x14ac:dyDescent="0.35">
      <c r="A33" s="29" t="s">
        <v>4</v>
      </c>
      <c r="C33">
        <v>1455.72</v>
      </c>
      <c r="F33">
        <v>1455.72</v>
      </c>
    </row>
    <row r="34" spans="1:13" x14ac:dyDescent="0.35">
      <c r="A34" s="29" t="s">
        <v>112</v>
      </c>
      <c r="C34">
        <v>2279.7599999999998</v>
      </c>
      <c r="F34">
        <v>2279.7599999999998</v>
      </c>
    </row>
    <row r="35" spans="1:13" ht="21" x14ac:dyDescent="0.5">
      <c r="A35" s="29" t="s">
        <v>129</v>
      </c>
      <c r="C35">
        <v>939.06000000000006</v>
      </c>
      <c r="F35">
        <v>939.06000000000006</v>
      </c>
      <c r="L35" s="34"/>
      <c r="M35" s="35" t="s">
        <v>679</v>
      </c>
    </row>
    <row r="36" spans="1:13" x14ac:dyDescent="0.35">
      <c r="A36" s="29" t="s">
        <v>193</v>
      </c>
      <c r="C36">
        <v>7799.43</v>
      </c>
      <c r="F36">
        <v>7799.43</v>
      </c>
    </row>
    <row r="37" spans="1:13" x14ac:dyDescent="0.35">
      <c r="A37" s="29" t="s">
        <v>133</v>
      </c>
      <c r="C37">
        <v>1346.25</v>
      </c>
      <c r="F37">
        <v>1346.25</v>
      </c>
    </row>
    <row r="38" spans="1:13" x14ac:dyDescent="0.35">
      <c r="A38" s="29" t="s">
        <v>142</v>
      </c>
      <c r="C38">
        <v>2366.4</v>
      </c>
      <c r="F38">
        <v>2366.4</v>
      </c>
    </row>
    <row r="39" spans="1:13" x14ac:dyDescent="0.35">
      <c r="A39" s="29" t="s">
        <v>72</v>
      </c>
      <c r="C39">
        <v>12493.59</v>
      </c>
      <c r="F39">
        <v>12493.59</v>
      </c>
    </row>
    <row r="40" spans="1:13" x14ac:dyDescent="0.35">
      <c r="A40" s="29" t="s">
        <v>128</v>
      </c>
      <c r="C40">
        <v>10401.439999999999</v>
      </c>
      <c r="F40">
        <v>10401.439999999999</v>
      </c>
    </row>
    <row r="41" spans="1:13" x14ac:dyDescent="0.35">
      <c r="A41" s="29" t="s">
        <v>69</v>
      </c>
      <c r="C41">
        <v>14848.65</v>
      </c>
      <c r="F41">
        <v>14848.65</v>
      </c>
    </row>
    <row r="42" spans="1:13" x14ac:dyDescent="0.35">
      <c r="A42" s="29" t="s">
        <v>201</v>
      </c>
      <c r="C42">
        <v>2438.7799999999997</v>
      </c>
      <c r="F42">
        <v>2438.7799999999997</v>
      </c>
    </row>
    <row r="43" spans="1:13" x14ac:dyDescent="0.35">
      <c r="A43" s="29" t="s">
        <v>140</v>
      </c>
      <c r="B43">
        <v>439.89000000000004</v>
      </c>
      <c r="F43">
        <v>439.89000000000004</v>
      </c>
    </row>
    <row r="44" spans="1:13" x14ac:dyDescent="0.35">
      <c r="A44" s="29" t="s">
        <v>132</v>
      </c>
      <c r="C44">
        <v>229.5</v>
      </c>
      <c r="F44">
        <v>229.5</v>
      </c>
    </row>
    <row r="45" spans="1:13" x14ac:dyDescent="0.35">
      <c r="A45" s="29" t="s">
        <v>166</v>
      </c>
      <c r="E45">
        <v>2099.25</v>
      </c>
      <c r="F45">
        <v>2099.25</v>
      </c>
    </row>
    <row r="46" spans="1:13" x14ac:dyDescent="0.35">
      <c r="A46" s="29" t="s">
        <v>13</v>
      </c>
      <c r="C46">
        <v>909.86999999999989</v>
      </c>
      <c r="F46">
        <v>909.86999999999989</v>
      </c>
    </row>
    <row r="47" spans="1:13" x14ac:dyDescent="0.35">
      <c r="A47" s="29" t="s">
        <v>27</v>
      </c>
      <c r="C47">
        <v>3003.9400000000005</v>
      </c>
      <c r="F47">
        <v>3003.9400000000005</v>
      </c>
    </row>
    <row r="48" spans="1:13" x14ac:dyDescent="0.35">
      <c r="A48" s="29" t="s">
        <v>62</v>
      </c>
      <c r="C48">
        <v>798.48</v>
      </c>
      <c r="F48">
        <v>798.48</v>
      </c>
    </row>
    <row r="49" spans="1:6" x14ac:dyDescent="0.35">
      <c r="A49" s="29" t="s">
        <v>9</v>
      </c>
      <c r="C49">
        <v>439.91999999999996</v>
      </c>
      <c r="F49">
        <v>439.91999999999996</v>
      </c>
    </row>
    <row r="50" spans="1:6" x14ac:dyDescent="0.35">
      <c r="A50" s="29" t="s">
        <v>187</v>
      </c>
      <c r="C50">
        <v>302.48</v>
      </c>
      <c r="F50">
        <v>302.48</v>
      </c>
    </row>
    <row r="51" spans="1:6" x14ac:dyDescent="0.35">
      <c r="A51" s="29" t="s">
        <v>160</v>
      </c>
      <c r="D51">
        <v>34.99</v>
      </c>
      <c r="F51">
        <v>34.99</v>
      </c>
    </row>
    <row r="52" spans="1:6" x14ac:dyDescent="0.35">
      <c r="A52" s="29" t="s">
        <v>2</v>
      </c>
      <c r="C52">
        <v>1179.7200000000003</v>
      </c>
      <c r="F52">
        <v>1179.7200000000003</v>
      </c>
    </row>
    <row r="53" spans="1:6" x14ac:dyDescent="0.35">
      <c r="A53" s="29" t="s">
        <v>234</v>
      </c>
      <c r="C53">
        <v>599.88</v>
      </c>
      <c r="F53">
        <v>599.88</v>
      </c>
    </row>
    <row r="54" spans="1:6" x14ac:dyDescent="0.35">
      <c r="A54" s="29" t="s">
        <v>231</v>
      </c>
      <c r="C54">
        <v>1443.81</v>
      </c>
      <c r="D54">
        <v>1169.55</v>
      </c>
      <c r="F54">
        <v>2613.3599999999997</v>
      </c>
    </row>
    <row r="55" spans="1:6" x14ac:dyDescent="0.35">
      <c r="A55" s="29" t="s">
        <v>655</v>
      </c>
      <c r="B55">
        <v>1209.78</v>
      </c>
      <c r="C55">
        <v>136693.01</v>
      </c>
      <c r="D55">
        <v>7791.44</v>
      </c>
      <c r="E55">
        <v>2099.25</v>
      </c>
      <c r="F55">
        <v>147793.47999999998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8ED8B-9117-4CFC-8976-367D9E8F6B4D}">
  <dimension ref="A3:B7"/>
  <sheetViews>
    <sheetView workbookViewId="0">
      <selection activeCell="H48" sqref="H48"/>
    </sheetView>
  </sheetViews>
  <sheetFormatPr defaultRowHeight="14.5" x14ac:dyDescent="0.35"/>
  <cols>
    <col min="1" max="1" width="11.81640625" bestFit="1" customWidth="1"/>
    <col min="2" max="2" width="19.81640625" bestFit="1" customWidth="1"/>
  </cols>
  <sheetData>
    <row r="3" spans="1:2" x14ac:dyDescent="0.35">
      <c r="A3" s="28" t="s">
        <v>540</v>
      </c>
      <c r="B3" t="s">
        <v>660</v>
      </c>
    </row>
    <row r="4" spans="1:2" x14ac:dyDescent="0.35">
      <c r="A4" s="29" t="s">
        <v>536</v>
      </c>
      <c r="B4">
        <v>6</v>
      </c>
    </row>
    <row r="5" spans="1:2" x14ac:dyDescent="0.35">
      <c r="A5" s="29" t="s">
        <v>333</v>
      </c>
      <c r="B5">
        <v>10</v>
      </c>
    </row>
    <row r="6" spans="1:2" x14ac:dyDescent="0.35">
      <c r="A6" s="29" t="s">
        <v>118</v>
      </c>
      <c r="B6">
        <v>1688</v>
      </c>
    </row>
    <row r="7" spans="1:2" x14ac:dyDescent="0.35">
      <c r="A7" s="29" t="s">
        <v>655</v>
      </c>
      <c r="B7">
        <v>1704</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type="column" displayEmptyCellsAs="gap" high="1" negative="1" xr2:uid="{0ECC2274-B9CB-431D-B0DF-87D3F5E9CA55}">
          <x14:colorSeries rgb="FF376092"/>
          <x14:colorNegative rgb="FFD00000"/>
          <x14:colorAxis rgb="FF000000"/>
          <x14:colorMarkers rgb="FFD00000"/>
          <x14:colorFirst rgb="FFD00000"/>
          <x14:colorLast rgb="FFD00000"/>
          <x14:colorHigh rgb="FFD00000"/>
          <x14:colorLow rgb="FFD00000"/>
          <x14:sparklines>
            <x14:sparkline>
              <xm:f>'Country vs Available stock'!A3:B3</xm:f>
              <xm:sqref>B3</xm:sqref>
            </x14:sparkline>
            <x14:sparkline>
              <xm:f>'Country vs Available stock'!A4:B4</xm:f>
              <xm:sqref>B4</xm:sqref>
            </x14:sparkline>
            <x14:sparkline>
              <xm:f>'Country vs Available stock'!A5:B5</xm:f>
              <xm:sqref>B5</xm:sqref>
            </x14:sparkline>
            <x14:sparkline>
              <xm:f>'Country vs Available stock'!A6:B6</xm:f>
              <xm:sqref>B6</xm:sqref>
            </x14:sparkline>
            <x14:sparkline>
              <xm:f>'Country vs Available stock'!A7:B7</xm:f>
              <xm:sqref>B7</xm:sqref>
            </x14:sparkline>
            <x14:sparkline>
              <xm:f>'Country vs Available stock'!A8:B8</xm:f>
              <xm:sqref>B8</xm:sqref>
            </x14:sparkline>
            <x14:sparkline>
              <xm:f>'Country vs Available stock'!A9:B9</xm:f>
              <xm:sqref>B9</xm:sqref>
            </x14:sparkline>
            <x14:sparkline>
              <xm:f>'Country vs Available stock'!A10:B10</xm:f>
              <xm:sqref>B10</xm:sqref>
            </x14:sparkline>
            <x14:sparkline>
              <xm:f>'Country vs Available stock'!A11:B11</xm:f>
              <xm:sqref>B11</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8AB81-0CEF-4270-9508-06A4E7FD663D}">
  <dimension ref="A3:B9"/>
  <sheetViews>
    <sheetView workbookViewId="0">
      <selection activeCell="M19" sqref="M19"/>
    </sheetView>
  </sheetViews>
  <sheetFormatPr defaultRowHeight="14.5" x14ac:dyDescent="0.35"/>
  <cols>
    <col min="1" max="1" width="10.7265625" bestFit="1" customWidth="1"/>
    <col min="2" max="2" width="17.54296875" bestFit="1" customWidth="1"/>
  </cols>
  <sheetData>
    <row r="3" spans="1:2" x14ac:dyDescent="0.35">
      <c r="A3" s="28" t="s">
        <v>672</v>
      </c>
      <c r="B3" t="s">
        <v>671</v>
      </c>
    </row>
    <row r="4" spans="1:2" x14ac:dyDescent="0.35">
      <c r="A4" s="29" t="s">
        <v>594</v>
      </c>
      <c r="B4">
        <v>4098.5650000000005</v>
      </c>
    </row>
    <row r="5" spans="1:2" x14ac:dyDescent="0.35">
      <c r="A5" s="29" t="s">
        <v>593</v>
      </c>
      <c r="B5">
        <v>2146.962857142857</v>
      </c>
    </row>
    <row r="6" spans="1:2" x14ac:dyDescent="0.35">
      <c r="A6" s="29" t="s">
        <v>591</v>
      </c>
      <c r="B6">
        <v>2826.532093023256</v>
      </c>
    </row>
    <row r="7" spans="1:2" x14ac:dyDescent="0.35">
      <c r="A7" s="29" t="s">
        <v>595</v>
      </c>
      <c r="B7">
        <v>1169.55</v>
      </c>
    </row>
    <row r="8" spans="1:2" x14ac:dyDescent="0.35">
      <c r="A8" s="29" t="s">
        <v>596</v>
      </c>
      <c r="B8">
        <v>2907.0466666666666</v>
      </c>
    </row>
    <row r="9" spans="1:2" x14ac:dyDescent="0.35">
      <c r="A9" s="29" t="s">
        <v>655</v>
      </c>
      <c r="B9">
        <v>2761.7400000000002</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markers="1" high="1" xr2:uid="{28685BBB-3BA4-4EA3-987E-3FB9DF2B7EC4}">
          <x14:colorSeries rgb="FF323232"/>
          <x14:colorNegative rgb="FFD00000"/>
          <x14:colorAxis rgb="FF000000"/>
          <x14:colorMarkers rgb="FFD00000"/>
          <x14:colorFirst rgb="FFD00000"/>
          <x14:colorLast rgb="FFD00000"/>
          <x14:colorHigh rgb="FFD00000"/>
          <x14:colorLow rgb="FFD00000"/>
          <x14:sparklines>
            <x14:sparkline>
              <xm:f>'Month vs revenue'!A3:B3</xm:f>
              <xm:sqref>C3</xm:sqref>
            </x14:sparkline>
            <x14:sparkline>
              <xm:f>'Month vs revenue'!A4:B4</xm:f>
              <xm:sqref>C4</xm:sqref>
            </x14:sparkline>
            <x14:sparkline>
              <xm:f>'Month vs revenue'!A5:B5</xm:f>
              <xm:sqref>C5</xm:sqref>
            </x14:sparkline>
            <x14:sparkline>
              <xm:f>'Month vs revenue'!A6:B6</xm:f>
              <xm:sqref>C6</xm:sqref>
            </x14:sparkline>
            <x14:sparkline>
              <xm:f>'Month vs revenue'!A7:B7</xm:f>
              <xm:sqref>C7</xm:sqref>
            </x14:sparkline>
            <x14:sparkline>
              <xm:f>'Month vs revenue'!A8:B8</xm:f>
              <xm:sqref>C8</xm:sqref>
            </x14:sparkline>
            <x14:sparkline>
              <xm:f>'Month vs revenue'!A9:B9</xm:f>
              <xm:sqref>C9</xm:sqref>
            </x14:sparkline>
            <x14:sparkline>
              <xm:f>'Month vs revenue'!A10:B10</xm:f>
              <xm:sqref>C10</xm:sqref>
            </x14:sparkline>
            <x14:sparkline>
              <xm:f>'Month vs revenue'!A11:B11</xm:f>
              <xm:sqref>C11</xm:sqref>
            </x14:sparkline>
          </x14:sparklines>
        </x14:sparklineGroup>
      </x14:sparklineGroups>
    </ex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topLeftCell="C1" workbookViewId="0">
      <selection activeCell="D1" sqref="D1:F1048576"/>
    </sheetView>
  </sheetViews>
  <sheetFormatPr defaultRowHeight="14.5" x14ac:dyDescent="0.35"/>
  <cols>
    <col min="1" max="1" width="20.453125" style="4" customWidth="1"/>
    <col min="2" max="2" width="19.453125" customWidth="1"/>
    <col min="3" max="3" width="17.36328125" customWidth="1"/>
    <col min="4" max="4" width="14.453125" customWidth="1"/>
    <col min="5" max="5" width="12.453125" customWidth="1"/>
    <col min="6" max="6" width="25.54296875" style="12" customWidth="1"/>
    <col min="7" max="7" width="15.36328125" customWidth="1"/>
    <col min="8" max="8" width="20.90625" customWidth="1"/>
    <col min="9" max="9" width="23.26953125" customWidth="1"/>
    <col min="10" max="10" width="16.81640625" customWidth="1"/>
    <col min="11" max="11" width="48" customWidth="1"/>
    <col min="12" max="12" width="41.7265625" customWidth="1"/>
    <col min="13" max="13" width="32.6328125" customWidth="1"/>
  </cols>
  <sheetData>
    <row r="1" spans="1:15" x14ac:dyDescent="0.35">
      <c r="A1" t="s">
        <v>263</v>
      </c>
      <c r="B1" t="s">
        <v>170</v>
      </c>
      <c r="C1" s="4" t="s">
        <v>171</v>
      </c>
      <c r="D1" t="s">
        <v>264</v>
      </c>
      <c r="E1" t="s">
        <v>172</v>
      </c>
      <c r="F1" t="s">
        <v>654</v>
      </c>
      <c r="G1" t="s">
        <v>565</v>
      </c>
      <c r="H1" s="12" t="s">
        <v>173</v>
      </c>
      <c r="I1" t="s">
        <v>169</v>
      </c>
      <c r="J1" t="s">
        <v>539</v>
      </c>
      <c r="K1" t="s">
        <v>540</v>
      </c>
    </row>
    <row r="2" spans="1:15" x14ac:dyDescent="0.35">
      <c r="A2" t="s">
        <v>10</v>
      </c>
      <c r="B2" t="s">
        <v>3</v>
      </c>
      <c r="C2" s="27">
        <v>54.99</v>
      </c>
      <c r="D2">
        <v>0</v>
      </c>
      <c r="E2">
        <v>45</v>
      </c>
      <c r="F2" s="4">
        <f t="shared" ref="F2:F65" si="0">C:C*E:E</f>
        <v>2474.5500000000002</v>
      </c>
      <c r="G2" t="str">
        <f>IF(Table2[[#This Row],[Sold]]&gt;1000,"High Quality","Normal Quality")</f>
        <v>Normal Quality</v>
      </c>
      <c r="H2" s="12">
        <v>44854.768217592595</v>
      </c>
      <c r="I2" t="s">
        <v>502</v>
      </c>
      <c r="J2" t="s">
        <v>274</v>
      </c>
      <c r="K2" t="s">
        <v>118</v>
      </c>
    </row>
    <row r="3" spans="1:15" x14ac:dyDescent="0.35">
      <c r="A3" t="s">
        <v>166</v>
      </c>
      <c r="B3" t="s">
        <v>3</v>
      </c>
      <c r="C3" s="27">
        <v>27.99</v>
      </c>
      <c r="D3">
        <v>0</v>
      </c>
      <c r="E3">
        <v>75</v>
      </c>
      <c r="F3" s="4">
        <f t="shared" si="0"/>
        <v>2099.25</v>
      </c>
      <c r="G3" t="str">
        <f>IF(Table2[[#This Row],[Sold]]&gt;1000,"High Quality","Normal Quality")</f>
        <v>Normal Quality</v>
      </c>
      <c r="H3" s="12">
        <v>44867.12709490741</v>
      </c>
      <c r="I3" t="s">
        <v>301</v>
      </c>
      <c r="J3" t="s">
        <v>506</v>
      </c>
      <c r="K3" t="s">
        <v>118</v>
      </c>
    </row>
    <row r="4" spans="1:15" ht="28.5" x14ac:dyDescent="0.65">
      <c r="A4" t="s">
        <v>231</v>
      </c>
      <c r="B4" t="s">
        <v>3</v>
      </c>
      <c r="C4" s="27">
        <v>16.95</v>
      </c>
      <c r="D4">
        <v>8</v>
      </c>
      <c r="E4">
        <v>69</v>
      </c>
      <c r="F4" s="4">
        <f t="shared" si="0"/>
        <v>1169.55</v>
      </c>
      <c r="G4" t="str">
        <f>IF(Table2[[#This Row],[Sold]]&gt;1000,"High Quality","Normal Quality")</f>
        <v>Normal Quality</v>
      </c>
      <c r="H4" s="12">
        <v>45184.272905092592</v>
      </c>
      <c r="I4" t="s">
        <v>372</v>
      </c>
      <c r="J4" t="s">
        <v>274</v>
      </c>
      <c r="K4" t="s">
        <v>118</v>
      </c>
      <c r="M4" s="5" t="s">
        <v>225</v>
      </c>
      <c r="N4" t="s">
        <v>224</v>
      </c>
    </row>
    <row r="5" spans="1:15" x14ac:dyDescent="0.35">
      <c r="A5" t="s">
        <v>160</v>
      </c>
      <c r="B5" t="s">
        <v>37</v>
      </c>
      <c r="C5" s="27">
        <v>34.99</v>
      </c>
      <c r="D5">
        <v>8</v>
      </c>
      <c r="E5">
        <v>1</v>
      </c>
      <c r="F5" s="4">
        <f t="shared" si="0"/>
        <v>34.99</v>
      </c>
      <c r="G5" t="str">
        <f>IF(Table2[[#This Row],[Sold]]&gt;1000,"High Quality","Normal Quality")</f>
        <v>Normal Quality</v>
      </c>
      <c r="H5" s="12">
        <v>45242.512731481482</v>
      </c>
      <c r="I5" t="s">
        <v>501</v>
      </c>
      <c r="J5" t="s">
        <v>266</v>
      </c>
      <c r="K5" t="s">
        <v>118</v>
      </c>
    </row>
    <row r="6" spans="1:15" x14ac:dyDescent="0.35">
      <c r="A6" t="s">
        <v>37</v>
      </c>
      <c r="B6" t="s">
        <v>1</v>
      </c>
      <c r="C6" s="27">
        <v>19.899999999999999</v>
      </c>
      <c r="D6">
        <v>0</v>
      </c>
      <c r="E6">
        <v>331</v>
      </c>
      <c r="F6" s="4">
        <f t="shared" si="0"/>
        <v>6586.9</v>
      </c>
      <c r="G6" t="str">
        <f>IF(Table2[[#This Row],[Sold]]&gt;1000,"High Quality","Normal Quality")</f>
        <v>Normal Quality</v>
      </c>
      <c r="H6" s="12">
        <v>45251.356192129628</v>
      </c>
      <c r="I6" t="s">
        <v>533</v>
      </c>
      <c r="J6" t="s">
        <v>505</v>
      </c>
      <c r="K6" t="s">
        <v>118</v>
      </c>
    </row>
    <row r="7" spans="1:15" x14ac:dyDescent="0.35">
      <c r="A7" t="s">
        <v>93</v>
      </c>
      <c r="B7" t="s">
        <v>37</v>
      </c>
      <c r="C7" s="27">
        <v>51.49</v>
      </c>
      <c r="D7">
        <v>6</v>
      </c>
      <c r="E7">
        <v>37</v>
      </c>
      <c r="F7" s="4">
        <f t="shared" si="0"/>
        <v>1905.13</v>
      </c>
      <c r="G7" t="str">
        <f>IF(Table2[[#This Row],[Sold]]&gt;1000,"High Quality","Normal Quality")</f>
        <v>Normal Quality</v>
      </c>
      <c r="H7" s="12">
        <v>45299.735439814816</v>
      </c>
      <c r="I7" t="s">
        <v>469</v>
      </c>
      <c r="J7" t="s">
        <v>470</v>
      </c>
      <c r="K7" t="s">
        <v>118</v>
      </c>
      <c r="M7" t="s">
        <v>559</v>
      </c>
      <c r="N7" t="s">
        <v>186</v>
      </c>
      <c r="O7" t="s">
        <v>174</v>
      </c>
    </row>
    <row r="8" spans="1:15" x14ac:dyDescent="0.35">
      <c r="A8" t="s">
        <v>94</v>
      </c>
      <c r="B8" t="s">
        <v>3</v>
      </c>
      <c r="C8" s="27">
        <v>22</v>
      </c>
      <c r="D8">
        <v>10</v>
      </c>
      <c r="E8">
        <v>286</v>
      </c>
      <c r="F8" s="4">
        <f t="shared" si="0"/>
        <v>6292</v>
      </c>
      <c r="G8" t="str">
        <f>IF(Table2[[#This Row],[Sold]]&gt;1000,"High Quality","Normal Quality")</f>
        <v>Normal Quality</v>
      </c>
      <c r="H8" s="12">
        <v>45301.596666666665</v>
      </c>
      <c r="I8" t="s">
        <v>514</v>
      </c>
      <c r="J8" t="s">
        <v>505</v>
      </c>
      <c r="K8" t="s">
        <v>118</v>
      </c>
      <c r="M8" t="s">
        <v>175</v>
      </c>
      <c r="N8" t="s">
        <v>181</v>
      </c>
      <c r="O8" s="1">
        <f>SUM(B:B)</f>
        <v>0</v>
      </c>
    </row>
    <row r="9" spans="1:15" x14ac:dyDescent="0.35">
      <c r="A9" t="s">
        <v>193</v>
      </c>
      <c r="B9" t="s">
        <v>3</v>
      </c>
      <c r="C9" s="27">
        <v>39.99</v>
      </c>
      <c r="D9">
        <v>3</v>
      </c>
      <c r="E9">
        <v>40</v>
      </c>
      <c r="F9" s="4">
        <f t="shared" si="0"/>
        <v>1599.6000000000001</v>
      </c>
      <c r="G9" t="str">
        <f>IF(Table2[[#This Row],[Sold]]&gt;1000,"High Quality","Normal Quality")</f>
        <v>Normal Quality</v>
      </c>
      <c r="H9" s="12">
        <v>45330.446261574078</v>
      </c>
      <c r="I9" t="s">
        <v>285</v>
      </c>
      <c r="J9" t="s">
        <v>286</v>
      </c>
      <c r="K9" t="s">
        <v>118</v>
      </c>
      <c r="M9" t="s">
        <v>176</v>
      </c>
      <c r="N9" t="s">
        <v>182</v>
      </c>
      <c r="O9">
        <f>AVERAGE(D:D)</f>
        <v>18.306999999999999</v>
      </c>
    </row>
    <row r="10" spans="1:15" x14ac:dyDescent="0.35">
      <c r="A10" t="s">
        <v>155</v>
      </c>
      <c r="B10" t="s">
        <v>37</v>
      </c>
      <c r="C10" s="27">
        <v>14.99</v>
      </c>
      <c r="D10">
        <v>9</v>
      </c>
      <c r="E10">
        <v>647</v>
      </c>
      <c r="F10" s="4">
        <f t="shared" si="0"/>
        <v>9698.5300000000007</v>
      </c>
      <c r="G10" t="str">
        <f>IF(Table2[[#This Row],[Sold]]&gt;1000,"High Quality","Normal Quality")</f>
        <v>Normal Quality</v>
      </c>
      <c r="H10" s="12">
        <v>45338.856631944444</v>
      </c>
      <c r="I10" t="s">
        <v>382</v>
      </c>
      <c r="J10" t="s">
        <v>286</v>
      </c>
      <c r="K10" t="s">
        <v>118</v>
      </c>
      <c r="M10" t="s">
        <v>177</v>
      </c>
      <c r="N10" t="s">
        <v>183</v>
      </c>
      <c r="O10" s="1">
        <f>MIN(D:D)</f>
        <v>0</v>
      </c>
    </row>
    <row r="11" spans="1:15" x14ac:dyDescent="0.35">
      <c r="A11" t="s">
        <v>83</v>
      </c>
      <c r="B11" t="s">
        <v>1</v>
      </c>
      <c r="C11" s="27">
        <v>180</v>
      </c>
      <c r="D11">
        <v>0</v>
      </c>
      <c r="E11">
        <v>9</v>
      </c>
      <c r="F11" s="4">
        <f t="shared" si="0"/>
        <v>1620</v>
      </c>
      <c r="G11" t="str">
        <f>IF(Table2[[#This Row],[Sold]]&gt;1000,"High Quality","Normal Quality")</f>
        <v>Normal Quality</v>
      </c>
      <c r="H11" s="12">
        <v>45343.672361111108</v>
      </c>
      <c r="I11" t="s">
        <v>382</v>
      </c>
      <c r="J11" t="s">
        <v>286</v>
      </c>
      <c r="K11" t="s">
        <v>118</v>
      </c>
      <c r="M11" t="s">
        <v>178</v>
      </c>
      <c r="N11" t="s">
        <v>558</v>
      </c>
      <c r="O11" s="3">
        <f>MAX(B:B)</f>
        <v>0</v>
      </c>
    </row>
    <row r="12" spans="1:15" x14ac:dyDescent="0.35">
      <c r="A12" t="s">
        <v>187</v>
      </c>
      <c r="B12" t="s">
        <v>1</v>
      </c>
      <c r="C12" s="27">
        <v>7.96</v>
      </c>
      <c r="D12">
        <v>10</v>
      </c>
      <c r="E12">
        <v>38</v>
      </c>
      <c r="F12" s="4">
        <f t="shared" si="0"/>
        <v>302.48</v>
      </c>
      <c r="G12" t="str">
        <f>IF(Table2[[#This Row],[Sold]]&gt;1000,"High Quality","Normal Quality")</f>
        <v>Normal Quality</v>
      </c>
      <c r="H12" s="12">
        <v>45344.089502314811</v>
      </c>
      <c r="I12" t="s">
        <v>281</v>
      </c>
      <c r="J12" t="s">
        <v>282</v>
      </c>
      <c r="K12" t="s">
        <v>118</v>
      </c>
      <c r="M12" t="s">
        <v>179</v>
      </c>
      <c r="N12" t="s">
        <v>184</v>
      </c>
      <c r="O12" s="2">
        <f>COUNT(B:B)</f>
        <v>0</v>
      </c>
    </row>
    <row r="13" spans="1:15" x14ac:dyDescent="0.35">
      <c r="A13" t="s">
        <v>70</v>
      </c>
      <c r="B13" t="s">
        <v>1</v>
      </c>
      <c r="C13" s="27">
        <v>15.95</v>
      </c>
      <c r="D13">
        <v>3</v>
      </c>
      <c r="E13">
        <v>30</v>
      </c>
      <c r="F13" s="4">
        <f t="shared" si="0"/>
        <v>478.5</v>
      </c>
      <c r="G13" t="str">
        <f>IF(Table2[[#This Row],[Sold]]&gt;1000,"High Quality","Normal Quality")</f>
        <v>Normal Quality</v>
      </c>
      <c r="H13" s="12">
        <v>45348.523125</v>
      </c>
      <c r="I13" t="s">
        <v>517</v>
      </c>
      <c r="J13" t="s">
        <v>282</v>
      </c>
      <c r="K13" t="s">
        <v>118</v>
      </c>
      <c r="M13" t="s">
        <v>180</v>
      </c>
      <c r="N13" t="s">
        <v>185</v>
      </c>
      <c r="O13">
        <f>COUNTA(G:G)</f>
        <v>1001</v>
      </c>
    </row>
    <row r="14" spans="1:15" x14ac:dyDescent="0.35">
      <c r="A14" t="s">
        <v>13</v>
      </c>
      <c r="B14" t="s">
        <v>1</v>
      </c>
      <c r="C14" s="27">
        <v>69.989999999999995</v>
      </c>
      <c r="D14">
        <v>10</v>
      </c>
      <c r="E14">
        <v>13</v>
      </c>
      <c r="F14" s="4">
        <f t="shared" si="0"/>
        <v>909.86999999999989</v>
      </c>
      <c r="G14" t="str">
        <f>IF(Table2[[#This Row],[Sold]]&gt;1000,"High Quality","Normal Quality")</f>
        <v>Normal Quality</v>
      </c>
      <c r="H14" s="12">
        <v>45350.310347222221</v>
      </c>
      <c r="I14" t="s">
        <v>524</v>
      </c>
      <c r="J14" t="s">
        <v>506</v>
      </c>
      <c r="K14" t="s">
        <v>118</v>
      </c>
      <c r="O14" s="1"/>
    </row>
    <row r="15" spans="1:15" x14ac:dyDescent="0.35">
      <c r="A15" t="s">
        <v>167</v>
      </c>
      <c r="B15" t="s">
        <v>37</v>
      </c>
      <c r="C15" s="27">
        <v>17.489999999999998</v>
      </c>
      <c r="D15">
        <v>0</v>
      </c>
      <c r="E15">
        <v>24</v>
      </c>
      <c r="F15" s="4">
        <f t="shared" si="0"/>
        <v>419.76</v>
      </c>
      <c r="G15" t="str">
        <f>IF(Table2[[#This Row],[Sold]]&gt;1000,"High Quality","Normal Quality")</f>
        <v>Normal Quality</v>
      </c>
      <c r="H15" s="12">
        <v>45350.310428240744</v>
      </c>
      <c r="I15" t="s">
        <v>524</v>
      </c>
      <c r="J15" t="s">
        <v>506</v>
      </c>
      <c r="K15" t="s">
        <v>118</v>
      </c>
      <c r="O15" s="1"/>
    </row>
    <row r="16" spans="1:15" x14ac:dyDescent="0.35">
      <c r="A16" t="s">
        <v>38</v>
      </c>
      <c r="B16" t="s">
        <v>1</v>
      </c>
      <c r="C16" s="27">
        <v>39.950000000000003</v>
      </c>
      <c r="D16">
        <v>2</v>
      </c>
      <c r="E16">
        <v>5</v>
      </c>
      <c r="F16" s="4">
        <f t="shared" si="0"/>
        <v>199.75</v>
      </c>
      <c r="G16" t="str">
        <f>IF(Table2[[#This Row],[Sold]]&gt;1000,"High Quality","Normal Quality")</f>
        <v>Normal Quality</v>
      </c>
      <c r="H16" s="12">
        <v>45352.414548611108</v>
      </c>
      <c r="I16" t="s">
        <v>471</v>
      </c>
      <c r="J16" t="s">
        <v>505</v>
      </c>
      <c r="K16" t="s">
        <v>118</v>
      </c>
      <c r="M16" t="s">
        <v>560</v>
      </c>
      <c r="N16" t="s">
        <v>186</v>
      </c>
      <c r="O16" s="1" t="s">
        <v>174</v>
      </c>
    </row>
    <row r="17" spans="1:15" x14ac:dyDescent="0.35">
      <c r="A17" t="s">
        <v>13</v>
      </c>
      <c r="B17" t="s">
        <v>3</v>
      </c>
      <c r="C17" s="27">
        <v>18.989999999999998</v>
      </c>
      <c r="D17">
        <v>10</v>
      </c>
      <c r="E17">
        <v>38</v>
      </c>
      <c r="F17" s="4">
        <f>C:C*E:E</f>
        <v>721.61999999999989</v>
      </c>
      <c r="G17" t="str">
        <f>IF(Table2[[#This Row],[Sold]]&gt;1000,"High Quality","Normal Quality")</f>
        <v>Normal Quality</v>
      </c>
      <c r="H17" s="12">
        <v>45352.486273148148</v>
      </c>
      <c r="I17" t="s">
        <v>509</v>
      </c>
      <c r="J17" t="s">
        <v>505</v>
      </c>
      <c r="K17" t="s">
        <v>118</v>
      </c>
      <c r="M17" t="s">
        <v>561</v>
      </c>
      <c r="N17" t="s">
        <v>568</v>
      </c>
      <c r="O17" s="1">
        <f>SUMIF(A:A,"Eau De Toilette",B:B)</f>
        <v>0</v>
      </c>
    </row>
    <row r="18" spans="1:15" x14ac:dyDescent="0.35">
      <c r="A18" t="s">
        <v>27</v>
      </c>
      <c r="B18" t="s">
        <v>1</v>
      </c>
      <c r="C18" s="27">
        <v>103.2</v>
      </c>
      <c r="D18">
        <v>54</v>
      </c>
      <c r="E18">
        <v>5</v>
      </c>
      <c r="F18" s="4">
        <f t="shared" si="0"/>
        <v>516</v>
      </c>
      <c r="G18" t="str">
        <f>IF(Table2[[#This Row],[Sold]]&gt;1000,"High Quality","Normal Quality")</f>
        <v>Normal Quality</v>
      </c>
      <c r="H18" s="12">
        <v>45352.632581018515</v>
      </c>
      <c r="I18" t="s">
        <v>395</v>
      </c>
      <c r="J18" t="s">
        <v>396</v>
      </c>
      <c r="K18" t="s">
        <v>118</v>
      </c>
      <c r="M18" t="s">
        <v>562</v>
      </c>
      <c r="N18" t="s">
        <v>569</v>
      </c>
      <c r="O18">
        <f>COUNTIF(A:A,"Eau de Parfum")</f>
        <v>3</v>
      </c>
    </row>
    <row r="19" spans="1:15" x14ac:dyDescent="0.35">
      <c r="A19" t="s">
        <v>256</v>
      </c>
      <c r="B19" t="s">
        <v>3</v>
      </c>
      <c r="C19" s="27">
        <v>49.99</v>
      </c>
      <c r="D19">
        <v>10</v>
      </c>
      <c r="E19">
        <v>19</v>
      </c>
      <c r="F19" s="4">
        <f t="shared" si="0"/>
        <v>949.81000000000006</v>
      </c>
      <c r="G19" t="str">
        <f>IF(Table2[[#This Row],[Sold]]&gt;1000,"High Quality","Normal Quality")</f>
        <v>Normal Quality</v>
      </c>
      <c r="H19" s="12">
        <v>45352.973055555558</v>
      </c>
      <c r="I19" t="s">
        <v>548</v>
      </c>
      <c r="J19" t="s">
        <v>283</v>
      </c>
      <c r="K19" t="s">
        <v>118</v>
      </c>
      <c r="M19" t="s">
        <v>563</v>
      </c>
      <c r="N19" t="s">
        <v>570</v>
      </c>
      <c r="O19">
        <f>AVERAGEIF(Table2[[ Brand Name]],"Dior",Table2[Sold])</f>
        <v>275.18181818181819</v>
      </c>
    </row>
    <row r="20" spans="1:15" x14ac:dyDescent="0.35">
      <c r="A20" t="s">
        <v>86</v>
      </c>
      <c r="B20" t="s">
        <v>3</v>
      </c>
      <c r="C20" s="27">
        <v>24.55</v>
      </c>
      <c r="D20">
        <v>10</v>
      </c>
      <c r="E20">
        <v>433</v>
      </c>
      <c r="F20" s="4">
        <f t="shared" si="0"/>
        <v>10630.15</v>
      </c>
      <c r="G20" t="str">
        <f>IF(Table2[[#This Row],[Sold]]&gt;1000,"High Quality","Normal Quality")</f>
        <v>Normal Quality</v>
      </c>
      <c r="H20" s="12">
        <v>45353.062893518516</v>
      </c>
      <c r="I20" t="s">
        <v>291</v>
      </c>
      <c r="J20" t="s">
        <v>274</v>
      </c>
      <c r="K20" t="s">
        <v>118</v>
      </c>
      <c r="M20" t="s">
        <v>564</v>
      </c>
      <c r="N20" t="s">
        <v>566</v>
      </c>
      <c r="O20" s="1" t="s">
        <v>567</v>
      </c>
    </row>
    <row r="21" spans="1:15" x14ac:dyDescent="0.35">
      <c r="A21" t="s">
        <v>133</v>
      </c>
      <c r="B21" t="s">
        <v>1</v>
      </c>
      <c r="C21" s="27">
        <v>65.37</v>
      </c>
      <c r="D21">
        <v>4</v>
      </c>
      <c r="E21">
        <v>87</v>
      </c>
      <c r="F21" s="4">
        <f t="shared" si="0"/>
        <v>5687.1900000000005</v>
      </c>
      <c r="G21" t="str">
        <f>IF(Table2[[#This Row],[Sold]]&gt;1000,"High Quality","Normal Quality")</f>
        <v>Normal Quality</v>
      </c>
      <c r="H21" s="12">
        <v>45353.062928240739</v>
      </c>
      <c r="I21" t="s">
        <v>291</v>
      </c>
      <c r="J21" t="s">
        <v>274</v>
      </c>
      <c r="K21" t="s">
        <v>118</v>
      </c>
    </row>
    <row r="22" spans="1:15" x14ac:dyDescent="0.35">
      <c r="A22" t="s">
        <v>245</v>
      </c>
      <c r="B22" t="s">
        <v>3</v>
      </c>
      <c r="C22" s="27">
        <v>9.2100000000000009</v>
      </c>
      <c r="D22">
        <v>0</v>
      </c>
      <c r="E22">
        <v>3093</v>
      </c>
      <c r="F22" s="4">
        <f t="shared" si="0"/>
        <v>28486.530000000002</v>
      </c>
      <c r="G22" t="str">
        <f>IF(Table2[[#This Row],[Sold]]&gt;1000,"High Quality","Normal Quality")</f>
        <v>High Quality</v>
      </c>
      <c r="H22" s="12">
        <v>45353.063078703701</v>
      </c>
      <c r="I22" t="s">
        <v>291</v>
      </c>
      <c r="J22" t="s">
        <v>274</v>
      </c>
      <c r="K22" t="s">
        <v>118</v>
      </c>
    </row>
    <row r="23" spans="1:15" x14ac:dyDescent="0.35">
      <c r="A23" t="s">
        <v>37</v>
      </c>
      <c r="B23" t="s">
        <v>3</v>
      </c>
      <c r="C23" s="27">
        <v>19.899999999999999</v>
      </c>
      <c r="D23">
        <v>10</v>
      </c>
      <c r="E23">
        <v>294</v>
      </c>
      <c r="F23" s="4">
        <f t="shared" si="0"/>
        <v>5850.5999999999995</v>
      </c>
      <c r="G23" t="str">
        <f>IF(Table2[[#This Row],[Sold]]&gt;1000,"High Quality","Normal Quality")</f>
        <v>Normal Quality</v>
      </c>
      <c r="H23" s="12">
        <v>45353.575104166666</v>
      </c>
      <c r="I23" t="s">
        <v>380</v>
      </c>
      <c r="J23" t="s">
        <v>505</v>
      </c>
      <c r="K23" t="s">
        <v>118</v>
      </c>
      <c r="M23" t="s">
        <v>571</v>
      </c>
      <c r="N23" t="s">
        <v>186</v>
      </c>
      <c r="O23" t="s">
        <v>174</v>
      </c>
    </row>
    <row r="24" spans="1:15" x14ac:dyDescent="0.35">
      <c r="A24" t="s">
        <v>10</v>
      </c>
      <c r="B24" t="s">
        <v>1</v>
      </c>
      <c r="C24" s="27">
        <v>91</v>
      </c>
      <c r="D24">
        <v>47</v>
      </c>
      <c r="E24">
        <v>1</v>
      </c>
      <c r="F24" s="4">
        <f t="shared" si="0"/>
        <v>91</v>
      </c>
      <c r="G24" t="str">
        <f>IF(Table2[[#This Row],[Sold]]&gt;1000,"High Quality","Normal Quality")</f>
        <v>Normal Quality</v>
      </c>
      <c r="H24" s="12">
        <v>45353.817499999997</v>
      </c>
      <c r="I24" t="s">
        <v>503</v>
      </c>
      <c r="J24" t="s">
        <v>274</v>
      </c>
      <c r="K24" t="s">
        <v>118</v>
      </c>
      <c r="M24" t="s">
        <v>572</v>
      </c>
      <c r="N24" t="s">
        <v>578</v>
      </c>
      <c r="O24" t="str">
        <f>LEFT(K25,3)</f>
        <v>Uni</v>
      </c>
    </row>
    <row r="25" spans="1:15" x14ac:dyDescent="0.35">
      <c r="A25" t="s">
        <v>37</v>
      </c>
      <c r="B25" t="s">
        <v>37</v>
      </c>
      <c r="C25" s="27">
        <v>41.99</v>
      </c>
      <c r="D25">
        <v>10</v>
      </c>
      <c r="E25">
        <v>15</v>
      </c>
      <c r="F25" s="4">
        <f t="shared" si="0"/>
        <v>629.85</v>
      </c>
      <c r="G25" t="str">
        <f>IF(Table2[[#This Row],[Sold]]&gt;1000,"High Quality","Normal Quality")</f>
        <v>Normal Quality</v>
      </c>
      <c r="H25" s="12">
        <v>45353.876331018517</v>
      </c>
      <c r="I25" t="s">
        <v>374</v>
      </c>
      <c r="J25" t="s">
        <v>315</v>
      </c>
      <c r="K25" t="s">
        <v>118</v>
      </c>
      <c r="M25" t="s">
        <v>573</v>
      </c>
      <c r="N25" t="s">
        <v>579</v>
      </c>
      <c r="O25" t="str">
        <f>RIGHT(J17,4)</f>
        <v>York</v>
      </c>
    </row>
    <row r="26" spans="1:15" x14ac:dyDescent="0.35">
      <c r="A26" t="s">
        <v>229</v>
      </c>
      <c r="B26" t="s">
        <v>1</v>
      </c>
      <c r="C26" s="27">
        <v>70</v>
      </c>
      <c r="D26">
        <v>0</v>
      </c>
      <c r="E26">
        <v>2</v>
      </c>
      <c r="F26" s="4">
        <f t="shared" si="0"/>
        <v>140</v>
      </c>
      <c r="G26" t="str">
        <f>IF(Table2[[#This Row],[Sold]]&gt;1000,"High Quality","Normal Quality")</f>
        <v>Normal Quality</v>
      </c>
      <c r="H26" s="12">
        <v>45354.488842592589</v>
      </c>
      <c r="I26" t="s">
        <v>412</v>
      </c>
      <c r="J26" t="s">
        <v>505</v>
      </c>
      <c r="K26" t="s">
        <v>118</v>
      </c>
      <c r="M26" t="s">
        <v>574</v>
      </c>
      <c r="N26" t="s">
        <v>580</v>
      </c>
      <c r="O26" t="str">
        <f>MID(I22,3,6)</f>
        <v>llas</v>
      </c>
    </row>
    <row r="27" spans="1:15" x14ac:dyDescent="0.35">
      <c r="A27" t="s">
        <v>22</v>
      </c>
      <c r="B27" t="s">
        <v>1</v>
      </c>
      <c r="C27" s="27">
        <v>78.989999999999995</v>
      </c>
      <c r="D27">
        <v>10</v>
      </c>
      <c r="E27">
        <v>142</v>
      </c>
      <c r="F27" s="4">
        <f t="shared" si="0"/>
        <v>11216.58</v>
      </c>
      <c r="G27" t="str">
        <f>IF(Table2[[#This Row],[Sold]]&gt;1000,"High Quality","Normal Quality")</f>
        <v>Normal Quality</v>
      </c>
      <c r="H27" s="12">
        <v>45354.614988425928</v>
      </c>
      <c r="I27" t="s">
        <v>285</v>
      </c>
      <c r="J27" t="s">
        <v>286</v>
      </c>
      <c r="K27" t="s">
        <v>118</v>
      </c>
      <c r="M27" t="s">
        <v>575</v>
      </c>
      <c r="N27" t="s">
        <v>581</v>
      </c>
      <c r="O27" t="str">
        <f>UPPER(J18)</f>
        <v xml:space="preserve"> WASHINGTON</v>
      </c>
    </row>
    <row r="28" spans="1:15" x14ac:dyDescent="0.35">
      <c r="A28" t="s">
        <v>124</v>
      </c>
      <c r="B28" t="s">
        <v>37</v>
      </c>
      <c r="C28" s="27">
        <v>19.989999999999998</v>
      </c>
      <c r="D28">
        <v>5</v>
      </c>
      <c r="E28">
        <v>10</v>
      </c>
      <c r="F28" s="4">
        <f t="shared" si="0"/>
        <v>199.89999999999998</v>
      </c>
      <c r="G28" t="str">
        <f>IF(Table2[[#This Row],[Sold]]&gt;1000,"High Quality","Normal Quality")</f>
        <v>Normal Quality</v>
      </c>
      <c r="H28" s="12">
        <v>45354.747465277775</v>
      </c>
      <c r="I28" t="s">
        <v>506</v>
      </c>
      <c r="J28" t="s">
        <v>505</v>
      </c>
      <c r="K28" t="s">
        <v>118</v>
      </c>
      <c r="M28" t="s">
        <v>576</v>
      </c>
      <c r="N28" t="s">
        <v>582</v>
      </c>
      <c r="O28" t="str">
        <f>LOWER(K26)</f>
        <v>united states</v>
      </c>
    </row>
    <row r="29" spans="1:15" x14ac:dyDescent="0.35">
      <c r="A29" t="s">
        <v>121</v>
      </c>
      <c r="B29" t="s">
        <v>3</v>
      </c>
      <c r="C29" s="27">
        <v>42.95</v>
      </c>
      <c r="D29">
        <v>2</v>
      </c>
      <c r="E29">
        <v>8</v>
      </c>
      <c r="F29" s="4">
        <f t="shared" si="0"/>
        <v>343.6</v>
      </c>
      <c r="G29" t="str">
        <f>IF(Table2[[#This Row],[Sold]]&gt;1000,"High Quality","Normal Quality")</f>
        <v>Normal Quality</v>
      </c>
      <c r="H29" s="12">
        <v>45355.211064814815</v>
      </c>
      <c r="I29" t="s">
        <v>524</v>
      </c>
      <c r="J29" t="s">
        <v>506</v>
      </c>
      <c r="K29" t="s">
        <v>118</v>
      </c>
      <c r="M29" t="s">
        <v>577</v>
      </c>
      <c r="N29" t="s">
        <v>583</v>
      </c>
      <c r="O29" t="str">
        <f>PROPER(J62)</f>
        <v xml:space="preserve"> New York</v>
      </c>
    </row>
    <row r="30" spans="1:15" x14ac:dyDescent="0.35">
      <c r="A30" t="s">
        <v>33</v>
      </c>
      <c r="B30" t="s">
        <v>1</v>
      </c>
      <c r="C30" s="27">
        <v>109.99</v>
      </c>
      <c r="D30">
        <v>10</v>
      </c>
      <c r="E30">
        <v>26</v>
      </c>
      <c r="F30" s="4">
        <f t="shared" si="0"/>
        <v>2859.74</v>
      </c>
      <c r="G30" t="str">
        <f>IF(Table2[[#This Row],[Sold]]&gt;1000,"High Quality","Normal Quality")</f>
        <v>Normal Quality</v>
      </c>
      <c r="H30" s="12">
        <v>45355.248159722221</v>
      </c>
      <c r="I30" t="s">
        <v>405</v>
      </c>
      <c r="J30" t="s">
        <v>282</v>
      </c>
      <c r="K30" t="s">
        <v>118</v>
      </c>
    </row>
    <row r="31" spans="1:15" x14ac:dyDescent="0.35">
      <c r="A31" t="s">
        <v>228</v>
      </c>
      <c r="B31" t="s">
        <v>3</v>
      </c>
      <c r="C31" s="27">
        <v>19.989999999999998</v>
      </c>
      <c r="D31">
        <v>0</v>
      </c>
      <c r="E31">
        <v>58</v>
      </c>
      <c r="F31" s="4">
        <f t="shared" si="0"/>
        <v>1159.4199999999998</v>
      </c>
      <c r="G31" t="str">
        <f>IF(Table2[[#This Row],[Sold]]&gt;1000,"High Quality","Normal Quality")</f>
        <v>Normal Quality</v>
      </c>
      <c r="H31" s="12">
        <v>45355.259039351855</v>
      </c>
      <c r="I31" t="s">
        <v>468</v>
      </c>
      <c r="J31" t="s">
        <v>505</v>
      </c>
      <c r="K31" t="s">
        <v>118</v>
      </c>
    </row>
    <row r="32" spans="1:15" x14ac:dyDescent="0.35">
      <c r="A32" t="s">
        <v>26</v>
      </c>
      <c r="B32" t="s">
        <v>3</v>
      </c>
      <c r="C32" s="27">
        <v>28.99</v>
      </c>
      <c r="D32">
        <v>7</v>
      </c>
      <c r="E32">
        <v>124</v>
      </c>
      <c r="F32" s="4">
        <f t="shared" si="0"/>
        <v>3594.7599999999998</v>
      </c>
      <c r="G32" t="str">
        <f>IF(Table2[[#This Row],[Sold]]&gt;1000,"High Quality","Normal Quality")</f>
        <v>Normal Quality</v>
      </c>
      <c r="H32" s="12">
        <v>45356.056539351855</v>
      </c>
      <c r="I32" t="s">
        <v>301</v>
      </c>
      <c r="J32" t="s">
        <v>506</v>
      </c>
      <c r="K32" t="s">
        <v>118</v>
      </c>
    </row>
    <row r="33" spans="1:15" x14ac:dyDescent="0.35">
      <c r="A33" t="s">
        <v>158</v>
      </c>
      <c r="B33" t="s">
        <v>3</v>
      </c>
      <c r="C33" s="27">
        <v>29.98</v>
      </c>
      <c r="D33">
        <v>10</v>
      </c>
      <c r="E33">
        <v>14</v>
      </c>
      <c r="F33" s="4">
        <f t="shared" si="0"/>
        <v>419.72</v>
      </c>
      <c r="G33" t="str">
        <f>IF(Table2[[#This Row],[Sold]]&gt;1000,"High Quality","Normal Quality")</f>
        <v>Normal Quality</v>
      </c>
      <c r="H33" s="12">
        <v>45356.391539351855</v>
      </c>
      <c r="I33" t="s">
        <v>499</v>
      </c>
      <c r="J33" t="s">
        <v>383</v>
      </c>
      <c r="K33" t="s">
        <v>537</v>
      </c>
      <c r="M33" t="s">
        <v>584</v>
      </c>
    </row>
    <row r="34" spans="1:15" x14ac:dyDescent="0.35">
      <c r="A34" t="s">
        <v>78</v>
      </c>
      <c r="B34" t="s">
        <v>1</v>
      </c>
      <c r="C34" s="27">
        <v>129.99</v>
      </c>
      <c r="D34">
        <v>10</v>
      </c>
      <c r="E34">
        <v>25</v>
      </c>
      <c r="F34" s="4">
        <f t="shared" si="0"/>
        <v>3249.75</v>
      </c>
      <c r="G34" t="str">
        <f>IF(Table2[[#This Row],[Sold]]&gt;1000,"High Quality","Normal Quality")</f>
        <v>Normal Quality</v>
      </c>
      <c r="H34" s="12">
        <v>45356.768935185188</v>
      </c>
      <c r="I34" t="s">
        <v>292</v>
      </c>
      <c r="J34" t="s">
        <v>282</v>
      </c>
      <c r="K34" t="s">
        <v>118</v>
      </c>
      <c r="M34" t="s">
        <v>585</v>
      </c>
    </row>
    <row r="35" spans="1:15" x14ac:dyDescent="0.35">
      <c r="A35" t="s">
        <v>188</v>
      </c>
      <c r="B35" t="s">
        <v>1</v>
      </c>
      <c r="C35" s="27">
        <v>188.99</v>
      </c>
      <c r="D35">
        <v>10</v>
      </c>
      <c r="E35">
        <v>1</v>
      </c>
      <c r="F35" s="4">
        <f t="shared" si="0"/>
        <v>188.99</v>
      </c>
      <c r="G35" t="str">
        <f>IF(Table2[[#This Row],[Sold]]&gt;1000,"High Quality","Normal Quality")</f>
        <v>Normal Quality</v>
      </c>
      <c r="H35" s="12">
        <v>45356.798611111109</v>
      </c>
      <c r="I35" t="s">
        <v>327</v>
      </c>
      <c r="J35" t="s">
        <v>270</v>
      </c>
      <c r="K35" t="s">
        <v>537</v>
      </c>
      <c r="M35" t="s">
        <v>586</v>
      </c>
    </row>
    <row r="36" spans="1:15" x14ac:dyDescent="0.35">
      <c r="A36" t="s">
        <v>2</v>
      </c>
      <c r="B36" t="s">
        <v>3</v>
      </c>
      <c r="C36" s="27">
        <v>39.99</v>
      </c>
      <c r="D36">
        <v>10</v>
      </c>
      <c r="E36">
        <v>18</v>
      </c>
      <c r="F36" s="4">
        <f t="shared" si="0"/>
        <v>719.82</v>
      </c>
      <c r="G36" t="str">
        <f>IF(Table2[[#This Row],[Sold]]&gt;1000,"High Quality","Normal Quality")</f>
        <v>Normal Quality</v>
      </c>
      <c r="H36" s="12">
        <v>45356.965046296296</v>
      </c>
      <c r="I36" t="s">
        <v>317</v>
      </c>
      <c r="J36" t="s">
        <v>267</v>
      </c>
      <c r="K36" t="s">
        <v>333</v>
      </c>
      <c r="M36" t="s">
        <v>587</v>
      </c>
    </row>
    <row r="37" spans="1:15" x14ac:dyDescent="0.35">
      <c r="A37" t="s">
        <v>46</v>
      </c>
      <c r="B37" t="s">
        <v>1</v>
      </c>
      <c r="C37" s="27">
        <v>20</v>
      </c>
      <c r="D37">
        <v>5</v>
      </c>
      <c r="E37">
        <v>16</v>
      </c>
      <c r="F37" s="4">
        <f t="shared" si="0"/>
        <v>320</v>
      </c>
      <c r="G37" t="str">
        <f>IF(Table2[[#This Row],[Sold]]&gt;1000,"High Quality","Normal Quality")</f>
        <v>Normal Quality</v>
      </c>
      <c r="H37" s="12">
        <v>45356.970590277779</v>
      </c>
      <c r="I37" t="s">
        <v>335</v>
      </c>
      <c r="J37" t="s">
        <v>282</v>
      </c>
      <c r="K37" t="s">
        <v>118</v>
      </c>
    </row>
    <row r="38" spans="1:15" ht="15.5" x14ac:dyDescent="0.35">
      <c r="A38" t="s">
        <v>46</v>
      </c>
      <c r="B38" t="s">
        <v>1</v>
      </c>
      <c r="C38" s="27">
        <v>29</v>
      </c>
      <c r="D38">
        <v>0</v>
      </c>
      <c r="E38">
        <v>19</v>
      </c>
      <c r="F38" s="4">
        <f t="shared" si="0"/>
        <v>551</v>
      </c>
      <c r="G38" t="str">
        <f>IF(Table2[[#This Row],[Sold]]&gt;1000,"High Quality","Normal Quality")</f>
        <v>Normal Quality</v>
      </c>
      <c r="H38" s="12">
        <v>45356.971365740741</v>
      </c>
      <c r="I38" t="s">
        <v>335</v>
      </c>
      <c r="J38" t="s">
        <v>282</v>
      </c>
      <c r="K38" t="s">
        <v>118</v>
      </c>
      <c r="M38" s="9" t="s">
        <v>604</v>
      </c>
    </row>
    <row r="39" spans="1:15" x14ac:dyDescent="0.35">
      <c r="A39" t="s">
        <v>53</v>
      </c>
      <c r="B39" t="s">
        <v>1</v>
      </c>
      <c r="C39" s="27">
        <v>29.99</v>
      </c>
      <c r="D39">
        <v>65</v>
      </c>
      <c r="E39">
        <v>25</v>
      </c>
      <c r="F39" s="4">
        <f t="shared" si="0"/>
        <v>749.75</v>
      </c>
      <c r="G39" t="str">
        <f>IF(Table2[[#This Row],[Sold]]&gt;1000,"High Quality","Normal Quality")</f>
        <v>Normal Quality</v>
      </c>
      <c r="H39" s="12">
        <v>45357</v>
      </c>
      <c r="I39" t="s">
        <v>524</v>
      </c>
      <c r="J39" t="s">
        <v>506</v>
      </c>
      <c r="K39" t="s">
        <v>118</v>
      </c>
      <c r="M39" s="8" t="s">
        <v>603</v>
      </c>
      <c r="N39" s="8"/>
      <c r="O39" s="8"/>
    </row>
    <row r="40" spans="1:15" x14ac:dyDescent="0.35">
      <c r="A40" t="s">
        <v>0</v>
      </c>
      <c r="B40" t="s">
        <v>3</v>
      </c>
      <c r="C40" s="27">
        <v>84.99</v>
      </c>
      <c r="D40">
        <v>9</v>
      </c>
      <c r="E40">
        <v>51</v>
      </c>
      <c r="F40" s="4">
        <f t="shared" si="0"/>
        <v>4334.49</v>
      </c>
      <c r="G40" t="str">
        <f>IF(Table2[[#This Row],[Sold]]&gt;1000,"High Quality","Normal Quality")</f>
        <v>Normal Quality</v>
      </c>
      <c r="H40" s="12">
        <v>45357.19458333333</v>
      </c>
      <c r="I40" t="s">
        <v>371</v>
      </c>
      <c r="J40" t="s">
        <v>266</v>
      </c>
      <c r="K40" t="s">
        <v>118</v>
      </c>
    </row>
    <row r="41" spans="1:15" x14ac:dyDescent="0.35">
      <c r="A41" t="s">
        <v>231</v>
      </c>
      <c r="B41" t="s">
        <v>1</v>
      </c>
      <c r="C41" s="27">
        <v>129</v>
      </c>
      <c r="D41">
        <v>26</v>
      </c>
      <c r="E41">
        <v>13</v>
      </c>
      <c r="F41" s="4">
        <f t="shared" si="0"/>
        <v>1677</v>
      </c>
      <c r="G41" t="str">
        <f>IF(Table2[[#This Row],[Sold]]&gt;1000,"High Quality","Normal Quality")</f>
        <v>Normal Quality</v>
      </c>
      <c r="H41" s="12">
        <v>45357.516435185185</v>
      </c>
      <c r="I41" t="s">
        <v>551</v>
      </c>
      <c r="J41" t="s">
        <v>315</v>
      </c>
      <c r="K41" t="s">
        <v>118</v>
      </c>
    </row>
    <row r="42" spans="1:15" ht="15.5" x14ac:dyDescent="0.35">
      <c r="A42" t="s">
        <v>35</v>
      </c>
      <c r="B42" t="s">
        <v>3</v>
      </c>
      <c r="C42" s="27">
        <v>13.68</v>
      </c>
      <c r="D42">
        <v>47</v>
      </c>
      <c r="E42">
        <v>105</v>
      </c>
      <c r="F42" s="4">
        <f t="shared" si="0"/>
        <v>1436.3999999999999</v>
      </c>
      <c r="G42" t="str">
        <f>IF(Table2[[#This Row],[Sold]]&gt;1000,"High Quality","Normal Quality")</f>
        <v>Normal Quality</v>
      </c>
      <c r="H42" s="12">
        <v>45357.701458333337</v>
      </c>
      <c r="I42" t="s">
        <v>324</v>
      </c>
      <c r="J42" t="s">
        <v>269</v>
      </c>
      <c r="K42" t="s">
        <v>118</v>
      </c>
      <c r="M42" s="9" t="s">
        <v>605</v>
      </c>
    </row>
    <row r="43" spans="1:15" x14ac:dyDescent="0.35">
      <c r="A43" t="s">
        <v>191</v>
      </c>
      <c r="B43" t="s">
        <v>34</v>
      </c>
      <c r="C43" s="27">
        <v>39.950000000000003</v>
      </c>
      <c r="D43">
        <v>10</v>
      </c>
      <c r="E43">
        <v>353</v>
      </c>
      <c r="F43" s="4">
        <f t="shared" si="0"/>
        <v>14102.35</v>
      </c>
      <c r="G43" t="str">
        <f>IF(Table2[[#This Row],[Sold]]&gt;1000,"High Quality","Normal Quality")</f>
        <v>Normal Quality</v>
      </c>
      <c r="H43" s="12">
        <v>45357.792592592596</v>
      </c>
      <c r="I43" t="s">
        <v>319</v>
      </c>
      <c r="J43" t="s">
        <v>320</v>
      </c>
      <c r="K43" t="s">
        <v>118</v>
      </c>
    </row>
    <row r="44" spans="1:15" x14ac:dyDescent="0.35">
      <c r="A44" t="s">
        <v>243</v>
      </c>
      <c r="B44" t="s">
        <v>3</v>
      </c>
      <c r="C44" s="27">
        <v>25.96</v>
      </c>
      <c r="D44">
        <v>0</v>
      </c>
      <c r="E44">
        <v>214</v>
      </c>
      <c r="F44" s="4">
        <f t="shared" si="0"/>
        <v>5555.4400000000005</v>
      </c>
      <c r="G44" t="str">
        <f>IF(Table2[[#This Row],[Sold]]&gt;1000,"High Quality","Normal Quality")</f>
        <v>Normal Quality</v>
      </c>
      <c r="H44" s="12">
        <v>45357.888043981482</v>
      </c>
      <c r="I44" t="s">
        <v>291</v>
      </c>
      <c r="J44" t="s">
        <v>274</v>
      </c>
      <c r="K44" t="s">
        <v>118</v>
      </c>
      <c r="M44" s="8" t="s">
        <v>606</v>
      </c>
      <c r="N44" s="8"/>
    </row>
    <row r="45" spans="1:15" x14ac:dyDescent="0.35">
      <c r="A45" t="s">
        <v>32</v>
      </c>
      <c r="B45" t="s">
        <v>3</v>
      </c>
      <c r="C45" s="27">
        <v>18.66</v>
      </c>
      <c r="D45">
        <v>10</v>
      </c>
      <c r="E45">
        <v>58</v>
      </c>
      <c r="F45" s="4">
        <f t="shared" si="0"/>
        <v>1082.28</v>
      </c>
      <c r="G45" t="str">
        <f>IF(Table2[[#This Row],[Sold]]&gt;1000,"High Quality","Normal Quality")</f>
        <v>Normal Quality</v>
      </c>
      <c r="H45" s="12">
        <v>45357.977939814817</v>
      </c>
      <c r="I45" t="s">
        <v>291</v>
      </c>
      <c r="J45" t="s">
        <v>274</v>
      </c>
      <c r="K45" t="s">
        <v>118</v>
      </c>
      <c r="M45" s="8" t="s">
        <v>632</v>
      </c>
      <c r="N45" s="8"/>
    </row>
    <row r="46" spans="1:15" x14ac:dyDescent="0.35">
      <c r="A46" t="s">
        <v>32</v>
      </c>
      <c r="B46" t="s">
        <v>3</v>
      </c>
      <c r="C46" s="27">
        <v>24.5</v>
      </c>
      <c r="D46">
        <v>10</v>
      </c>
      <c r="E46">
        <v>415</v>
      </c>
      <c r="F46" s="4">
        <f t="shared" si="0"/>
        <v>10167.5</v>
      </c>
      <c r="G46" t="str">
        <f>IF(Table2[[#This Row],[Sold]]&gt;1000,"High Quality","Normal Quality")</f>
        <v>Normal Quality</v>
      </c>
      <c r="H46" s="12">
        <v>45358.325266203705</v>
      </c>
      <c r="I46" t="s">
        <v>382</v>
      </c>
      <c r="J46" t="s">
        <v>286</v>
      </c>
      <c r="K46" t="s">
        <v>118</v>
      </c>
      <c r="M46" s="8" t="s">
        <v>607</v>
      </c>
      <c r="N46" s="8"/>
    </row>
    <row r="47" spans="1:15" x14ac:dyDescent="0.35">
      <c r="A47" t="s">
        <v>242</v>
      </c>
      <c r="B47" t="s">
        <v>37</v>
      </c>
      <c r="C47" s="27">
        <v>16.899999999999999</v>
      </c>
      <c r="D47">
        <v>10</v>
      </c>
      <c r="E47">
        <v>34</v>
      </c>
      <c r="F47" s="4">
        <f t="shared" si="0"/>
        <v>574.59999999999991</v>
      </c>
      <c r="G47" t="str">
        <f>IF(Table2[[#This Row],[Sold]]&gt;1000,"High Quality","Normal Quality")</f>
        <v>Normal Quality</v>
      </c>
      <c r="H47" s="12">
        <v>45358.463750000003</v>
      </c>
      <c r="I47" t="s">
        <v>517</v>
      </c>
      <c r="J47" t="s">
        <v>282</v>
      </c>
      <c r="K47" t="s">
        <v>118</v>
      </c>
    </row>
    <row r="48" spans="1:15" x14ac:dyDescent="0.35">
      <c r="A48" t="s">
        <v>39</v>
      </c>
      <c r="B48" t="s">
        <v>3</v>
      </c>
      <c r="C48" s="27">
        <v>40.99</v>
      </c>
      <c r="D48">
        <v>10</v>
      </c>
      <c r="E48">
        <v>17</v>
      </c>
      <c r="F48" s="4">
        <f t="shared" si="0"/>
        <v>696.83</v>
      </c>
      <c r="G48" t="str">
        <f>IF(Table2[[#This Row],[Sold]]&gt;1000,"High Quality","Normal Quality")</f>
        <v>Normal Quality</v>
      </c>
      <c r="H48" s="12">
        <v>45359.07240740741</v>
      </c>
      <c r="I48" t="s">
        <v>398</v>
      </c>
      <c r="J48" t="s">
        <v>399</v>
      </c>
      <c r="K48" t="s">
        <v>333</v>
      </c>
    </row>
    <row r="49" spans="1:14" x14ac:dyDescent="0.35">
      <c r="A49" t="s">
        <v>13</v>
      </c>
      <c r="B49" t="s">
        <v>1</v>
      </c>
      <c r="C49" s="27">
        <v>11.95</v>
      </c>
      <c r="D49">
        <v>93</v>
      </c>
      <c r="E49">
        <v>18</v>
      </c>
      <c r="F49" s="4">
        <f t="shared" si="0"/>
        <v>215.1</v>
      </c>
      <c r="G49" t="str">
        <f>IF(Table2[[#This Row],[Sold]]&gt;1000,"High Quality","Normal Quality")</f>
        <v>Normal Quality</v>
      </c>
      <c r="H49" s="12">
        <v>45359.13422453704</v>
      </c>
      <c r="I49" t="s">
        <v>358</v>
      </c>
      <c r="J49" t="s">
        <v>274</v>
      </c>
      <c r="K49" t="s">
        <v>118</v>
      </c>
      <c r="M49" s="10" t="s">
        <v>608</v>
      </c>
      <c r="N49" s="8"/>
    </row>
    <row r="50" spans="1:14" x14ac:dyDescent="0.35">
      <c r="A50" t="s">
        <v>234</v>
      </c>
      <c r="B50" t="s">
        <v>3</v>
      </c>
      <c r="C50" s="27">
        <v>38</v>
      </c>
      <c r="D50">
        <v>8</v>
      </c>
      <c r="E50">
        <v>42</v>
      </c>
      <c r="F50" s="4">
        <f t="shared" si="0"/>
        <v>1596</v>
      </c>
      <c r="G50" t="str">
        <f>IF(Table2[[#This Row],[Sold]]&gt;1000,"High Quality","Normal Quality")</f>
        <v>Normal Quality</v>
      </c>
      <c r="H50" s="12">
        <v>45359.154247685183</v>
      </c>
      <c r="I50" t="s">
        <v>462</v>
      </c>
      <c r="J50" t="s">
        <v>463</v>
      </c>
      <c r="K50" t="s">
        <v>333</v>
      </c>
      <c r="M50" s="8" t="s">
        <v>609</v>
      </c>
    </row>
    <row r="51" spans="1:14" x14ac:dyDescent="0.35">
      <c r="A51" t="s">
        <v>229</v>
      </c>
      <c r="B51" t="s">
        <v>1</v>
      </c>
      <c r="C51" s="27">
        <v>73.52</v>
      </c>
      <c r="D51">
        <v>0</v>
      </c>
      <c r="E51">
        <v>8</v>
      </c>
      <c r="F51" s="4">
        <f t="shared" si="0"/>
        <v>588.16</v>
      </c>
      <c r="G51" t="str">
        <f>IF(Table2[[#This Row],[Sold]]&gt;1000,"High Quality","Normal Quality")</f>
        <v>Normal Quality</v>
      </c>
      <c r="H51" s="12">
        <v>45359.250833333332</v>
      </c>
      <c r="I51" t="s">
        <v>291</v>
      </c>
      <c r="J51" t="s">
        <v>274</v>
      </c>
      <c r="K51" t="s">
        <v>118</v>
      </c>
    </row>
    <row r="52" spans="1:14" ht="15.5" x14ac:dyDescent="0.35">
      <c r="A52" t="s">
        <v>236</v>
      </c>
      <c r="B52" t="s">
        <v>3</v>
      </c>
      <c r="C52" s="27">
        <v>44.61</v>
      </c>
      <c r="D52">
        <v>6</v>
      </c>
      <c r="E52">
        <v>27</v>
      </c>
      <c r="F52" s="4">
        <f t="shared" si="0"/>
        <v>1204.47</v>
      </c>
      <c r="G52" t="str">
        <f>IF(Table2[[#This Row],[Sold]]&gt;1000,"High Quality","Normal Quality")</f>
        <v>Normal Quality</v>
      </c>
      <c r="H52" s="12">
        <v>45359.326331018521</v>
      </c>
      <c r="I52" t="s">
        <v>291</v>
      </c>
      <c r="J52" t="s">
        <v>274</v>
      </c>
      <c r="K52" t="s">
        <v>118</v>
      </c>
      <c r="M52" s="9" t="s">
        <v>628</v>
      </c>
    </row>
    <row r="53" spans="1:14" x14ac:dyDescent="0.35">
      <c r="A53" t="s">
        <v>62</v>
      </c>
      <c r="B53" t="s">
        <v>3</v>
      </c>
      <c r="C53" s="27">
        <v>68.55</v>
      </c>
      <c r="D53">
        <v>4</v>
      </c>
      <c r="E53">
        <v>65</v>
      </c>
      <c r="F53" s="4">
        <f t="shared" si="0"/>
        <v>4455.75</v>
      </c>
      <c r="G53" t="str">
        <f>IF(Table2[[#This Row],[Sold]]&gt;1000,"High Quality","Normal Quality")</f>
        <v>Normal Quality</v>
      </c>
      <c r="H53" s="12">
        <v>45359.335173611114</v>
      </c>
      <c r="I53" t="s">
        <v>473</v>
      </c>
      <c r="J53" t="s">
        <v>505</v>
      </c>
      <c r="K53" t="s">
        <v>118</v>
      </c>
    </row>
    <row r="54" spans="1:14" x14ac:dyDescent="0.35">
      <c r="A54" t="s">
        <v>251</v>
      </c>
      <c r="B54" t="s">
        <v>37</v>
      </c>
      <c r="C54" s="27">
        <v>30</v>
      </c>
      <c r="D54">
        <v>10</v>
      </c>
      <c r="E54">
        <v>24</v>
      </c>
      <c r="F54" s="4">
        <f t="shared" si="0"/>
        <v>720</v>
      </c>
      <c r="G54" t="str">
        <f>IF(Table2[[#This Row],[Sold]]&gt;1000,"High Quality","Normal Quality")</f>
        <v>Normal Quality</v>
      </c>
      <c r="H54" s="12">
        <v>45359.359155092592</v>
      </c>
      <c r="I54" t="s">
        <v>440</v>
      </c>
      <c r="J54" t="s">
        <v>269</v>
      </c>
      <c r="K54" t="s">
        <v>118</v>
      </c>
      <c r="M54" s="8" t="s">
        <v>627</v>
      </c>
    </row>
    <row r="55" spans="1:14" x14ac:dyDescent="0.35">
      <c r="A55" t="s">
        <v>53</v>
      </c>
      <c r="B55" t="s">
        <v>1</v>
      </c>
      <c r="C55" s="27">
        <v>64.989999999999995</v>
      </c>
      <c r="D55">
        <v>6</v>
      </c>
      <c r="E55">
        <v>15</v>
      </c>
      <c r="F55" s="4">
        <f t="shared" si="0"/>
        <v>974.84999999999991</v>
      </c>
      <c r="G55" t="str">
        <f>IF(Table2[[#This Row],[Sold]]&gt;1000,"High Quality","Normal Quality")</f>
        <v>Normal Quality</v>
      </c>
      <c r="H55" s="12">
        <v>45359.391273148147</v>
      </c>
      <c r="I55" t="s">
        <v>285</v>
      </c>
      <c r="J55" t="s">
        <v>286</v>
      </c>
      <c r="K55" t="s">
        <v>118</v>
      </c>
    </row>
    <row r="56" spans="1:14" x14ac:dyDescent="0.35">
      <c r="A56" t="s">
        <v>9</v>
      </c>
      <c r="B56" t="s">
        <v>3</v>
      </c>
      <c r="C56" s="27">
        <v>44.99</v>
      </c>
      <c r="D56">
        <v>4</v>
      </c>
      <c r="E56">
        <v>27</v>
      </c>
      <c r="F56" s="4">
        <f t="shared" si="0"/>
        <v>1214.73</v>
      </c>
      <c r="G56" t="str">
        <f>IF(Table2[[#This Row],[Sold]]&gt;1000,"High Quality","Normal Quality")</f>
        <v>Normal Quality</v>
      </c>
      <c r="H56" s="12">
        <v>45359.429837962962</v>
      </c>
      <c r="I56" t="s">
        <v>285</v>
      </c>
      <c r="J56" t="s">
        <v>286</v>
      </c>
      <c r="K56" t="s">
        <v>118</v>
      </c>
    </row>
    <row r="57" spans="1:14" ht="15.5" x14ac:dyDescent="0.35">
      <c r="A57" t="s">
        <v>229</v>
      </c>
      <c r="B57" t="s">
        <v>3</v>
      </c>
      <c r="C57" s="27">
        <v>44.99</v>
      </c>
      <c r="D57">
        <v>7</v>
      </c>
      <c r="E57">
        <v>32</v>
      </c>
      <c r="F57" s="4">
        <f t="shared" si="0"/>
        <v>1439.68</v>
      </c>
      <c r="G57" t="str">
        <f>IF(Table2[[#This Row],[Sold]]&gt;1000,"High Quality","Normal Quality")</f>
        <v>Normal Quality</v>
      </c>
      <c r="H57" s="12">
        <v>45359.438923611109</v>
      </c>
      <c r="I57" t="s">
        <v>285</v>
      </c>
      <c r="J57" t="s">
        <v>286</v>
      </c>
      <c r="K57" t="s">
        <v>118</v>
      </c>
      <c r="M57" s="9" t="s">
        <v>629</v>
      </c>
    </row>
    <row r="58" spans="1:14" x14ac:dyDescent="0.35">
      <c r="A58" t="s">
        <v>4</v>
      </c>
      <c r="B58" t="s">
        <v>3</v>
      </c>
      <c r="C58" s="27">
        <v>64.989999999999995</v>
      </c>
      <c r="D58">
        <v>10</v>
      </c>
      <c r="E58">
        <v>235</v>
      </c>
      <c r="F58" s="4">
        <f t="shared" si="0"/>
        <v>15272.65</v>
      </c>
      <c r="G58" t="str">
        <f>IF(Table2[[#This Row],[Sold]]&gt;1000,"High Quality","Normal Quality")</f>
        <v>Normal Quality</v>
      </c>
      <c r="H58" s="12">
        <v>45359.466041666667</v>
      </c>
      <c r="I58" t="s">
        <v>285</v>
      </c>
      <c r="J58" t="s">
        <v>286</v>
      </c>
      <c r="K58" t="s">
        <v>118</v>
      </c>
    </row>
    <row r="59" spans="1:14" x14ac:dyDescent="0.35">
      <c r="A59" t="s">
        <v>13</v>
      </c>
      <c r="B59" t="s">
        <v>76</v>
      </c>
      <c r="C59" s="27">
        <v>39.99</v>
      </c>
      <c r="D59">
        <v>3</v>
      </c>
      <c r="E59">
        <v>3</v>
      </c>
      <c r="F59" s="4">
        <f t="shared" si="0"/>
        <v>119.97</v>
      </c>
      <c r="G59" t="str">
        <f>IF(Table2[[#This Row],[Sold]]&gt;1000,"High Quality","Normal Quality")</f>
        <v>Normal Quality</v>
      </c>
      <c r="H59" s="12">
        <v>45359.604108796295</v>
      </c>
      <c r="I59" t="s">
        <v>506</v>
      </c>
      <c r="J59" t="s">
        <v>267</v>
      </c>
      <c r="K59" t="s">
        <v>118</v>
      </c>
      <c r="M59" s="8" t="s">
        <v>630</v>
      </c>
    </row>
    <row r="60" spans="1:14" x14ac:dyDescent="0.35">
      <c r="A60" t="s">
        <v>197</v>
      </c>
      <c r="B60" t="s">
        <v>1</v>
      </c>
      <c r="C60" s="27">
        <v>11.99</v>
      </c>
      <c r="D60">
        <v>6</v>
      </c>
      <c r="E60">
        <v>15</v>
      </c>
      <c r="F60" s="4">
        <f t="shared" si="0"/>
        <v>179.85</v>
      </c>
      <c r="G60" t="str">
        <f>IF(Table2[[#This Row],[Sold]]&gt;1000,"High Quality","Normal Quality")</f>
        <v>Normal Quality</v>
      </c>
      <c r="H60" s="12">
        <v>45359.652719907404</v>
      </c>
      <c r="I60" t="s">
        <v>368</v>
      </c>
      <c r="J60" t="s">
        <v>274</v>
      </c>
      <c r="K60" t="s">
        <v>118</v>
      </c>
      <c r="M60" s="8" t="s">
        <v>631</v>
      </c>
    </row>
    <row r="61" spans="1:14" x14ac:dyDescent="0.35">
      <c r="A61" t="s">
        <v>232</v>
      </c>
      <c r="B61" t="s">
        <v>3</v>
      </c>
      <c r="C61" s="27">
        <v>28.99</v>
      </c>
      <c r="D61">
        <v>10</v>
      </c>
      <c r="E61">
        <v>7</v>
      </c>
      <c r="F61" s="4">
        <f t="shared" si="0"/>
        <v>202.92999999999998</v>
      </c>
      <c r="G61" t="str">
        <f>IF(Table2[[#This Row],[Sold]]&gt;1000,"High Quality","Normal Quality")</f>
        <v>Normal Quality</v>
      </c>
      <c r="H61" s="12">
        <v>45359.656898148147</v>
      </c>
      <c r="I61" t="s">
        <v>511</v>
      </c>
      <c r="J61" t="s">
        <v>274</v>
      </c>
      <c r="K61" t="s">
        <v>118</v>
      </c>
    </row>
    <row r="62" spans="1:14" x14ac:dyDescent="0.35">
      <c r="A62" t="s">
        <v>70</v>
      </c>
      <c r="B62" t="s">
        <v>145</v>
      </c>
      <c r="C62" s="27">
        <v>9.9600000000000009</v>
      </c>
      <c r="D62">
        <v>3</v>
      </c>
      <c r="E62">
        <v>266</v>
      </c>
      <c r="F62" s="4">
        <f t="shared" si="0"/>
        <v>2649.36</v>
      </c>
      <c r="G62" t="str">
        <f>IF(Table2[[#This Row],[Sold]]&gt;1000,"High Quality","Normal Quality")</f>
        <v>Normal Quality</v>
      </c>
      <c r="H62" s="12">
        <v>45359.775555555556</v>
      </c>
      <c r="I62" t="s">
        <v>432</v>
      </c>
      <c r="J62" t="s">
        <v>505</v>
      </c>
      <c r="K62" t="s">
        <v>118</v>
      </c>
      <c r="M62" s="6" t="s">
        <v>633</v>
      </c>
      <c r="N62" s="6" t="s">
        <v>634</v>
      </c>
    </row>
    <row r="63" spans="1:14" x14ac:dyDescent="0.35">
      <c r="A63" t="s">
        <v>9</v>
      </c>
      <c r="B63" t="s">
        <v>1</v>
      </c>
      <c r="C63" s="27">
        <v>12.99</v>
      </c>
      <c r="D63">
        <v>7</v>
      </c>
      <c r="E63">
        <v>5</v>
      </c>
      <c r="F63" s="4">
        <f t="shared" si="0"/>
        <v>64.95</v>
      </c>
      <c r="G63" t="str">
        <f>IF(Table2[[#This Row],[Sold]]&gt;1000,"High Quality","Normal Quality")</f>
        <v>Normal Quality</v>
      </c>
      <c r="H63" s="12">
        <v>45360.203946759262</v>
      </c>
      <c r="I63" t="s">
        <v>509</v>
      </c>
      <c r="J63" t="s">
        <v>505</v>
      </c>
      <c r="K63" t="s">
        <v>118</v>
      </c>
      <c r="M63" s="6">
        <v>30655</v>
      </c>
      <c r="N63" s="6">
        <v>23.34</v>
      </c>
    </row>
    <row r="64" spans="1:14" x14ac:dyDescent="0.35">
      <c r="A64" t="s">
        <v>254</v>
      </c>
      <c r="B64" t="s">
        <v>1</v>
      </c>
      <c r="C64" s="27">
        <v>24.19</v>
      </c>
      <c r="D64">
        <v>2</v>
      </c>
      <c r="E64">
        <v>73</v>
      </c>
      <c r="F64" s="4">
        <f t="shared" si="0"/>
        <v>1765.8700000000001</v>
      </c>
      <c r="G64" t="str">
        <f>IF(Table2[[#This Row],[Sold]]&gt;1000,"High Quality","Normal Quality")</f>
        <v>Normal Quality</v>
      </c>
      <c r="H64" s="12">
        <v>45360.343935185185</v>
      </c>
      <c r="I64" t="s">
        <v>474</v>
      </c>
      <c r="J64" t="s">
        <v>274</v>
      </c>
      <c r="K64" t="s">
        <v>118</v>
      </c>
      <c r="M64" s="6">
        <v>24048</v>
      </c>
      <c r="N64" s="6">
        <v>28.75</v>
      </c>
    </row>
    <row r="65" spans="1:14" x14ac:dyDescent="0.35">
      <c r="A65" t="s">
        <v>133</v>
      </c>
      <c r="B65" t="s">
        <v>3</v>
      </c>
      <c r="C65" s="27">
        <v>47.26</v>
      </c>
      <c r="D65">
        <v>3</v>
      </c>
      <c r="E65">
        <v>52</v>
      </c>
      <c r="F65" s="4">
        <f t="shared" si="0"/>
        <v>2457.52</v>
      </c>
      <c r="G65" t="str">
        <f>IF(Table2[[#This Row],[Sold]]&gt;1000,"High Quality","Normal Quality")</f>
        <v>Normal Quality</v>
      </c>
      <c r="H65" s="12">
        <v>45360.482523148145</v>
      </c>
      <c r="I65" t="s">
        <v>291</v>
      </c>
      <c r="J65" t="s">
        <v>274</v>
      </c>
      <c r="K65" t="s">
        <v>118</v>
      </c>
      <c r="M65" s="6">
        <v>54052</v>
      </c>
      <c r="N65" s="6">
        <v>27.94</v>
      </c>
    </row>
    <row r="66" spans="1:14" x14ac:dyDescent="0.35">
      <c r="A66" t="s">
        <v>73</v>
      </c>
      <c r="B66" t="s">
        <v>3</v>
      </c>
      <c r="C66" s="27">
        <v>17.02</v>
      </c>
      <c r="D66">
        <v>0</v>
      </c>
      <c r="E66">
        <v>3823</v>
      </c>
      <c r="F66" s="4">
        <f t="shared" ref="F66:F129" si="1">C:C*E:E</f>
        <v>65067.46</v>
      </c>
      <c r="G66" t="str">
        <f>IF(Table2[[#This Row],[Sold]]&gt;1000,"High Quality","Normal Quality")</f>
        <v>High Quality</v>
      </c>
      <c r="H66" s="12">
        <v>45360.668692129628</v>
      </c>
      <c r="I66" t="s">
        <v>291</v>
      </c>
      <c r="J66" t="s">
        <v>274</v>
      </c>
      <c r="K66" t="s">
        <v>118</v>
      </c>
      <c r="M66" s="6">
        <v>31718</v>
      </c>
      <c r="N66" s="6">
        <v>32.5</v>
      </c>
    </row>
    <row r="67" spans="1:14" x14ac:dyDescent="0.35">
      <c r="A67" t="s">
        <v>1</v>
      </c>
      <c r="B67" t="s">
        <v>1</v>
      </c>
      <c r="C67" s="27">
        <v>17.95</v>
      </c>
      <c r="D67">
        <v>0</v>
      </c>
      <c r="E67">
        <v>4</v>
      </c>
      <c r="F67" s="4">
        <f t="shared" si="1"/>
        <v>71.8</v>
      </c>
      <c r="G67" t="str">
        <f>IF(Table2[[#This Row],[Sold]]&gt;1000,"High Quality","Normal Quality")</f>
        <v>Normal Quality</v>
      </c>
      <c r="H67" s="12">
        <v>45360.720659722225</v>
      </c>
      <c r="I67" t="s">
        <v>528</v>
      </c>
      <c r="J67" t="s">
        <v>286</v>
      </c>
      <c r="K67" t="s">
        <v>118</v>
      </c>
      <c r="M67" s="6">
        <v>40130</v>
      </c>
      <c r="N67" s="6">
        <v>14.99</v>
      </c>
    </row>
    <row r="68" spans="1:14" x14ac:dyDescent="0.35">
      <c r="A68" t="s">
        <v>194</v>
      </c>
      <c r="B68" t="s">
        <v>37</v>
      </c>
      <c r="C68" s="27">
        <v>13.5</v>
      </c>
      <c r="D68">
        <v>0</v>
      </c>
      <c r="E68">
        <v>17</v>
      </c>
      <c r="F68" s="4">
        <f t="shared" si="1"/>
        <v>229.5</v>
      </c>
      <c r="G68" t="str">
        <f>IF(Table2[[#This Row],[Sold]]&gt;1000,"High Quality","Normal Quality")</f>
        <v>Normal Quality</v>
      </c>
      <c r="H68" s="12">
        <v>45360.74119212963</v>
      </c>
      <c r="I68" t="s">
        <v>349</v>
      </c>
      <c r="J68" t="s">
        <v>286</v>
      </c>
      <c r="K68" t="s">
        <v>118</v>
      </c>
      <c r="M68" s="6"/>
      <c r="N68" s="6">
        <v>45.95</v>
      </c>
    </row>
    <row r="69" spans="1:14" x14ac:dyDescent="0.35">
      <c r="A69" t="s">
        <v>26</v>
      </c>
      <c r="B69" t="s">
        <v>1</v>
      </c>
      <c r="C69" s="27">
        <v>21.27</v>
      </c>
      <c r="D69">
        <v>10</v>
      </c>
      <c r="E69">
        <v>30</v>
      </c>
      <c r="F69" s="4">
        <f t="shared" si="1"/>
        <v>638.1</v>
      </c>
      <c r="G69" t="str">
        <f>IF(Table2[[#This Row],[Sold]]&gt;1000,"High Quality","Normal Quality")</f>
        <v>Normal Quality</v>
      </c>
      <c r="H69" s="12">
        <v>45360.866805555554</v>
      </c>
      <c r="I69" t="s">
        <v>405</v>
      </c>
      <c r="J69" t="s">
        <v>282</v>
      </c>
      <c r="K69" t="s">
        <v>118</v>
      </c>
    </row>
    <row r="70" spans="1:14" x14ac:dyDescent="0.35">
      <c r="A70" t="s">
        <v>48</v>
      </c>
      <c r="B70" t="s">
        <v>3</v>
      </c>
      <c r="C70" s="27">
        <v>15</v>
      </c>
      <c r="D70">
        <v>21</v>
      </c>
      <c r="E70">
        <v>3</v>
      </c>
      <c r="F70" s="4">
        <f t="shared" si="1"/>
        <v>45</v>
      </c>
      <c r="G70" t="str">
        <f>IF(Table2[[#This Row],[Sold]]&gt;1000,"High Quality","Normal Quality")</f>
        <v>Normal Quality</v>
      </c>
      <c r="H70" s="12">
        <v>45360.884652777779</v>
      </c>
      <c r="I70" t="s">
        <v>273</v>
      </c>
      <c r="J70" t="s">
        <v>274</v>
      </c>
      <c r="K70" t="s">
        <v>118</v>
      </c>
      <c r="M70" t="s">
        <v>635</v>
      </c>
      <c r="N70" t="s">
        <v>636</v>
      </c>
    </row>
    <row r="71" spans="1:14" x14ac:dyDescent="0.35">
      <c r="A71" t="s">
        <v>2</v>
      </c>
      <c r="B71" t="s">
        <v>3</v>
      </c>
      <c r="C71" s="27">
        <v>25.89</v>
      </c>
      <c r="D71">
        <v>9</v>
      </c>
      <c r="E71">
        <v>4</v>
      </c>
      <c r="F71" s="4">
        <f t="shared" si="1"/>
        <v>103.56</v>
      </c>
      <c r="G71" t="str">
        <f>IF(Table2[[#This Row],[Sold]]&gt;1000,"High Quality","Normal Quality")</f>
        <v>Normal Quality</v>
      </c>
      <c r="H71" s="12">
        <v>45360.943310185183</v>
      </c>
      <c r="I71" t="s">
        <v>509</v>
      </c>
      <c r="J71" t="s">
        <v>505</v>
      </c>
      <c r="K71" t="s">
        <v>118</v>
      </c>
      <c r="M71" t="s">
        <v>637</v>
      </c>
      <c r="N71" s="12">
        <f ca="1">TODAY()</f>
        <v>45982</v>
      </c>
    </row>
    <row r="72" spans="1:14" x14ac:dyDescent="0.35">
      <c r="A72" t="s">
        <v>9</v>
      </c>
      <c r="B72" t="s">
        <v>37</v>
      </c>
      <c r="C72" s="27">
        <v>29.99</v>
      </c>
      <c r="D72">
        <v>110</v>
      </c>
      <c r="E72">
        <v>60</v>
      </c>
      <c r="F72" s="4">
        <f t="shared" si="1"/>
        <v>1799.3999999999999</v>
      </c>
      <c r="G72" t="str">
        <f>IF(Table2[[#This Row],[Sold]]&gt;1000,"High Quality","Normal Quality")</f>
        <v>Normal Quality</v>
      </c>
      <c r="H72" s="12">
        <v>45361.305428240739</v>
      </c>
      <c r="I72" t="s">
        <v>285</v>
      </c>
      <c r="J72" t="s">
        <v>286</v>
      </c>
      <c r="K72" t="s">
        <v>118</v>
      </c>
      <c r="M72" t="s">
        <v>638</v>
      </c>
      <c r="N72" s="13">
        <f ca="1">NOW()</f>
        <v>45982.076122685183</v>
      </c>
    </row>
    <row r="73" spans="1:14" x14ac:dyDescent="0.35">
      <c r="A73" t="s">
        <v>44</v>
      </c>
      <c r="B73" t="s">
        <v>3</v>
      </c>
      <c r="C73" s="27">
        <v>32.5</v>
      </c>
      <c r="D73">
        <v>8</v>
      </c>
      <c r="E73">
        <v>634</v>
      </c>
      <c r="F73" s="4">
        <f t="shared" si="1"/>
        <v>20605</v>
      </c>
      <c r="G73" t="str">
        <f>IF(Table2[[#This Row],[Sold]]&gt;1000,"High Quality","Normal Quality")</f>
        <v>Normal Quality</v>
      </c>
      <c r="H73" s="12">
        <v>45361.431354166663</v>
      </c>
      <c r="I73" t="s">
        <v>291</v>
      </c>
      <c r="J73" t="s">
        <v>274</v>
      </c>
      <c r="K73" t="s">
        <v>118</v>
      </c>
      <c r="M73" t="s">
        <v>639</v>
      </c>
      <c r="N73">
        <f ca="1">YEAR(N71)</f>
        <v>2025</v>
      </c>
    </row>
    <row r="74" spans="1:14" x14ac:dyDescent="0.35">
      <c r="A74" t="s">
        <v>16</v>
      </c>
      <c r="B74" t="s">
        <v>3</v>
      </c>
      <c r="C74" s="27">
        <v>39.99</v>
      </c>
      <c r="D74">
        <v>4</v>
      </c>
      <c r="E74">
        <v>19</v>
      </c>
      <c r="F74" s="4">
        <f t="shared" si="1"/>
        <v>759.81000000000006</v>
      </c>
      <c r="G74" t="str">
        <f>IF(Table2[[#This Row],[Sold]]&gt;1000,"High Quality","Normal Quality")</f>
        <v>Normal Quality</v>
      </c>
      <c r="H74" s="12">
        <v>45361.458020833335</v>
      </c>
      <c r="I74" t="s">
        <v>325</v>
      </c>
      <c r="J74" t="s">
        <v>266</v>
      </c>
      <c r="K74" t="s">
        <v>118</v>
      </c>
      <c r="M74" t="s">
        <v>640</v>
      </c>
      <c r="N74">
        <f ca="1">MONTH(N71)</f>
        <v>11</v>
      </c>
    </row>
    <row r="75" spans="1:14" x14ac:dyDescent="0.35">
      <c r="A75" t="s">
        <v>29</v>
      </c>
      <c r="B75" t="s">
        <v>1</v>
      </c>
      <c r="C75" s="27">
        <v>79.989999999999995</v>
      </c>
      <c r="D75">
        <v>15</v>
      </c>
      <c r="E75">
        <v>17</v>
      </c>
      <c r="F75" s="4">
        <f t="shared" si="1"/>
        <v>1359.83</v>
      </c>
      <c r="G75" t="str">
        <f>IF(Table2[[#This Row],[Sold]]&gt;1000,"High Quality","Normal Quality")</f>
        <v>Normal Quality</v>
      </c>
      <c r="H75" s="12">
        <v>45361.737719907411</v>
      </c>
      <c r="I75" t="s">
        <v>322</v>
      </c>
      <c r="J75" t="s">
        <v>282</v>
      </c>
      <c r="K75" t="s">
        <v>118</v>
      </c>
      <c r="M75" t="s">
        <v>641</v>
      </c>
      <c r="N75">
        <f ca="1">WEEKDAY(N71,17)</f>
        <v>6</v>
      </c>
    </row>
    <row r="76" spans="1:14" x14ac:dyDescent="0.35">
      <c r="A76" t="s">
        <v>100</v>
      </c>
      <c r="B76" t="s">
        <v>1</v>
      </c>
      <c r="C76" s="27">
        <v>139.99</v>
      </c>
      <c r="D76">
        <v>10</v>
      </c>
      <c r="E76">
        <v>4</v>
      </c>
      <c r="F76" s="4">
        <f t="shared" si="1"/>
        <v>559.96</v>
      </c>
      <c r="G76" t="str">
        <f>IF(Table2[[#This Row],[Sold]]&gt;1000,"High Quality","Normal Quality")</f>
        <v>Normal Quality</v>
      </c>
      <c r="H76" s="12">
        <v>45361.911898148152</v>
      </c>
      <c r="I76" t="s">
        <v>273</v>
      </c>
      <c r="J76" t="s">
        <v>274</v>
      </c>
      <c r="K76" t="s">
        <v>118</v>
      </c>
      <c r="M76" t="s">
        <v>642</v>
      </c>
      <c r="N76">
        <f ca="1">DATEDIF(H2,N71,"D")</f>
        <v>1128</v>
      </c>
    </row>
    <row r="77" spans="1:14" x14ac:dyDescent="0.35">
      <c r="A77" t="s">
        <v>4</v>
      </c>
      <c r="B77" t="s">
        <v>3</v>
      </c>
      <c r="C77" s="27">
        <v>29.99</v>
      </c>
      <c r="D77">
        <v>3</v>
      </c>
      <c r="E77">
        <v>61</v>
      </c>
      <c r="F77" s="4">
        <f t="shared" si="1"/>
        <v>1829.3899999999999</v>
      </c>
      <c r="G77" t="str">
        <f>IF(Table2[[#This Row],[Sold]]&gt;1000,"High Quality","Normal Quality")</f>
        <v>Normal Quality</v>
      </c>
      <c r="H77" s="12">
        <v>45362.085509259261</v>
      </c>
      <c r="I77" t="s">
        <v>273</v>
      </c>
      <c r="J77" t="s">
        <v>274</v>
      </c>
      <c r="K77" t="s">
        <v>118</v>
      </c>
    </row>
    <row r="78" spans="1:14" ht="15.5" x14ac:dyDescent="0.35">
      <c r="A78" t="s">
        <v>38</v>
      </c>
      <c r="B78" t="s">
        <v>1</v>
      </c>
      <c r="C78" s="27">
        <v>35.99</v>
      </c>
      <c r="D78">
        <v>10</v>
      </c>
      <c r="E78">
        <v>3</v>
      </c>
      <c r="F78" s="4">
        <f t="shared" si="1"/>
        <v>107.97</v>
      </c>
      <c r="G78" t="str">
        <f>IF(Table2[[#This Row],[Sold]]&gt;1000,"High Quality","Normal Quality")</f>
        <v>Normal Quality</v>
      </c>
      <c r="H78" s="12">
        <v>45362.160567129627</v>
      </c>
      <c r="I78" t="s">
        <v>301</v>
      </c>
      <c r="J78" t="s">
        <v>267</v>
      </c>
      <c r="K78" t="s">
        <v>118</v>
      </c>
      <c r="M78" s="15" t="s">
        <v>644</v>
      </c>
      <c r="N78" s="15"/>
    </row>
    <row r="79" spans="1:14" x14ac:dyDescent="0.35">
      <c r="A79" t="s">
        <v>11</v>
      </c>
      <c r="B79" t="s">
        <v>1</v>
      </c>
      <c r="C79" s="27">
        <v>69.989999999999995</v>
      </c>
      <c r="D79">
        <v>13</v>
      </c>
      <c r="E79">
        <v>49</v>
      </c>
      <c r="F79" s="4">
        <f t="shared" si="1"/>
        <v>3429.5099999999998</v>
      </c>
      <c r="G79" t="str">
        <f>IF(Table2[[#This Row],[Sold]]&gt;1000,"High Quality","Normal Quality")</f>
        <v>Normal Quality</v>
      </c>
      <c r="H79" s="12">
        <v>45362.1875462963</v>
      </c>
      <c r="I79" t="s">
        <v>333</v>
      </c>
      <c r="J79" t="s">
        <v>283</v>
      </c>
      <c r="K79" t="s">
        <v>536</v>
      </c>
      <c r="M79" s="8" t="s">
        <v>653</v>
      </c>
    </row>
    <row r="80" spans="1:14" x14ac:dyDescent="0.35">
      <c r="A80" t="s">
        <v>37</v>
      </c>
      <c r="B80" t="s">
        <v>3</v>
      </c>
      <c r="C80" s="27">
        <v>14.99</v>
      </c>
      <c r="D80">
        <v>10</v>
      </c>
      <c r="E80">
        <v>72</v>
      </c>
      <c r="F80" s="4">
        <f t="shared" si="1"/>
        <v>1079.28</v>
      </c>
      <c r="G80" t="str">
        <f>IF(Table2[[#This Row],[Sold]]&gt;1000,"High Quality","Normal Quality")</f>
        <v>Normal Quality</v>
      </c>
      <c r="H80" s="12">
        <v>45362.317928240744</v>
      </c>
      <c r="I80" t="s">
        <v>425</v>
      </c>
      <c r="J80" t="s">
        <v>426</v>
      </c>
      <c r="K80" t="s">
        <v>118</v>
      </c>
    </row>
    <row r="81" spans="1:11" x14ac:dyDescent="0.35">
      <c r="A81" t="s">
        <v>123</v>
      </c>
      <c r="B81" t="s">
        <v>1</v>
      </c>
      <c r="C81" s="27">
        <v>90.11</v>
      </c>
      <c r="D81">
        <v>6</v>
      </c>
      <c r="E81">
        <v>51</v>
      </c>
      <c r="F81" s="4">
        <f t="shared" si="1"/>
        <v>4595.6099999999997</v>
      </c>
      <c r="G81" t="str">
        <f>IF(Table2[[#This Row],[Sold]]&gt;1000,"High Quality","Normal Quality")</f>
        <v>Normal Quality</v>
      </c>
      <c r="H81" s="12">
        <v>45362.396215277775</v>
      </c>
      <c r="I81" t="s">
        <v>435</v>
      </c>
      <c r="J81" t="s">
        <v>436</v>
      </c>
      <c r="K81" t="s">
        <v>118</v>
      </c>
    </row>
    <row r="82" spans="1:11" x14ac:dyDescent="0.35">
      <c r="A82" t="s">
        <v>231</v>
      </c>
      <c r="B82" t="s">
        <v>1</v>
      </c>
      <c r="C82" s="27">
        <v>15.99</v>
      </c>
      <c r="D82">
        <v>9</v>
      </c>
      <c r="E82">
        <v>91</v>
      </c>
      <c r="F82" s="4">
        <f t="shared" si="1"/>
        <v>1455.09</v>
      </c>
      <c r="G82" t="str">
        <f>IF(Table2[[#This Row],[Sold]]&gt;1000,"High Quality","Normal Quality")</f>
        <v>Normal Quality</v>
      </c>
      <c r="H82" s="12">
        <v>45362.400740740741</v>
      </c>
      <c r="I82" t="s">
        <v>506</v>
      </c>
      <c r="J82" t="s">
        <v>505</v>
      </c>
      <c r="K82" t="s">
        <v>118</v>
      </c>
    </row>
    <row r="83" spans="1:11" x14ac:dyDescent="0.35">
      <c r="A83" t="s">
        <v>104</v>
      </c>
      <c r="B83" t="s">
        <v>1</v>
      </c>
      <c r="C83" s="27">
        <v>139.99</v>
      </c>
      <c r="D83">
        <v>16</v>
      </c>
      <c r="E83">
        <v>46</v>
      </c>
      <c r="F83" s="4">
        <f t="shared" si="1"/>
        <v>6439.5400000000009</v>
      </c>
      <c r="G83" t="str">
        <f>IF(Table2[[#This Row],[Sold]]&gt;1000,"High Quality","Normal Quality")</f>
        <v>Normal Quality</v>
      </c>
      <c r="H83" s="12">
        <v>45362.631597222222</v>
      </c>
      <c r="I83" t="s">
        <v>415</v>
      </c>
      <c r="J83" t="s">
        <v>356</v>
      </c>
      <c r="K83" t="s">
        <v>118</v>
      </c>
    </row>
    <row r="84" spans="1:11" x14ac:dyDescent="0.35">
      <c r="A84" t="s">
        <v>136</v>
      </c>
      <c r="B84" t="s">
        <v>3</v>
      </c>
      <c r="C84" s="27">
        <v>49.52</v>
      </c>
      <c r="D84">
        <v>31</v>
      </c>
      <c r="E84">
        <v>20</v>
      </c>
      <c r="F84" s="4">
        <f t="shared" si="1"/>
        <v>990.40000000000009</v>
      </c>
      <c r="G84" t="str">
        <f>IF(Table2[[#This Row],[Sold]]&gt;1000,"High Quality","Normal Quality")</f>
        <v>Normal Quality</v>
      </c>
      <c r="H84" s="12">
        <v>45362.864930555559</v>
      </c>
      <c r="I84" t="s">
        <v>290</v>
      </c>
      <c r="J84" t="s">
        <v>506</v>
      </c>
      <c r="K84" t="s">
        <v>118</v>
      </c>
    </row>
    <row r="85" spans="1:11" x14ac:dyDescent="0.35">
      <c r="A85" t="s">
        <v>134</v>
      </c>
      <c r="B85" t="s">
        <v>3</v>
      </c>
      <c r="C85" s="27">
        <v>13.97</v>
      </c>
      <c r="D85">
        <v>6</v>
      </c>
      <c r="E85">
        <v>957</v>
      </c>
      <c r="F85" s="4">
        <f t="shared" si="1"/>
        <v>13369.29</v>
      </c>
      <c r="G85" t="str">
        <f>IF(Table2[[#This Row],[Sold]]&gt;1000,"High Quality","Normal Quality")</f>
        <v>Normal Quality</v>
      </c>
      <c r="H85" s="12">
        <v>45362.988067129627</v>
      </c>
      <c r="I85" t="s">
        <v>291</v>
      </c>
      <c r="J85" t="s">
        <v>274</v>
      </c>
      <c r="K85" t="s">
        <v>118</v>
      </c>
    </row>
    <row r="86" spans="1:11" x14ac:dyDescent="0.35">
      <c r="A86" t="s">
        <v>10</v>
      </c>
      <c r="B86" t="s">
        <v>3</v>
      </c>
      <c r="C86" s="27">
        <v>34.99</v>
      </c>
      <c r="D86">
        <v>0</v>
      </c>
      <c r="E86">
        <v>48</v>
      </c>
      <c r="F86" s="4">
        <f t="shared" si="1"/>
        <v>1679.52</v>
      </c>
      <c r="G86" t="str">
        <f>IF(Table2[[#This Row],[Sold]]&gt;1000,"High Quality","Normal Quality")</f>
        <v>Normal Quality</v>
      </c>
      <c r="H86" s="12">
        <v>45363.390381944446</v>
      </c>
      <c r="I86" t="s">
        <v>292</v>
      </c>
      <c r="J86" t="s">
        <v>317</v>
      </c>
      <c r="K86" t="s">
        <v>333</v>
      </c>
    </row>
    <row r="87" spans="1:11" x14ac:dyDescent="0.35">
      <c r="A87" t="s">
        <v>15</v>
      </c>
      <c r="B87" t="s">
        <v>1</v>
      </c>
      <c r="C87" s="27">
        <v>28.8</v>
      </c>
      <c r="D87">
        <v>83</v>
      </c>
      <c r="E87">
        <v>712</v>
      </c>
      <c r="F87" s="4">
        <f t="shared" si="1"/>
        <v>20505.600000000002</v>
      </c>
      <c r="G87" t="str">
        <f>IF(Table2[[#This Row],[Sold]]&gt;1000,"High Quality","Normal Quality")</f>
        <v>Normal Quality</v>
      </c>
      <c r="H87" s="12">
        <v>45363.677546296298</v>
      </c>
      <c r="I87" t="s">
        <v>509</v>
      </c>
      <c r="J87" t="s">
        <v>505</v>
      </c>
      <c r="K87" t="s">
        <v>118</v>
      </c>
    </row>
    <row r="88" spans="1:11" x14ac:dyDescent="0.35">
      <c r="A88" t="s">
        <v>9</v>
      </c>
      <c r="B88" t="s">
        <v>3</v>
      </c>
      <c r="C88" s="27">
        <v>22.99</v>
      </c>
      <c r="D88">
        <v>3</v>
      </c>
      <c r="E88">
        <v>14</v>
      </c>
      <c r="F88" s="4">
        <f t="shared" si="1"/>
        <v>321.85999999999996</v>
      </c>
      <c r="G88" t="str">
        <f>IF(Table2[[#This Row],[Sold]]&gt;1000,"High Quality","Normal Quality")</f>
        <v>Normal Quality</v>
      </c>
      <c r="H88" s="12">
        <v>45363.712789351855</v>
      </c>
      <c r="I88" t="s">
        <v>509</v>
      </c>
      <c r="J88" t="s">
        <v>505</v>
      </c>
      <c r="K88" t="s">
        <v>118</v>
      </c>
    </row>
    <row r="89" spans="1:11" x14ac:dyDescent="0.35">
      <c r="A89" t="s">
        <v>4</v>
      </c>
      <c r="B89" t="s">
        <v>1</v>
      </c>
      <c r="C89" s="27">
        <v>25.95</v>
      </c>
      <c r="D89">
        <v>10</v>
      </c>
      <c r="E89">
        <v>280</v>
      </c>
      <c r="F89" s="4">
        <f t="shared" si="1"/>
        <v>7266</v>
      </c>
      <c r="G89" t="str">
        <f>IF(Table2[[#This Row],[Sold]]&gt;1000,"High Quality","Normal Quality")</f>
        <v>Normal Quality</v>
      </c>
      <c r="H89" s="12">
        <v>45363.71601851852</v>
      </c>
      <c r="I89" t="s">
        <v>372</v>
      </c>
      <c r="J89" t="s">
        <v>274</v>
      </c>
      <c r="K89" t="s">
        <v>118</v>
      </c>
    </row>
    <row r="90" spans="1:11" x14ac:dyDescent="0.35">
      <c r="A90" t="s">
        <v>198</v>
      </c>
      <c r="B90" t="s">
        <v>3</v>
      </c>
      <c r="C90" s="27">
        <v>43.47</v>
      </c>
      <c r="D90">
        <v>49</v>
      </c>
      <c r="E90">
        <v>34</v>
      </c>
      <c r="F90" s="4">
        <f t="shared" si="1"/>
        <v>1477.98</v>
      </c>
      <c r="G90" t="str">
        <f>IF(Table2[[#This Row],[Sold]]&gt;1000,"High Quality","Normal Quality")</f>
        <v>Normal Quality</v>
      </c>
      <c r="H90" s="12">
        <v>45363.736493055556</v>
      </c>
      <c r="I90" t="s">
        <v>549</v>
      </c>
      <c r="J90" t="s">
        <v>283</v>
      </c>
      <c r="K90" t="s">
        <v>536</v>
      </c>
    </row>
    <row r="91" spans="1:11" x14ac:dyDescent="0.35">
      <c r="A91" t="s">
        <v>87</v>
      </c>
      <c r="B91" t="s">
        <v>37</v>
      </c>
      <c r="C91" s="27">
        <v>17.89</v>
      </c>
      <c r="D91">
        <v>10</v>
      </c>
      <c r="E91">
        <v>2256</v>
      </c>
      <c r="F91" s="4">
        <f t="shared" si="1"/>
        <v>40359.840000000004</v>
      </c>
      <c r="G91" t="str">
        <f>IF(Table2[[#This Row],[Sold]]&gt;1000,"High Quality","Normal Quality")</f>
        <v>High Quality</v>
      </c>
      <c r="H91" s="12">
        <v>45363.754583333335</v>
      </c>
      <c r="I91" t="s">
        <v>386</v>
      </c>
      <c r="J91" t="s">
        <v>286</v>
      </c>
      <c r="K91" t="s">
        <v>118</v>
      </c>
    </row>
    <row r="92" spans="1:11" x14ac:dyDescent="0.35">
      <c r="A92" t="s">
        <v>123</v>
      </c>
      <c r="B92" t="s">
        <v>1</v>
      </c>
      <c r="C92" s="27">
        <v>89.99</v>
      </c>
      <c r="D92">
        <v>3</v>
      </c>
      <c r="E92">
        <v>8</v>
      </c>
      <c r="F92" s="4">
        <f t="shared" si="1"/>
        <v>719.92</v>
      </c>
      <c r="G92" t="str">
        <f>IF(Table2[[#This Row],[Sold]]&gt;1000,"High Quality","Normal Quality")</f>
        <v>Normal Quality</v>
      </c>
      <c r="H92" s="12">
        <v>45363.849074074074</v>
      </c>
      <c r="I92" t="s">
        <v>439</v>
      </c>
      <c r="J92" t="s">
        <v>535</v>
      </c>
      <c r="K92" t="s">
        <v>118</v>
      </c>
    </row>
    <row r="93" spans="1:11" x14ac:dyDescent="0.35">
      <c r="A93" t="s">
        <v>48</v>
      </c>
      <c r="B93" t="s">
        <v>1</v>
      </c>
      <c r="C93" s="27">
        <v>48.97</v>
      </c>
      <c r="D93">
        <v>0</v>
      </c>
      <c r="E93">
        <v>30</v>
      </c>
      <c r="F93" s="4">
        <f t="shared" si="1"/>
        <v>1469.1</v>
      </c>
      <c r="G93" t="str">
        <f>IF(Table2[[#This Row],[Sold]]&gt;1000,"High Quality","Normal Quality")</f>
        <v>Normal Quality</v>
      </c>
      <c r="H93" s="12">
        <v>45364.124293981484</v>
      </c>
      <c r="I93" t="s">
        <v>476</v>
      </c>
      <c r="J93" t="s">
        <v>477</v>
      </c>
      <c r="K93" t="s">
        <v>118</v>
      </c>
    </row>
    <row r="94" spans="1:11" x14ac:dyDescent="0.35">
      <c r="A94" t="s">
        <v>112</v>
      </c>
      <c r="B94" t="s">
        <v>37</v>
      </c>
      <c r="C94" s="27">
        <v>12</v>
      </c>
      <c r="D94">
        <v>10</v>
      </c>
      <c r="E94">
        <v>22</v>
      </c>
      <c r="F94" s="4">
        <f t="shared" si="1"/>
        <v>264</v>
      </c>
      <c r="G94" t="str">
        <f>IF(Table2[[#This Row],[Sold]]&gt;1000,"High Quality","Normal Quality")</f>
        <v>Normal Quality</v>
      </c>
      <c r="H94" s="12">
        <v>45364.242800925924</v>
      </c>
      <c r="I94" t="s">
        <v>488</v>
      </c>
      <c r="J94" t="s">
        <v>286</v>
      </c>
      <c r="K94" t="s">
        <v>118</v>
      </c>
    </row>
    <row r="95" spans="1:11" x14ac:dyDescent="0.35">
      <c r="A95" t="s">
        <v>88</v>
      </c>
      <c r="B95" t="s">
        <v>37</v>
      </c>
      <c r="C95" s="27">
        <v>10.19</v>
      </c>
      <c r="D95">
        <v>10</v>
      </c>
      <c r="E95">
        <v>330</v>
      </c>
      <c r="F95" s="4">
        <f t="shared" si="1"/>
        <v>3362.7</v>
      </c>
      <c r="G95" t="str">
        <f>IF(Table2[[#This Row],[Sold]]&gt;1000,"High Quality","Normal Quality")</f>
        <v>Normal Quality</v>
      </c>
      <c r="H95" s="12">
        <v>45364.397210648145</v>
      </c>
      <c r="I95" t="s">
        <v>291</v>
      </c>
      <c r="J95" t="s">
        <v>274</v>
      </c>
      <c r="K95" t="s">
        <v>118</v>
      </c>
    </row>
    <row r="96" spans="1:11" x14ac:dyDescent="0.35">
      <c r="A96" t="s">
        <v>9</v>
      </c>
      <c r="B96" t="s">
        <v>3</v>
      </c>
      <c r="C96" s="27">
        <v>31.99</v>
      </c>
      <c r="D96">
        <v>3</v>
      </c>
      <c r="E96">
        <v>15</v>
      </c>
      <c r="F96" s="4">
        <f t="shared" si="1"/>
        <v>479.84999999999997</v>
      </c>
      <c r="G96" t="str">
        <f>IF(Table2[[#This Row],[Sold]]&gt;1000,"High Quality","Normal Quality")</f>
        <v>Normal Quality</v>
      </c>
      <c r="H96" s="12">
        <v>45364.3983912037</v>
      </c>
      <c r="I96" t="s">
        <v>278</v>
      </c>
      <c r="J96" t="s">
        <v>266</v>
      </c>
      <c r="K96" t="s">
        <v>118</v>
      </c>
    </row>
    <row r="97" spans="1:11" x14ac:dyDescent="0.35">
      <c r="A97" t="s">
        <v>55</v>
      </c>
      <c r="B97" t="s">
        <v>3</v>
      </c>
      <c r="C97" s="27">
        <v>23</v>
      </c>
      <c r="D97">
        <v>10</v>
      </c>
      <c r="E97">
        <v>9</v>
      </c>
      <c r="F97" s="4">
        <f t="shared" si="1"/>
        <v>207</v>
      </c>
      <c r="G97" t="str">
        <f>IF(Table2[[#This Row],[Sold]]&gt;1000,"High Quality","Normal Quality")</f>
        <v>Normal Quality</v>
      </c>
      <c r="H97" s="12">
        <v>45364.400706018518</v>
      </c>
      <c r="I97" t="s">
        <v>381</v>
      </c>
      <c r="J97" t="s">
        <v>282</v>
      </c>
      <c r="K97" t="s">
        <v>118</v>
      </c>
    </row>
    <row r="98" spans="1:11" x14ac:dyDescent="0.35">
      <c r="A98" t="s">
        <v>58</v>
      </c>
      <c r="B98" t="s">
        <v>3</v>
      </c>
      <c r="C98" s="27">
        <v>30.99</v>
      </c>
      <c r="D98">
        <v>0</v>
      </c>
      <c r="E98">
        <v>866</v>
      </c>
      <c r="F98" s="4">
        <f t="shared" si="1"/>
        <v>26837.34</v>
      </c>
      <c r="G98" t="str">
        <f>IF(Table2[[#This Row],[Sold]]&gt;1000,"High Quality","Normal Quality")</f>
        <v>Normal Quality</v>
      </c>
      <c r="H98" s="12">
        <v>45364.418078703704</v>
      </c>
      <c r="I98" t="s">
        <v>509</v>
      </c>
      <c r="J98" t="s">
        <v>505</v>
      </c>
      <c r="K98" t="s">
        <v>118</v>
      </c>
    </row>
    <row r="99" spans="1:11" x14ac:dyDescent="0.35">
      <c r="A99" t="s">
        <v>42</v>
      </c>
      <c r="B99" t="s">
        <v>1</v>
      </c>
      <c r="C99" s="27">
        <v>161.99</v>
      </c>
      <c r="D99">
        <v>3</v>
      </c>
      <c r="E99">
        <v>129</v>
      </c>
      <c r="F99" s="4">
        <f t="shared" si="1"/>
        <v>20896.710000000003</v>
      </c>
      <c r="G99" t="str">
        <f>IF(Table2[[#This Row],[Sold]]&gt;1000,"High Quality","Normal Quality")</f>
        <v>Normal Quality</v>
      </c>
      <c r="H99" s="12">
        <v>45364.445</v>
      </c>
      <c r="I99" t="s">
        <v>285</v>
      </c>
      <c r="J99" t="s">
        <v>286</v>
      </c>
      <c r="K99" t="s">
        <v>118</v>
      </c>
    </row>
    <row r="100" spans="1:11" x14ac:dyDescent="0.35">
      <c r="A100" t="s">
        <v>13</v>
      </c>
      <c r="B100" t="s">
        <v>3</v>
      </c>
      <c r="C100" s="27">
        <v>39.99</v>
      </c>
      <c r="D100">
        <v>6</v>
      </c>
      <c r="E100">
        <v>23</v>
      </c>
      <c r="F100" s="4">
        <f t="shared" si="1"/>
        <v>919.7700000000001</v>
      </c>
      <c r="G100" t="str">
        <f>IF(Table2[[#This Row],[Sold]]&gt;1000,"High Quality","Normal Quality")</f>
        <v>Normal Quality</v>
      </c>
      <c r="H100" s="12">
        <v>45364.484259259261</v>
      </c>
      <c r="I100" t="s">
        <v>325</v>
      </c>
      <c r="J100" t="s">
        <v>266</v>
      </c>
      <c r="K100" t="s">
        <v>118</v>
      </c>
    </row>
    <row r="101" spans="1:11" x14ac:dyDescent="0.35">
      <c r="A101" t="s">
        <v>16</v>
      </c>
      <c r="B101" t="s">
        <v>3</v>
      </c>
      <c r="C101" s="27">
        <v>32.130000000000003</v>
      </c>
      <c r="D101">
        <v>0</v>
      </c>
      <c r="E101">
        <v>85</v>
      </c>
      <c r="F101" s="4">
        <f t="shared" si="1"/>
        <v>2731.05</v>
      </c>
      <c r="G101" t="str">
        <f>IF(Table2[[#This Row],[Sold]]&gt;1000,"High Quality","Normal Quality")</f>
        <v>Normal Quality</v>
      </c>
      <c r="H101" s="12">
        <v>45364.58258101852</v>
      </c>
      <c r="I101" t="s">
        <v>291</v>
      </c>
      <c r="J101" t="s">
        <v>274</v>
      </c>
      <c r="K101" t="s">
        <v>118</v>
      </c>
    </row>
    <row r="102" spans="1:11" x14ac:dyDescent="0.35">
      <c r="A102" t="s">
        <v>55</v>
      </c>
      <c r="B102" t="s">
        <v>1</v>
      </c>
      <c r="C102" s="27">
        <v>69.95</v>
      </c>
      <c r="D102">
        <v>7</v>
      </c>
      <c r="E102">
        <v>120</v>
      </c>
      <c r="F102" s="4">
        <f t="shared" si="1"/>
        <v>8394</v>
      </c>
      <c r="G102" t="str">
        <f>IF(Table2[[#This Row],[Sold]]&gt;1000,"High Quality","Normal Quality")</f>
        <v>Normal Quality</v>
      </c>
      <c r="H102" s="12">
        <v>45364.743634259263</v>
      </c>
      <c r="I102" t="s">
        <v>509</v>
      </c>
      <c r="J102" t="s">
        <v>505</v>
      </c>
      <c r="K102" t="s">
        <v>118</v>
      </c>
    </row>
    <row r="103" spans="1:11" x14ac:dyDescent="0.35">
      <c r="A103" t="s">
        <v>103</v>
      </c>
      <c r="B103" t="s">
        <v>3</v>
      </c>
      <c r="C103" s="27">
        <v>25.49</v>
      </c>
      <c r="D103">
        <v>4</v>
      </c>
      <c r="E103">
        <v>2093</v>
      </c>
      <c r="F103" s="4">
        <f t="shared" si="1"/>
        <v>53350.57</v>
      </c>
      <c r="G103" t="str">
        <f>IF(Table2[[#This Row],[Sold]]&gt;1000,"High Quality","Normal Quality")</f>
        <v>High Quality</v>
      </c>
      <c r="H103" s="12">
        <v>45364.79246527778</v>
      </c>
      <c r="I103" t="s">
        <v>291</v>
      </c>
      <c r="J103" t="s">
        <v>274</v>
      </c>
      <c r="K103" t="s">
        <v>118</v>
      </c>
    </row>
    <row r="104" spans="1:11" x14ac:dyDescent="0.35">
      <c r="A104" t="s">
        <v>217</v>
      </c>
      <c r="B104" t="s">
        <v>1</v>
      </c>
      <c r="C104" s="27">
        <v>39.99</v>
      </c>
      <c r="D104">
        <v>3</v>
      </c>
      <c r="E104">
        <v>153</v>
      </c>
      <c r="F104" s="4">
        <f t="shared" si="1"/>
        <v>6118.47</v>
      </c>
      <c r="G104" t="str">
        <f>IF(Table2[[#This Row],[Sold]]&gt;1000,"High Quality","Normal Quality")</f>
        <v>Normal Quality</v>
      </c>
      <c r="H104" s="12">
        <v>45364.795787037037</v>
      </c>
      <c r="I104" t="s">
        <v>339</v>
      </c>
      <c r="J104" t="s">
        <v>507</v>
      </c>
      <c r="K104" t="s">
        <v>118</v>
      </c>
    </row>
    <row r="105" spans="1:11" x14ac:dyDescent="0.35">
      <c r="A105" t="s">
        <v>141</v>
      </c>
      <c r="B105" t="s">
        <v>3</v>
      </c>
      <c r="C105" s="27">
        <v>56</v>
      </c>
      <c r="D105">
        <v>0</v>
      </c>
      <c r="E105">
        <v>6</v>
      </c>
      <c r="F105" s="4">
        <f t="shared" si="1"/>
        <v>336</v>
      </c>
      <c r="G105" t="str">
        <f>IF(Table2[[#This Row],[Sold]]&gt;1000,"High Quality","Normal Quality")</f>
        <v>Normal Quality</v>
      </c>
      <c r="H105" s="12">
        <v>45365.152187500003</v>
      </c>
      <c r="I105" t="s">
        <v>393</v>
      </c>
      <c r="J105" t="s">
        <v>286</v>
      </c>
      <c r="K105" t="s">
        <v>118</v>
      </c>
    </row>
    <row r="106" spans="1:11" x14ac:dyDescent="0.35">
      <c r="A106" t="s">
        <v>231</v>
      </c>
      <c r="B106" t="s">
        <v>1</v>
      </c>
      <c r="C106" s="27">
        <v>94.99</v>
      </c>
      <c r="D106">
        <v>101</v>
      </c>
      <c r="E106">
        <v>581</v>
      </c>
      <c r="F106" s="4">
        <f t="shared" si="1"/>
        <v>55189.189999999995</v>
      </c>
      <c r="G106" t="str">
        <f>IF(Table2[[#This Row],[Sold]]&gt;1000,"High Quality","Normal Quality")</f>
        <v>Normal Quality</v>
      </c>
      <c r="H106" s="12">
        <v>45365.307962962965</v>
      </c>
      <c r="I106" t="s">
        <v>285</v>
      </c>
      <c r="J106" t="s">
        <v>286</v>
      </c>
      <c r="K106" t="s">
        <v>118</v>
      </c>
    </row>
    <row r="107" spans="1:11" x14ac:dyDescent="0.35">
      <c r="A107" t="s">
        <v>4</v>
      </c>
      <c r="B107" t="s">
        <v>1</v>
      </c>
      <c r="C107" s="27">
        <v>79.989999999999995</v>
      </c>
      <c r="D107">
        <v>10</v>
      </c>
      <c r="E107">
        <v>47</v>
      </c>
      <c r="F107" s="4">
        <f t="shared" si="1"/>
        <v>3759.5299999999997</v>
      </c>
      <c r="G107" t="str">
        <f>IF(Table2[[#This Row],[Sold]]&gt;1000,"High Quality","Normal Quality")</f>
        <v>Normal Quality</v>
      </c>
      <c r="H107" s="12">
        <v>45365.356712962966</v>
      </c>
      <c r="I107" t="s">
        <v>357</v>
      </c>
      <c r="J107" t="s">
        <v>266</v>
      </c>
      <c r="K107" t="s">
        <v>118</v>
      </c>
    </row>
    <row r="108" spans="1:11" x14ac:dyDescent="0.35">
      <c r="A108" t="s">
        <v>72</v>
      </c>
      <c r="B108" t="s">
        <v>1</v>
      </c>
      <c r="C108" s="27">
        <v>25.74</v>
      </c>
      <c r="D108">
        <v>10</v>
      </c>
      <c r="E108">
        <v>7</v>
      </c>
      <c r="F108" s="4">
        <f t="shared" si="1"/>
        <v>180.17999999999998</v>
      </c>
      <c r="G108" t="str">
        <f>IF(Table2[[#This Row],[Sold]]&gt;1000,"High Quality","Normal Quality")</f>
        <v>Normal Quality</v>
      </c>
      <c r="H108" s="12">
        <v>45365.478043981479</v>
      </c>
      <c r="I108" t="s">
        <v>291</v>
      </c>
      <c r="J108" t="s">
        <v>274</v>
      </c>
      <c r="K108" t="s">
        <v>118</v>
      </c>
    </row>
    <row r="109" spans="1:11" x14ac:dyDescent="0.35">
      <c r="A109" t="s">
        <v>161</v>
      </c>
      <c r="B109" t="s">
        <v>3</v>
      </c>
      <c r="C109" s="27">
        <v>120</v>
      </c>
      <c r="D109">
        <v>5</v>
      </c>
      <c r="E109">
        <v>7</v>
      </c>
      <c r="F109" s="4">
        <f t="shared" si="1"/>
        <v>840</v>
      </c>
      <c r="G109" t="str">
        <f>IF(Table2[[#This Row],[Sold]]&gt;1000,"High Quality","Normal Quality")</f>
        <v>Normal Quality</v>
      </c>
      <c r="H109" s="12">
        <v>45365.551030092596</v>
      </c>
      <c r="I109" t="s">
        <v>534</v>
      </c>
      <c r="J109" t="s">
        <v>274</v>
      </c>
      <c r="K109" t="s">
        <v>118</v>
      </c>
    </row>
    <row r="110" spans="1:11" x14ac:dyDescent="0.35">
      <c r="A110" t="s">
        <v>36</v>
      </c>
      <c r="B110" t="s">
        <v>37</v>
      </c>
      <c r="C110" s="27">
        <v>24.99</v>
      </c>
      <c r="D110">
        <v>0</v>
      </c>
      <c r="E110">
        <v>18</v>
      </c>
      <c r="F110" s="4">
        <f t="shared" si="1"/>
        <v>449.82</v>
      </c>
      <c r="G110" t="str">
        <f>IF(Table2[[#This Row],[Sold]]&gt;1000,"High Quality","Normal Quality")</f>
        <v>Normal Quality</v>
      </c>
      <c r="H110" s="12">
        <v>45365.554942129631</v>
      </c>
      <c r="I110" t="s">
        <v>518</v>
      </c>
      <c r="J110" t="s">
        <v>505</v>
      </c>
      <c r="K110" t="s">
        <v>118</v>
      </c>
    </row>
    <row r="111" spans="1:11" x14ac:dyDescent="0.35">
      <c r="A111" t="s">
        <v>10</v>
      </c>
      <c r="B111" t="s">
        <v>3</v>
      </c>
      <c r="C111" s="27">
        <v>56.99</v>
      </c>
      <c r="D111">
        <v>5</v>
      </c>
      <c r="E111">
        <v>993</v>
      </c>
      <c r="F111" s="4">
        <f t="shared" si="1"/>
        <v>56591.07</v>
      </c>
      <c r="G111" t="str">
        <f>IF(Table2[[#This Row],[Sold]]&gt;1000,"High Quality","Normal Quality")</f>
        <v>Normal Quality</v>
      </c>
      <c r="H111" s="12">
        <v>45365.649085648147</v>
      </c>
      <c r="I111" t="s">
        <v>291</v>
      </c>
      <c r="J111" t="s">
        <v>274</v>
      </c>
      <c r="K111" t="s">
        <v>118</v>
      </c>
    </row>
    <row r="112" spans="1:11" x14ac:dyDescent="0.35">
      <c r="A112" t="s">
        <v>162</v>
      </c>
      <c r="B112" t="s">
        <v>3</v>
      </c>
      <c r="C112" s="27">
        <v>21.21</v>
      </c>
      <c r="D112">
        <v>9</v>
      </c>
      <c r="E112">
        <v>300</v>
      </c>
      <c r="F112" s="4">
        <f t="shared" si="1"/>
        <v>6363</v>
      </c>
      <c r="G112" t="str">
        <f>IF(Table2[[#This Row],[Sold]]&gt;1000,"High Quality","Normal Quality")</f>
        <v>Normal Quality</v>
      </c>
      <c r="H112" s="12">
        <v>45365.675023148149</v>
      </c>
      <c r="I112" t="s">
        <v>290</v>
      </c>
      <c r="J112" t="s">
        <v>506</v>
      </c>
      <c r="K112" t="s">
        <v>118</v>
      </c>
    </row>
    <row r="113" spans="1:11" x14ac:dyDescent="0.35">
      <c r="A113" t="s">
        <v>11</v>
      </c>
      <c r="B113" t="s">
        <v>1</v>
      </c>
      <c r="C113" s="27">
        <v>89.99</v>
      </c>
      <c r="D113">
        <v>10</v>
      </c>
      <c r="E113">
        <v>5</v>
      </c>
      <c r="F113" s="4">
        <f t="shared" si="1"/>
        <v>449.95</v>
      </c>
      <c r="G113" t="str">
        <f>IF(Table2[[#This Row],[Sold]]&gt;1000,"High Quality","Normal Quality")</f>
        <v>Normal Quality</v>
      </c>
      <c r="H113" s="12">
        <v>45365.863252314812</v>
      </c>
      <c r="I113" t="s">
        <v>506</v>
      </c>
      <c r="J113" t="s">
        <v>118</v>
      </c>
      <c r="K113" t="s">
        <v>333</v>
      </c>
    </row>
    <row r="114" spans="1:11" x14ac:dyDescent="0.35">
      <c r="A114" t="s">
        <v>53</v>
      </c>
      <c r="B114" t="s">
        <v>3</v>
      </c>
      <c r="C114" s="27">
        <v>45.69</v>
      </c>
      <c r="D114">
        <v>0</v>
      </c>
      <c r="E114">
        <v>31</v>
      </c>
      <c r="F114" s="4">
        <f t="shared" si="1"/>
        <v>1416.3899999999999</v>
      </c>
      <c r="G114" t="str">
        <f>IF(Table2[[#This Row],[Sold]]&gt;1000,"High Quality","Normal Quality")</f>
        <v>Normal Quality</v>
      </c>
      <c r="H114" s="12">
        <v>45366.134837962964</v>
      </c>
      <c r="I114" t="s">
        <v>273</v>
      </c>
      <c r="J114" t="s">
        <v>274</v>
      </c>
      <c r="K114" t="s">
        <v>342</v>
      </c>
    </row>
    <row r="115" spans="1:11" x14ac:dyDescent="0.35">
      <c r="A115" t="s">
        <v>44</v>
      </c>
      <c r="B115" t="s">
        <v>3</v>
      </c>
      <c r="C115" s="27">
        <v>31.95</v>
      </c>
      <c r="D115">
        <v>13</v>
      </c>
      <c r="E115">
        <v>12</v>
      </c>
      <c r="F115" s="4">
        <f t="shared" si="1"/>
        <v>383.4</v>
      </c>
      <c r="G115" t="str">
        <f>IF(Table2[[#This Row],[Sold]]&gt;1000,"High Quality","Normal Quality")</f>
        <v>Normal Quality</v>
      </c>
      <c r="H115" s="12">
        <v>45366.317662037036</v>
      </c>
      <c r="I115" t="s">
        <v>375</v>
      </c>
      <c r="J115" t="s">
        <v>376</v>
      </c>
      <c r="K115" t="s">
        <v>118</v>
      </c>
    </row>
    <row r="116" spans="1:11" x14ac:dyDescent="0.35">
      <c r="A116" t="s">
        <v>16</v>
      </c>
      <c r="B116" t="s">
        <v>3</v>
      </c>
      <c r="C116" s="27">
        <v>66.52</v>
      </c>
      <c r="D116">
        <v>10</v>
      </c>
      <c r="E116">
        <v>1963</v>
      </c>
      <c r="F116" s="4">
        <f t="shared" si="1"/>
        <v>130578.76</v>
      </c>
      <c r="G116" t="str">
        <f>IF(Table2[[#This Row],[Sold]]&gt;1000,"High Quality","Normal Quality")</f>
        <v>High Quality</v>
      </c>
      <c r="H116" s="12">
        <v>45366.442453703705</v>
      </c>
      <c r="I116" t="s">
        <v>290</v>
      </c>
      <c r="J116" t="s">
        <v>506</v>
      </c>
      <c r="K116" t="s">
        <v>118</v>
      </c>
    </row>
    <row r="117" spans="1:11" x14ac:dyDescent="0.35">
      <c r="A117" t="s">
        <v>214</v>
      </c>
      <c r="B117" t="s">
        <v>37</v>
      </c>
      <c r="C117" s="27">
        <v>38.950000000000003</v>
      </c>
      <c r="D117">
        <v>7</v>
      </c>
      <c r="E117">
        <v>114</v>
      </c>
      <c r="F117" s="4">
        <f t="shared" si="1"/>
        <v>4440.3</v>
      </c>
      <c r="G117" t="str">
        <f>IF(Table2[[#This Row],[Sold]]&gt;1000,"High Quality","Normal Quality")</f>
        <v>Normal Quality</v>
      </c>
      <c r="H117" s="12">
        <v>45366.476458333331</v>
      </c>
      <c r="I117" t="s">
        <v>451</v>
      </c>
      <c r="J117" t="s">
        <v>282</v>
      </c>
      <c r="K117" t="s">
        <v>118</v>
      </c>
    </row>
    <row r="118" spans="1:11" x14ac:dyDescent="0.35">
      <c r="A118" t="s">
        <v>51</v>
      </c>
      <c r="B118" t="s">
        <v>1</v>
      </c>
      <c r="C118" s="27">
        <v>12.49</v>
      </c>
      <c r="D118">
        <v>10</v>
      </c>
      <c r="E118">
        <v>17</v>
      </c>
      <c r="F118" s="4">
        <f t="shared" si="1"/>
        <v>212.33</v>
      </c>
      <c r="G118" t="str">
        <f>IF(Table2[[#This Row],[Sold]]&gt;1000,"High Quality","Normal Quality")</f>
        <v>Normal Quality</v>
      </c>
      <c r="H118" s="12">
        <v>45366.478391203702</v>
      </c>
      <c r="I118" t="s">
        <v>406</v>
      </c>
      <c r="J118" t="s">
        <v>506</v>
      </c>
      <c r="K118" t="s">
        <v>118</v>
      </c>
    </row>
    <row r="119" spans="1:11" x14ac:dyDescent="0.35">
      <c r="A119" t="s">
        <v>81</v>
      </c>
      <c r="B119" t="s">
        <v>3</v>
      </c>
      <c r="C119" s="27">
        <v>29.99</v>
      </c>
      <c r="D119">
        <v>0</v>
      </c>
      <c r="E119">
        <v>286</v>
      </c>
      <c r="F119" s="4">
        <f t="shared" si="1"/>
        <v>8577.14</v>
      </c>
      <c r="G119" t="str">
        <f>IF(Table2[[#This Row],[Sold]]&gt;1000,"High Quality","Normal Quality")</f>
        <v>Normal Quality</v>
      </c>
      <c r="H119" s="12">
        <v>45366.493055555555</v>
      </c>
      <c r="I119" t="s">
        <v>301</v>
      </c>
      <c r="J119" t="s">
        <v>506</v>
      </c>
      <c r="K119" t="s">
        <v>118</v>
      </c>
    </row>
    <row r="120" spans="1:11" x14ac:dyDescent="0.35">
      <c r="A120" t="s">
        <v>199</v>
      </c>
      <c r="B120" t="s">
        <v>1</v>
      </c>
      <c r="C120" s="27">
        <v>79.989999999999995</v>
      </c>
      <c r="D120">
        <v>24</v>
      </c>
      <c r="E120">
        <v>15</v>
      </c>
      <c r="F120" s="4">
        <f t="shared" si="1"/>
        <v>1199.8499999999999</v>
      </c>
      <c r="G120" t="str">
        <f>IF(Table2[[#This Row],[Sold]]&gt;1000,"High Quality","Normal Quality")</f>
        <v>Normal Quality</v>
      </c>
      <c r="H120" s="12">
        <v>45366.535439814812</v>
      </c>
      <c r="I120" t="s">
        <v>369</v>
      </c>
      <c r="J120" t="s">
        <v>506</v>
      </c>
      <c r="K120" t="s">
        <v>118</v>
      </c>
    </row>
    <row r="121" spans="1:11" x14ac:dyDescent="0.35">
      <c r="A121" t="s">
        <v>47</v>
      </c>
      <c r="B121" t="s">
        <v>1</v>
      </c>
      <c r="C121" s="27">
        <v>79.989999999999995</v>
      </c>
      <c r="D121">
        <v>2</v>
      </c>
      <c r="E121">
        <v>18</v>
      </c>
      <c r="F121" s="4">
        <f t="shared" si="1"/>
        <v>1439.82</v>
      </c>
      <c r="G121" t="str">
        <f>IF(Table2[[#This Row],[Sold]]&gt;1000,"High Quality","Normal Quality")</f>
        <v>Normal Quality</v>
      </c>
      <c r="H121" s="12">
        <v>45366.574918981481</v>
      </c>
      <c r="I121" t="s">
        <v>337</v>
      </c>
      <c r="J121" t="s">
        <v>269</v>
      </c>
      <c r="K121" t="s">
        <v>118</v>
      </c>
    </row>
    <row r="122" spans="1:11" x14ac:dyDescent="0.35">
      <c r="A122" t="s">
        <v>15</v>
      </c>
      <c r="B122" t="s">
        <v>1</v>
      </c>
      <c r="C122" s="27">
        <v>45</v>
      </c>
      <c r="D122">
        <v>7</v>
      </c>
      <c r="E122">
        <v>150</v>
      </c>
      <c r="F122" s="4">
        <f t="shared" si="1"/>
        <v>6750</v>
      </c>
      <c r="G122" t="str">
        <f>IF(Table2[[#This Row],[Sold]]&gt;1000,"High Quality","Normal Quality")</f>
        <v>Normal Quality</v>
      </c>
      <c r="H122" s="12">
        <v>45366.634976851848</v>
      </c>
      <c r="I122" t="s">
        <v>387</v>
      </c>
      <c r="J122" t="s">
        <v>282</v>
      </c>
      <c r="K122" t="s">
        <v>118</v>
      </c>
    </row>
    <row r="123" spans="1:11" x14ac:dyDescent="0.35">
      <c r="A123" t="s">
        <v>95</v>
      </c>
      <c r="B123" t="s">
        <v>1</v>
      </c>
      <c r="C123" s="27">
        <v>65.5</v>
      </c>
      <c r="D123">
        <v>10</v>
      </c>
      <c r="E123">
        <v>21</v>
      </c>
      <c r="F123" s="4">
        <f t="shared" si="1"/>
        <v>1375.5</v>
      </c>
      <c r="G123" t="str">
        <f>IF(Table2[[#This Row],[Sold]]&gt;1000,"High Quality","Normal Quality")</f>
        <v>Normal Quality</v>
      </c>
      <c r="H123" s="12">
        <v>45366.661643518521</v>
      </c>
      <c r="I123" t="s">
        <v>273</v>
      </c>
      <c r="J123" t="s">
        <v>274</v>
      </c>
      <c r="K123" t="s">
        <v>118</v>
      </c>
    </row>
    <row r="124" spans="1:11" x14ac:dyDescent="0.35">
      <c r="A124" t="s">
        <v>69</v>
      </c>
      <c r="B124" t="s">
        <v>1</v>
      </c>
      <c r="C124" s="27">
        <v>18.95</v>
      </c>
      <c r="D124">
        <v>2</v>
      </c>
      <c r="E124">
        <v>624</v>
      </c>
      <c r="F124" s="4">
        <f t="shared" si="1"/>
        <v>11824.8</v>
      </c>
      <c r="G124" t="str">
        <f>IF(Table2[[#This Row],[Sold]]&gt;1000,"High Quality","Normal Quality")</f>
        <v>Normal Quality</v>
      </c>
      <c r="H124" s="12">
        <v>45366.721620370372</v>
      </c>
      <c r="I124" t="s">
        <v>358</v>
      </c>
      <c r="J124" t="s">
        <v>274</v>
      </c>
      <c r="K124" t="s">
        <v>118</v>
      </c>
    </row>
    <row r="125" spans="1:11" x14ac:dyDescent="0.35">
      <c r="A125" t="s">
        <v>13</v>
      </c>
      <c r="B125" t="s">
        <v>3</v>
      </c>
      <c r="C125" s="27">
        <v>17.98</v>
      </c>
      <c r="D125">
        <v>5</v>
      </c>
      <c r="E125">
        <v>4</v>
      </c>
      <c r="F125" s="4">
        <f t="shared" si="1"/>
        <v>71.92</v>
      </c>
      <c r="G125" t="str">
        <f>IF(Table2[[#This Row],[Sold]]&gt;1000,"High Quality","Normal Quality")</f>
        <v>Normal Quality</v>
      </c>
      <c r="H125" s="12">
        <v>45366.730173611111</v>
      </c>
      <c r="I125" t="s">
        <v>385</v>
      </c>
      <c r="J125" t="s">
        <v>269</v>
      </c>
      <c r="K125" t="s">
        <v>118</v>
      </c>
    </row>
    <row r="126" spans="1:11" x14ac:dyDescent="0.35">
      <c r="A126" t="s">
        <v>234</v>
      </c>
      <c r="B126" t="s">
        <v>1</v>
      </c>
      <c r="C126" s="27">
        <v>44.99</v>
      </c>
      <c r="D126">
        <v>68</v>
      </c>
      <c r="E126">
        <v>13</v>
      </c>
      <c r="F126" s="4">
        <f t="shared" si="1"/>
        <v>584.87</v>
      </c>
      <c r="G126" t="str">
        <f>IF(Table2[[#This Row],[Sold]]&gt;1000,"High Quality","Normal Quality")</f>
        <v>Normal Quality</v>
      </c>
      <c r="H126" s="12">
        <v>45366.737638888888</v>
      </c>
      <c r="I126" t="s">
        <v>301</v>
      </c>
      <c r="J126" t="s">
        <v>506</v>
      </c>
      <c r="K126" t="s">
        <v>333</v>
      </c>
    </row>
    <row r="127" spans="1:11" x14ac:dyDescent="0.35">
      <c r="A127" t="s">
        <v>25</v>
      </c>
      <c r="B127" t="s">
        <v>1</v>
      </c>
      <c r="C127" s="27">
        <v>16.97</v>
      </c>
      <c r="D127">
        <v>10</v>
      </c>
      <c r="E127">
        <v>16</v>
      </c>
      <c r="F127" s="4">
        <f t="shared" si="1"/>
        <v>271.52</v>
      </c>
      <c r="G127" t="str">
        <f>IF(Table2[[#This Row],[Sold]]&gt;1000,"High Quality","Normal Quality")</f>
        <v>Normal Quality</v>
      </c>
      <c r="H127" s="12">
        <v>45366.779166666667</v>
      </c>
      <c r="I127" t="s">
        <v>389</v>
      </c>
      <c r="J127" t="s">
        <v>390</v>
      </c>
      <c r="K127" t="s">
        <v>118</v>
      </c>
    </row>
    <row r="128" spans="1:11" x14ac:dyDescent="0.35">
      <c r="A128" t="s">
        <v>15</v>
      </c>
      <c r="B128" t="s">
        <v>3</v>
      </c>
      <c r="C128" s="27">
        <v>21.15</v>
      </c>
      <c r="D128">
        <v>10</v>
      </c>
      <c r="E128">
        <v>739</v>
      </c>
      <c r="F128" s="4">
        <f t="shared" si="1"/>
        <v>15629.849999999999</v>
      </c>
      <c r="G128" t="str">
        <f>IF(Table2[[#This Row],[Sold]]&gt;1000,"High Quality","Normal Quality")</f>
        <v>Normal Quality</v>
      </c>
      <c r="H128" s="12">
        <v>45366.795659722222</v>
      </c>
      <c r="I128" t="s">
        <v>291</v>
      </c>
      <c r="J128" t="s">
        <v>274</v>
      </c>
      <c r="K128" t="s">
        <v>118</v>
      </c>
    </row>
    <row r="129" spans="1:11" x14ac:dyDescent="0.35">
      <c r="A129" t="s">
        <v>79</v>
      </c>
      <c r="B129" t="s">
        <v>1</v>
      </c>
      <c r="C129" s="27">
        <v>13.05</v>
      </c>
      <c r="D129">
        <v>36</v>
      </c>
      <c r="E129">
        <v>9</v>
      </c>
      <c r="F129" s="4">
        <f t="shared" si="1"/>
        <v>117.45</v>
      </c>
      <c r="G129" t="str">
        <f>IF(Table2[[#This Row],[Sold]]&gt;1000,"High Quality","Normal Quality")</f>
        <v>Normal Quality</v>
      </c>
      <c r="H129" s="12">
        <v>45366.808715277781</v>
      </c>
      <c r="I129" t="s">
        <v>430</v>
      </c>
      <c r="J129" t="s">
        <v>286</v>
      </c>
      <c r="K129" t="s">
        <v>118</v>
      </c>
    </row>
    <row r="130" spans="1:11" x14ac:dyDescent="0.35">
      <c r="A130" t="s">
        <v>117</v>
      </c>
      <c r="B130" t="s">
        <v>1</v>
      </c>
      <c r="C130" s="27">
        <v>13</v>
      </c>
      <c r="D130">
        <v>6</v>
      </c>
      <c r="E130">
        <v>14</v>
      </c>
      <c r="F130" s="4">
        <f t="shared" ref="F130:F193" si="2">C:C*E:E</f>
        <v>182</v>
      </c>
      <c r="G130" t="str">
        <f>IF(Table2[[#This Row],[Sold]]&gt;1000,"High Quality","Normal Quality")</f>
        <v>Normal Quality</v>
      </c>
      <c r="H130" s="12">
        <v>45366.936956018515</v>
      </c>
      <c r="I130" t="s">
        <v>429</v>
      </c>
      <c r="J130" t="s">
        <v>286</v>
      </c>
      <c r="K130" t="s">
        <v>118</v>
      </c>
    </row>
    <row r="131" spans="1:11" x14ac:dyDescent="0.35">
      <c r="A131" t="s">
        <v>112</v>
      </c>
      <c r="B131" t="s">
        <v>37</v>
      </c>
      <c r="C131" s="27">
        <v>96.95</v>
      </c>
      <c r="D131">
        <v>10</v>
      </c>
      <c r="E131">
        <v>6</v>
      </c>
      <c r="F131" s="4">
        <f t="shared" si="2"/>
        <v>581.70000000000005</v>
      </c>
      <c r="G131" t="str">
        <f>IF(Table2[[#This Row],[Sold]]&gt;1000,"High Quality","Normal Quality")</f>
        <v>Normal Quality</v>
      </c>
      <c r="H131" s="12">
        <v>45366.96738425926</v>
      </c>
      <c r="I131" t="s">
        <v>285</v>
      </c>
      <c r="J131" t="s">
        <v>286</v>
      </c>
      <c r="K131" t="s">
        <v>118</v>
      </c>
    </row>
    <row r="132" spans="1:11" x14ac:dyDescent="0.35">
      <c r="A132" t="s">
        <v>235</v>
      </c>
      <c r="B132" t="s">
        <v>1</v>
      </c>
      <c r="C132" s="27">
        <v>10.91</v>
      </c>
      <c r="D132">
        <v>0</v>
      </c>
      <c r="E132">
        <v>654</v>
      </c>
      <c r="F132" s="4">
        <f t="shared" si="2"/>
        <v>7135.14</v>
      </c>
      <c r="G132" t="str">
        <f>IF(Table2[[#This Row],[Sold]]&gt;1000,"High Quality","Normal Quality")</f>
        <v>Normal Quality</v>
      </c>
      <c r="H132" s="12">
        <v>45367.01021990741</v>
      </c>
      <c r="I132" t="s">
        <v>394</v>
      </c>
      <c r="J132" t="s">
        <v>282</v>
      </c>
      <c r="K132" t="s">
        <v>118</v>
      </c>
    </row>
    <row r="133" spans="1:11" x14ac:dyDescent="0.35">
      <c r="A133" t="s">
        <v>23</v>
      </c>
      <c r="B133" t="s">
        <v>3</v>
      </c>
      <c r="C133" s="27">
        <v>78.989999999999995</v>
      </c>
      <c r="D133">
        <v>8</v>
      </c>
      <c r="E133">
        <v>27</v>
      </c>
      <c r="F133" s="4">
        <f t="shared" si="2"/>
        <v>2132.73</v>
      </c>
      <c r="G133" t="str">
        <f>IF(Table2[[#This Row],[Sold]]&gt;1000,"High Quality","Normal Quality")</f>
        <v>Normal Quality</v>
      </c>
      <c r="H133" s="12">
        <v>45367.087500000001</v>
      </c>
      <c r="I133" t="s">
        <v>118</v>
      </c>
      <c r="J133" t="s">
        <v>317</v>
      </c>
      <c r="K133" t="s">
        <v>379</v>
      </c>
    </row>
    <row r="134" spans="1:11" x14ac:dyDescent="0.35">
      <c r="A134" t="s">
        <v>4</v>
      </c>
      <c r="B134" t="s">
        <v>1</v>
      </c>
      <c r="C134" s="27">
        <v>138.99</v>
      </c>
      <c r="D134">
        <v>6</v>
      </c>
      <c r="E134">
        <v>6</v>
      </c>
      <c r="F134" s="4">
        <f t="shared" si="2"/>
        <v>833.94</v>
      </c>
      <c r="G134" t="str">
        <f>IF(Table2[[#This Row],[Sold]]&gt;1000,"High Quality","Normal Quality")</f>
        <v>Normal Quality</v>
      </c>
      <c r="H134" s="12">
        <v>45367.092268518521</v>
      </c>
      <c r="I134" t="s">
        <v>506</v>
      </c>
      <c r="J134" t="s">
        <v>118</v>
      </c>
      <c r="K134" t="s">
        <v>333</v>
      </c>
    </row>
    <row r="135" spans="1:11" x14ac:dyDescent="0.35">
      <c r="A135" t="s">
        <v>233</v>
      </c>
      <c r="B135" t="s">
        <v>1</v>
      </c>
      <c r="C135" s="27">
        <v>13.95</v>
      </c>
      <c r="D135">
        <v>2</v>
      </c>
      <c r="E135">
        <v>41</v>
      </c>
      <c r="F135" s="4">
        <f t="shared" si="2"/>
        <v>571.94999999999993</v>
      </c>
      <c r="G135" t="str">
        <f>IF(Table2[[#This Row],[Sold]]&gt;1000,"High Quality","Normal Quality")</f>
        <v>Normal Quality</v>
      </c>
      <c r="H135" s="12">
        <v>45367.115567129629</v>
      </c>
      <c r="I135" t="s">
        <v>358</v>
      </c>
      <c r="J135" t="s">
        <v>274</v>
      </c>
      <c r="K135" t="s">
        <v>118</v>
      </c>
    </row>
    <row r="136" spans="1:11" x14ac:dyDescent="0.35">
      <c r="A136" t="s">
        <v>122</v>
      </c>
      <c r="B136" t="s">
        <v>1</v>
      </c>
      <c r="C136" s="27">
        <v>31.89</v>
      </c>
      <c r="D136">
        <v>0</v>
      </c>
      <c r="E136">
        <v>226</v>
      </c>
      <c r="F136" s="4">
        <f t="shared" si="2"/>
        <v>7207.14</v>
      </c>
      <c r="G136" t="str">
        <f>IF(Table2[[#This Row],[Sold]]&gt;1000,"High Quality","Normal Quality")</f>
        <v>Normal Quality</v>
      </c>
      <c r="H136" s="12">
        <v>45367.215254629627</v>
      </c>
      <c r="I136" t="s">
        <v>291</v>
      </c>
      <c r="J136" t="s">
        <v>274</v>
      </c>
      <c r="K136" t="s">
        <v>118</v>
      </c>
    </row>
    <row r="137" spans="1:11" x14ac:dyDescent="0.35">
      <c r="A137" t="s">
        <v>42</v>
      </c>
      <c r="B137" t="s">
        <v>1</v>
      </c>
      <c r="C137" s="27">
        <v>159.99</v>
      </c>
      <c r="D137">
        <v>3</v>
      </c>
      <c r="E137">
        <v>160</v>
      </c>
      <c r="F137" s="4">
        <f t="shared" si="2"/>
        <v>25598.400000000001</v>
      </c>
      <c r="G137" t="str">
        <f>IF(Table2[[#This Row],[Sold]]&gt;1000,"High Quality","Normal Quality")</f>
        <v>Normal Quality</v>
      </c>
      <c r="H137" s="12">
        <v>45367.224560185183</v>
      </c>
      <c r="I137" t="s">
        <v>285</v>
      </c>
      <c r="J137" t="s">
        <v>286</v>
      </c>
      <c r="K137" t="s">
        <v>118</v>
      </c>
    </row>
    <row r="138" spans="1:11" x14ac:dyDescent="0.35">
      <c r="A138" t="s">
        <v>15</v>
      </c>
      <c r="B138" t="s">
        <v>1</v>
      </c>
      <c r="C138" s="27">
        <v>41</v>
      </c>
      <c r="D138">
        <v>130</v>
      </c>
      <c r="E138">
        <v>397</v>
      </c>
      <c r="F138" s="4">
        <f t="shared" si="2"/>
        <v>16277</v>
      </c>
      <c r="G138" t="str">
        <f>IF(Table2[[#This Row],[Sold]]&gt;1000,"High Quality","Normal Quality")</f>
        <v>Normal Quality</v>
      </c>
      <c r="H138" s="12">
        <v>45367.347187500003</v>
      </c>
      <c r="I138" t="s">
        <v>557</v>
      </c>
      <c r="J138" t="s">
        <v>486</v>
      </c>
      <c r="K138" t="s">
        <v>538</v>
      </c>
    </row>
    <row r="139" spans="1:11" x14ac:dyDescent="0.35">
      <c r="A139" t="s">
        <v>66</v>
      </c>
      <c r="B139" t="s">
        <v>1</v>
      </c>
      <c r="C139" s="27">
        <v>35.58</v>
      </c>
      <c r="D139">
        <v>0</v>
      </c>
      <c r="E139">
        <v>1024</v>
      </c>
      <c r="F139" s="4">
        <f t="shared" si="2"/>
        <v>36433.919999999998</v>
      </c>
      <c r="G139" t="str">
        <f>IF(Table2[[#This Row],[Sold]]&gt;1000,"High Quality","Normal Quality")</f>
        <v>High Quality</v>
      </c>
      <c r="H139" s="12">
        <v>45367.35900462963</v>
      </c>
      <c r="I139" t="s">
        <v>291</v>
      </c>
      <c r="J139" t="s">
        <v>274</v>
      </c>
      <c r="K139" t="s">
        <v>118</v>
      </c>
    </row>
    <row r="140" spans="1:11" x14ac:dyDescent="0.35">
      <c r="A140" t="s">
        <v>22</v>
      </c>
      <c r="B140" t="s">
        <v>1</v>
      </c>
      <c r="C140" s="27">
        <v>54.85</v>
      </c>
      <c r="D140">
        <v>0</v>
      </c>
      <c r="E140">
        <v>8</v>
      </c>
      <c r="F140" s="4">
        <f t="shared" si="2"/>
        <v>438.8</v>
      </c>
      <c r="G140" t="str">
        <f>IF(Table2[[#This Row],[Sold]]&gt;1000,"High Quality","Normal Quality")</f>
        <v>Normal Quality</v>
      </c>
      <c r="H140" s="12">
        <v>45367.384155092594</v>
      </c>
      <c r="I140" t="s">
        <v>291</v>
      </c>
      <c r="J140" t="s">
        <v>274</v>
      </c>
      <c r="K140" t="s">
        <v>118</v>
      </c>
    </row>
    <row r="141" spans="1:11" x14ac:dyDescent="0.35">
      <c r="A141" t="s">
        <v>15</v>
      </c>
      <c r="B141" t="s">
        <v>1</v>
      </c>
      <c r="C141" s="27">
        <v>36.950000000000003</v>
      </c>
      <c r="D141">
        <v>4</v>
      </c>
      <c r="E141">
        <v>109</v>
      </c>
      <c r="F141" s="4">
        <f t="shared" si="2"/>
        <v>4027.55</v>
      </c>
      <c r="G141" t="str">
        <f>IF(Table2[[#This Row],[Sold]]&gt;1000,"High Quality","Normal Quality")</f>
        <v>Normal Quality</v>
      </c>
      <c r="H141" s="12">
        <v>45367.384293981479</v>
      </c>
      <c r="I141" t="s">
        <v>291</v>
      </c>
      <c r="J141" t="s">
        <v>274</v>
      </c>
      <c r="K141" t="s">
        <v>118</v>
      </c>
    </row>
    <row r="142" spans="1:11" x14ac:dyDescent="0.35">
      <c r="A142" t="s">
        <v>18</v>
      </c>
      <c r="B142" t="s">
        <v>1</v>
      </c>
      <c r="C142" s="27">
        <v>17.98</v>
      </c>
      <c r="D142">
        <v>10</v>
      </c>
      <c r="E142">
        <v>40</v>
      </c>
      <c r="F142" s="4">
        <f t="shared" si="2"/>
        <v>719.2</v>
      </c>
      <c r="G142" t="str">
        <f>IF(Table2[[#This Row],[Sold]]&gt;1000,"High Quality","Normal Quality")</f>
        <v>Normal Quality</v>
      </c>
      <c r="H142" s="12">
        <v>45367.521203703705</v>
      </c>
      <c r="I142" t="s">
        <v>385</v>
      </c>
      <c r="J142" t="s">
        <v>269</v>
      </c>
      <c r="K142" t="s">
        <v>118</v>
      </c>
    </row>
    <row r="143" spans="1:11" x14ac:dyDescent="0.35">
      <c r="A143" t="s">
        <v>97</v>
      </c>
      <c r="B143" t="s">
        <v>1</v>
      </c>
      <c r="C143" s="27">
        <v>17.98</v>
      </c>
      <c r="D143">
        <v>8</v>
      </c>
      <c r="E143">
        <v>12</v>
      </c>
      <c r="F143" s="4">
        <f t="shared" si="2"/>
        <v>215.76</v>
      </c>
      <c r="G143" t="str">
        <f>IF(Table2[[#This Row],[Sold]]&gt;1000,"High Quality","Normal Quality")</f>
        <v>Normal Quality</v>
      </c>
      <c r="H143" s="12">
        <v>45367.521423611113</v>
      </c>
      <c r="I143" t="s">
        <v>385</v>
      </c>
      <c r="J143" t="s">
        <v>269</v>
      </c>
      <c r="K143" t="s">
        <v>118</v>
      </c>
    </row>
    <row r="144" spans="1:11" x14ac:dyDescent="0.35">
      <c r="A144" t="s">
        <v>97</v>
      </c>
      <c r="B144" t="s">
        <v>1</v>
      </c>
      <c r="C144" s="27">
        <v>17.98</v>
      </c>
      <c r="D144">
        <v>3</v>
      </c>
      <c r="E144">
        <v>9</v>
      </c>
      <c r="F144" s="4">
        <f t="shared" si="2"/>
        <v>161.82</v>
      </c>
      <c r="G144" t="str">
        <f>IF(Table2[[#This Row],[Sold]]&gt;1000,"High Quality","Normal Quality")</f>
        <v>Normal Quality</v>
      </c>
      <c r="H144" s="12">
        <v>45367.521516203706</v>
      </c>
      <c r="I144" t="s">
        <v>385</v>
      </c>
      <c r="J144" t="s">
        <v>269</v>
      </c>
      <c r="K144" t="s">
        <v>118</v>
      </c>
    </row>
    <row r="145" spans="1:11" x14ac:dyDescent="0.35">
      <c r="A145" t="s">
        <v>232</v>
      </c>
      <c r="B145" t="s">
        <v>3</v>
      </c>
      <c r="C145" s="27">
        <v>32.99</v>
      </c>
      <c r="D145">
        <v>0</v>
      </c>
      <c r="E145">
        <v>3</v>
      </c>
      <c r="F145" s="4">
        <f t="shared" si="2"/>
        <v>98.97</v>
      </c>
      <c r="G145" t="str">
        <f>IF(Table2[[#This Row],[Sold]]&gt;1000,"High Quality","Normal Quality")</f>
        <v>Normal Quality</v>
      </c>
      <c r="H145" s="12">
        <v>45367.530648148146</v>
      </c>
      <c r="I145" t="s">
        <v>506</v>
      </c>
      <c r="J145" t="s">
        <v>505</v>
      </c>
      <c r="K145" t="s">
        <v>118</v>
      </c>
    </row>
    <row r="146" spans="1:11" x14ac:dyDescent="0.35">
      <c r="A146" t="s">
        <v>7</v>
      </c>
      <c r="B146" t="s">
        <v>1</v>
      </c>
      <c r="C146" s="27">
        <v>30.99</v>
      </c>
      <c r="D146">
        <v>5</v>
      </c>
      <c r="E146">
        <v>39</v>
      </c>
      <c r="F146" s="4">
        <f t="shared" si="2"/>
        <v>1208.6099999999999</v>
      </c>
      <c r="G146" t="str">
        <f>IF(Table2[[#This Row],[Sold]]&gt;1000,"High Quality","Normal Quality")</f>
        <v>Normal Quality</v>
      </c>
      <c r="H146" s="12">
        <v>45367.571400462963</v>
      </c>
      <c r="I146" t="s">
        <v>275</v>
      </c>
      <c r="J146" t="s">
        <v>506</v>
      </c>
      <c r="K146" t="s">
        <v>118</v>
      </c>
    </row>
    <row r="147" spans="1:11" x14ac:dyDescent="0.35">
      <c r="A147" t="s">
        <v>229</v>
      </c>
      <c r="B147" t="s">
        <v>1</v>
      </c>
      <c r="C147" s="27">
        <v>72.989999999999995</v>
      </c>
      <c r="D147">
        <v>3</v>
      </c>
      <c r="E147">
        <v>180</v>
      </c>
      <c r="F147" s="4">
        <f t="shared" si="2"/>
        <v>13138.199999999999</v>
      </c>
      <c r="G147" t="str">
        <f>IF(Table2[[#This Row],[Sold]]&gt;1000,"High Quality","Normal Quality")</f>
        <v>Normal Quality</v>
      </c>
      <c r="H147" s="12">
        <v>45367.594456018516</v>
      </c>
      <c r="I147" t="s">
        <v>339</v>
      </c>
      <c r="J147" t="s">
        <v>507</v>
      </c>
      <c r="K147" t="s">
        <v>118</v>
      </c>
    </row>
    <row r="148" spans="1:11" x14ac:dyDescent="0.35">
      <c r="A148" t="s">
        <v>5</v>
      </c>
      <c r="B148" t="s">
        <v>1</v>
      </c>
      <c r="C148" s="27">
        <v>23.89</v>
      </c>
      <c r="D148">
        <v>0</v>
      </c>
      <c r="E148">
        <v>14</v>
      </c>
      <c r="F148" s="4">
        <f t="shared" si="2"/>
        <v>334.46000000000004</v>
      </c>
      <c r="G148" t="str">
        <f>IF(Table2[[#This Row],[Sold]]&gt;1000,"High Quality","Normal Quality")</f>
        <v>Normal Quality</v>
      </c>
      <c r="H148" s="12">
        <v>45367.615833333337</v>
      </c>
      <c r="I148" t="s">
        <v>362</v>
      </c>
      <c r="J148" t="s">
        <v>505</v>
      </c>
      <c r="K148" t="s">
        <v>118</v>
      </c>
    </row>
    <row r="149" spans="1:11" x14ac:dyDescent="0.35">
      <c r="A149" t="s">
        <v>149</v>
      </c>
      <c r="B149" t="s">
        <v>1</v>
      </c>
      <c r="C149" s="27">
        <v>11</v>
      </c>
      <c r="D149">
        <v>0</v>
      </c>
      <c r="E149">
        <v>47</v>
      </c>
      <c r="F149" s="4">
        <f t="shared" si="2"/>
        <v>517</v>
      </c>
      <c r="G149" t="str">
        <f>IF(Table2[[#This Row],[Sold]]&gt;1000,"High Quality","Normal Quality")</f>
        <v>Normal Quality</v>
      </c>
      <c r="H149" s="12">
        <v>45367.640335648146</v>
      </c>
      <c r="I149" t="s">
        <v>429</v>
      </c>
      <c r="J149" t="s">
        <v>286</v>
      </c>
      <c r="K149" t="s">
        <v>118</v>
      </c>
    </row>
    <row r="150" spans="1:11" x14ac:dyDescent="0.35">
      <c r="A150" t="s">
        <v>13</v>
      </c>
      <c r="B150" t="s">
        <v>3</v>
      </c>
      <c r="C150" s="27">
        <v>16.48</v>
      </c>
      <c r="D150">
        <v>9</v>
      </c>
      <c r="E150">
        <v>16</v>
      </c>
      <c r="F150" s="4">
        <f t="shared" si="2"/>
        <v>263.68</v>
      </c>
      <c r="G150" t="str">
        <f>IF(Table2[[#This Row],[Sold]]&gt;1000,"High Quality","Normal Quality")</f>
        <v>Normal Quality</v>
      </c>
      <c r="H150" s="12">
        <v>45367.687974537039</v>
      </c>
      <c r="I150" t="s">
        <v>385</v>
      </c>
      <c r="J150" t="s">
        <v>269</v>
      </c>
      <c r="K150" t="s">
        <v>118</v>
      </c>
    </row>
    <row r="151" spans="1:11" x14ac:dyDescent="0.35">
      <c r="A151" t="s">
        <v>23</v>
      </c>
      <c r="B151" t="s">
        <v>3</v>
      </c>
      <c r="C151" s="27">
        <v>79.989999999999995</v>
      </c>
      <c r="D151">
        <v>2</v>
      </c>
      <c r="E151">
        <v>316</v>
      </c>
      <c r="F151" s="4">
        <f t="shared" si="2"/>
        <v>25276.84</v>
      </c>
      <c r="G151" t="str">
        <f>IF(Table2[[#This Row],[Sold]]&gt;1000,"High Quality","Normal Quality")</f>
        <v>Normal Quality</v>
      </c>
      <c r="H151" s="12">
        <v>45367.709479166668</v>
      </c>
      <c r="I151" t="s">
        <v>326</v>
      </c>
      <c r="J151" t="s">
        <v>282</v>
      </c>
      <c r="K151" t="s">
        <v>333</v>
      </c>
    </row>
    <row r="152" spans="1:11" x14ac:dyDescent="0.35">
      <c r="A152" t="s">
        <v>4</v>
      </c>
      <c r="B152" t="s">
        <v>1</v>
      </c>
      <c r="C152" s="27">
        <v>123.99</v>
      </c>
      <c r="D152">
        <v>3</v>
      </c>
      <c r="E152">
        <v>5</v>
      </c>
      <c r="F152" s="4">
        <f t="shared" si="2"/>
        <v>619.94999999999993</v>
      </c>
      <c r="G152" t="str">
        <f>IF(Table2[[#This Row],[Sold]]&gt;1000,"High Quality","Normal Quality")</f>
        <v>Normal Quality</v>
      </c>
      <c r="H152" s="12">
        <v>45367.739293981482</v>
      </c>
      <c r="I152" t="s">
        <v>285</v>
      </c>
      <c r="J152" t="s">
        <v>286</v>
      </c>
      <c r="K152" t="s">
        <v>118</v>
      </c>
    </row>
    <row r="153" spans="1:11" x14ac:dyDescent="0.35">
      <c r="A153" t="s">
        <v>23</v>
      </c>
      <c r="B153" t="s">
        <v>3</v>
      </c>
      <c r="C153" s="27">
        <v>89.99</v>
      </c>
      <c r="D153">
        <v>5</v>
      </c>
      <c r="E153">
        <v>23</v>
      </c>
      <c r="F153" s="4">
        <f t="shared" si="2"/>
        <v>2069.77</v>
      </c>
      <c r="G153" t="str">
        <f>IF(Table2[[#This Row],[Sold]]&gt;1000,"High Quality","Normal Quality")</f>
        <v>Normal Quality</v>
      </c>
      <c r="H153" s="12">
        <v>45367.802152777775</v>
      </c>
      <c r="I153" t="s">
        <v>322</v>
      </c>
      <c r="J153" t="s">
        <v>282</v>
      </c>
      <c r="K153" t="s">
        <v>333</v>
      </c>
    </row>
    <row r="154" spans="1:11" x14ac:dyDescent="0.35">
      <c r="A154" t="s">
        <v>111</v>
      </c>
      <c r="B154" t="s">
        <v>37</v>
      </c>
      <c r="C154" s="27">
        <v>28.38</v>
      </c>
      <c r="D154">
        <v>10</v>
      </c>
      <c r="E154">
        <v>1433</v>
      </c>
      <c r="F154" s="4">
        <f t="shared" si="2"/>
        <v>40668.54</v>
      </c>
      <c r="G154" t="str">
        <f>IF(Table2[[#This Row],[Sold]]&gt;1000,"High Quality","Normal Quality")</f>
        <v>High Quality</v>
      </c>
      <c r="H154" s="12">
        <v>45367.864733796298</v>
      </c>
      <c r="I154" t="s">
        <v>291</v>
      </c>
      <c r="J154" t="s">
        <v>274</v>
      </c>
      <c r="K154" t="s">
        <v>118</v>
      </c>
    </row>
    <row r="155" spans="1:11" x14ac:dyDescent="0.35">
      <c r="A155" t="s">
        <v>43</v>
      </c>
      <c r="B155" t="s">
        <v>3</v>
      </c>
      <c r="C155" s="27">
        <v>29.74</v>
      </c>
      <c r="D155">
        <v>10</v>
      </c>
      <c r="E155">
        <v>578</v>
      </c>
      <c r="F155" s="4">
        <f t="shared" si="2"/>
        <v>17189.719999999998</v>
      </c>
      <c r="G155" t="str">
        <f>IF(Table2[[#This Row],[Sold]]&gt;1000,"High Quality","Normal Quality")</f>
        <v>Normal Quality</v>
      </c>
      <c r="H155" s="12">
        <v>45367.881736111114</v>
      </c>
      <c r="I155" t="s">
        <v>291</v>
      </c>
      <c r="J155" t="s">
        <v>274</v>
      </c>
      <c r="K155" t="s">
        <v>118</v>
      </c>
    </row>
    <row r="156" spans="1:11" x14ac:dyDescent="0.35">
      <c r="A156" t="s">
        <v>107</v>
      </c>
      <c r="B156" t="s">
        <v>3</v>
      </c>
      <c r="C156" s="27">
        <v>47.99</v>
      </c>
      <c r="D156">
        <v>10</v>
      </c>
      <c r="E156">
        <v>17</v>
      </c>
      <c r="F156" s="4">
        <f t="shared" si="2"/>
        <v>815.83</v>
      </c>
      <c r="G156" t="str">
        <f>IF(Table2[[#This Row],[Sold]]&gt;1000,"High Quality","Normal Quality")</f>
        <v>Normal Quality</v>
      </c>
      <c r="H156" s="12">
        <v>45367.912442129629</v>
      </c>
      <c r="I156" t="s">
        <v>301</v>
      </c>
      <c r="J156" t="s">
        <v>506</v>
      </c>
      <c r="K156" t="s">
        <v>118</v>
      </c>
    </row>
    <row r="157" spans="1:11" x14ac:dyDescent="0.35">
      <c r="A157" t="s">
        <v>25</v>
      </c>
      <c r="B157" t="s">
        <v>1</v>
      </c>
      <c r="C157" s="27">
        <v>45</v>
      </c>
      <c r="D157">
        <v>10</v>
      </c>
      <c r="E157">
        <v>37</v>
      </c>
      <c r="F157" s="4">
        <f t="shared" si="2"/>
        <v>1665</v>
      </c>
      <c r="G157" t="str">
        <f>IF(Table2[[#This Row],[Sold]]&gt;1000,"High Quality","Normal Quality")</f>
        <v>Normal Quality</v>
      </c>
      <c r="H157" s="12">
        <v>45368.390659722223</v>
      </c>
      <c r="I157" t="s">
        <v>387</v>
      </c>
      <c r="J157" t="s">
        <v>282</v>
      </c>
      <c r="K157" t="s">
        <v>118</v>
      </c>
    </row>
    <row r="158" spans="1:11" x14ac:dyDescent="0.35">
      <c r="A158" t="s">
        <v>9</v>
      </c>
      <c r="B158" t="s">
        <v>1</v>
      </c>
      <c r="C158" s="27">
        <v>89.25</v>
      </c>
      <c r="D158">
        <v>10</v>
      </c>
      <c r="E158">
        <v>39</v>
      </c>
      <c r="F158" s="4">
        <f t="shared" si="2"/>
        <v>3480.75</v>
      </c>
      <c r="G158" t="str">
        <f>IF(Table2[[#This Row],[Sold]]&gt;1000,"High Quality","Normal Quality")</f>
        <v>Normal Quality</v>
      </c>
      <c r="H158" s="12">
        <v>45368.394548611112</v>
      </c>
      <c r="I158" t="s">
        <v>516</v>
      </c>
      <c r="J158" t="s">
        <v>282</v>
      </c>
      <c r="K158" t="s">
        <v>118</v>
      </c>
    </row>
    <row r="159" spans="1:11" x14ac:dyDescent="0.35">
      <c r="A159" t="s">
        <v>152</v>
      </c>
      <c r="B159" t="s">
        <v>3</v>
      </c>
      <c r="C159" s="27">
        <v>21.25</v>
      </c>
      <c r="D159">
        <v>10</v>
      </c>
      <c r="E159">
        <v>504</v>
      </c>
      <c r="F159" s="4">
        <f t="shared" si="2"/>
        <v>10710</v>
      </c>
      <c r="G159" t="str">
        <f>IF(Table2[[#This Row],[Sold]]&gt;1000,"High Quality","Normal Quality")</f>
        <v>Normal Quality</v>
      </c>
      <c r="H159" s="12">
        <v>45368.39775462963</v>
      </c>
      <c r="I159" t="s">
        <v>516</v>
      </c>
      <c r="J159" t="s">
        <v>282</v>
      </c>
      <c r="K159" t="s">
        <v>118</v>
      </c>
    </row>
    <row r="160" spans="1:11" x14ac:dyDescent="0.35">
      <c r="A160" t="s">
        <v>16</v>
      </c>
      <c r="B160" t="s">
        <v>3</v>
      </c>
      <c r="C160" s="27">
        <v>153</v>
      </c>
      <c r="D160">
        <v>10</v>
      </c>
      <c r="E160">
        <v>23</v>
      </c>
      <c r="F160" s="4">
        <f t="shared" si="2"/>
        <v>3519</v>
      </c>
      <c r="G160" t="str">
        <f>IF(Table2[[#This Row],[Sold]]&gt;1000,"High Quality","Normal Quality")</f>
        <v>Normal Quality</v>
      </c>
      <c r="H160" s="12">
        <v>45368.40152777778</v>
      </c>
      <c r="I160" t="s">
        <v>516</v>
      </c>
      <c r="J160" t="s">
        <v>282</v>
      </c>
      <c r="K160" t="s">
        <v>118</v>
      </c>
    </row>
    <row r="161" spans="1:11" x14ac:dyDescent="0.35">
      <c r="A161" t="s">
        <v>13</v>
      </c>
      <c r="B161" t="s">
        <v>3</v>
      </c>
      <c r="C161" s="27">
        <v>39.99</v>
      </c>
      <c r="D161">
        <v>5</v>
      </c>
      <c r="E161">
        <v>118</v>
      </c>
      <c r="F161" s="4">
        <f t="shared" si="2"/>
        <v>4718.8200000000006</v>
      </c>
      <c r="G161" t="str">
        <f>IF(Table2[[#This Row],[Sold]]&gt;1000,"High Quality","Normal Quality")</f>
        <v>Normal Quality</v>
      </c>
      <c r="H161" s="12">
        <v>45368.442812499998</v>
      </c>
      <c r="I161" t="s">
        <v>366</v>
      </c>
      <c r="J161" t="s">
        <v>266</v>
      </c>
      <c r="K161" t="s">
        <v>118</v>
      </c>
    </row>
    <row r="162" spans="1:11" x14ac:dyDescent="0.35">
      <c r="A162" t="s">
        <v>15</v>
      </c>
      <c r="B162" t="s">
        <v>1</v>
      </c>
      <c r="C162" s="27">
        <v>29.99</v>
      </c>
      <c r="D162">
        <v>5</v>
      </c>
      <c r="E162">
        <v>7</v>
      </c>
      <c r="F162" s="4">
        <f t="shared" si="2"/>
        <v>209.92999999999998</v>
      </c>
      <c r="G162" t="str">
        <f>IF(Table2[[#This Row],[Sold]]&gt;1000,"High Quality","Normal Quality")</f>
        <v>Normal Quality</v>
      </c>
      <c r="H162" s="12">
        <v>45368.471678240741</v>
      </c>
      <c r="I162" t="s">
        <v>273</v>
      </c>
      <c r="J162" t="s">
        <v>274</v>
      </c>
      <c r="K162" t="s">
        <v>118</v>
      </c>
    </row>
    <row r="163" spans="1:11" x14ac:dyDescent="0.35">
      <c r="A163" t="s">
        <v>43</v>
      </c>
      <c r="B163" t="s">
        <v>3</v>
      </c>
      <c r="C163" s="27">
        <v>26.99</v>
      </c>
      <c r="D163">
        <v>10</v>
      </c>
      <c r="E163">
        <v>21</v>
      </c>
      <c r="F163" s="4">
        <f t="shared" si="2"/>
        <v>566.79</v>
      </c>
      <c r="G163" t="str">
        <f>IF(Table2[[#This Row],[Sold]]&gt;1000,"High Quality","Normal Quality")</f>
        <v>Normal Quality</v>
      </c>
      <c r="H163" s="12">
        <v>45368.482175925928</v>
      </c>
      <c r="I163" t="s">
        <v>367</v>
      </c>
      <c r="J163" t="s">
        <v>506</v>
      </c>
      <c r="K163" t="s">
        <v>118</v>
      </c>
    </row>
    <row r="164" spans="1:11" x14ac:dyDescent="0.35">
      <c r="A164" t="s">
        <v>15</v>
      </c>
      <c r="B164" t="s">
        <v>1</v>
      </c>
      <c r="C164" s="27">
        <v>65</v>
      </c>
      <c r="D164">
        <v>7</v>
      </c>
      <c r="E164">
        <v>485</v>
      </c>
      <c r="F164" s="4">
        <f t="shared" si="2"/>
        <v>31525</v>
      </c>
      <c r="G164" t="str">
        <f>IF(Table2[[#This Row],[Sold]]&gt;1000,"High Quality","Normal Quality")</f>
        <v>Normal Quality</v>
      </c>
      <c r="H164" s="12">
        <v>45368.484247685185</v>
      </c>
      <c r="I164" t="s">
        <v>273</v>
      </c>
      <c r="J164" t="s">
        <v>274</v>
      </c>
      <c r="K164" t="s">
        <v>118</v>
      </c>
    </row>
    <row r="165" spans="1:11" x14ac:dyDescent="0.35">
      <c r="A165" t="s">
        <v>46</v>
      </c>
      <c r="B165" t="s">
        <v>3</v>
      </c>
      <c r="C165" s="27">
        <v>18.989999999999998</v>
      </c>
      <c r="D165">
        <v>10</v>
      </c>
      <c r="E165">
        <v>14</v>
      </c>
      <c r="F165" s="4">
        <f t="shared" si="2"/>
        <v>265.85999999999996</v>
      </c>
      <c r="G165" t="str">
        <f>IF(Table2[[#This Row],[Sold]]&gt;1000,"High Quality","Normal Quality")</f>
        <v>Normal Quality</v>
      </c>
      <c r="H165" s="12">
        <v>45368.484490740739</v>
      </c>
      <c r="I165" t="s">
        <v>367</v>
      </c>
      <c r="J165" t="s">
        <v>506</v>
      </c>
      <c r="K165" t="s">
        <v>118</v>
      </c>
    </row>
    <row r="166" spans="1:11" x14ac:dyDescent="0.35">
      <c r="A166" t="s">
        <v>15</v>
      </c>
      <c r="B166" t="s">
        <v>3</v>
      </c>
      <c r="C166" s="27">
        <v>28.95</v>
      </c>
      <c r="D166">
        <v>9</v>
      </c>
      <c r="E166">
        <v>1306</v>
      </c>
      <c r="F166" s="4">
        <f t="shared" si="2"/>
        <v>37808.699999999997</v>
      </c>
      <c r="G166" t="str">
        <f>IF(Table2[[#This Row],[Sold]]&gt;1000,"High Quality","Normal Quality")</f>
        <v>High Quality</v>
      </c>
      <c r="H166" s="12">
        <v>45368.484861111108</v>
      </c>
      <c r="I166" t="s">
        <v>273</v>
      </c>
      <c r="J166" t="s">
        <v>274</v>
      </c>
      <c r="K166" t="s">
        <v>118</v>
      </c>
    </row>
    <row r="167" spans="1:11" x14ac:dyDescent="0.35">
      <c r="A167" t="s">
        <v>96</v>
      </c>
      <c r="B167" t="s">
        <v>3</v>
      </c>
      <c r="C167" s="27">
        <v>22.99</v>
      </c>
      <c r="D167">
        <v>8</v>
      </c>
      <c r="E167">
        <v>31</v>
      </c>
      <c r="F167" s="4">
        <f t="shared" si="2"/>
        <v>712.68999999999994</v>
      </c>
      <c r="G167" t="str">
        <f>IF(Table2[[#This Row],[Sold]]&gt;1000,"High Quality","Normal Quality")</f>
        <v>Normal Quality</v>
      </c>
      <c r="H167" s="12">
        <v>45368.485358796293</v>
      </c>
      <c r="I167" t="s">
        <v>367</v>
      </c>
      <c r="J167" t="s">
        <v>506</v>
      </c>
      <c r="K167" t="s">
        <v>118</v>
      </c>
    </row>
    <row r="168" spans="1:11" x14ac:dyDescent="0.35">
      <c r="A168" t="s">
        <v>46</v>
      </c>
      <c r="B168" t="s">
        <v>1</v>
      </c>
      <c r="C168" s="27">
        <v>22.99</v>
      </c>
      <c r="D168">
        <v>10</v>
      </c>
      <c r="E168">
        <v>52</v>
      </c>
      <c r="F168" s="4">
        <f t="shared" si="2"/>
        <v>1195.48</v>
      </c>
      <c r="G168" t="str">
        <f>IF(Table2[[#This Row],[Sold]]&gt;1000,"High Quality","Normal Quality")</f>
        <v>Normal Quality</v>
      </c>
      <c r="H168" s="12">
        <v>45368.485509259262</v>
      </c>
      <c r="I168" t="s">
        <v>367</v>
      </c>
      <c r="J168" t="s">
        <v>506</v>
      </c>
      <c r="K168" t="s">
        <v>118</v>
      </c>
    </row>
    <row r="169" spans="1:11" x14ac:dyDescent="0.35">
      <c r="A169" t="s">
        <v>15</v>
      </c>
      <c r="B169" t="s">
        <v>1</v>
      </c>
      <c r="C169" s="27">
        <v>56.95</v>
      </c>
      <c r="D169">
        <v>8</v>
      </c>
      <c r="E169">
        <v>700</v>
      </c>
      <c r="F169" s="4">
        <f t="shared" si="2"/>
        <v>39865</v>
      </c>
      <c r="G169" t="str">
        <f>IF(Table2[[#This Row],[Sold]]&gt;1000,"High Quality","Normal Quality")</f>
        <v>Normal Quality</v>
      </c>
      <c r="H169" s="12">
        <v>45368.485856481479</v>
      </c>
      <c r="I169" t="s">
        <v>273</v>
      </c>
      <c r="J169" t="s">
        <v>274</v>
      </c>
      <c r="K169" t="s">
        <v>118</v>
      </c>
    </row>
    <row r="170" spans="1:11" x14ac:dyDescent="0.35">
      <c r="A170" t="s">
        <v>15</v>
      </c>
      <c r="B170" t="s">
        <v>1</v>
      </c>
      <c r="C170" s="27">
        <v>43.45</v>
      </c>
      <c r="D170">
        <v>0</v>
      </c>
      <c r="E170">
        <v>955</v>
      </c>
      <c r="F170" s="4">
        <f t="shared" si="2"/>
        <v>41494.75</v>
      </c>
      <c r="G170" t="str">
        <f>IF(Table2[[#This Row],[Sold]]&gt;1000,"High Quality","Normal Quality")</f>
        <v>Normal Quality</v>
      </c>
      <c r="H170" s="12">
        <v>45368.486296296294</v>
      </c>
      <c r="I170" t="s">
        <v>273</v>
      </c>
      <c r="J170" t="s">
        <v>274</v>
      </c>
      <c r="K170" t="s">
        <v>118</v>
      </c>
    </row>
    <row r="171" spans="1:11" x14ac:dyDescent="0.35">
      <c r="A171" t="s">
        <v>90</v>
      </c>
      <c r="B171" t="s">
        <v>239</v>
      </c>
      <c r="C171" s="27">
        <v>159.99</v>
      </c>
      <c r="D171">
        <v>10</v>
      </c>
      <c r="E171">
        <v>2</v>
      </c>
      <c r="F171" s="4">
        <f t="shared" si="2"/>
        <v>319.98</v>
      </c>
      <c r="G171" t="str">
        <f>IF(Table2[[#This Row],[Sold]]&gt;1000,"High Quality","Normal Quality")</f>
        <v>Normal Quality</v>
      </c>
      <c r="H171" s="12">
        <v>45368.488842592589</v>
      </c>
      <c r="I171" t="s">
        <v>481</v>
      </c>
      <c r="J171" t="s">
        <v>508</v>
      </c>
      <c r="K171" t="s">
        <v>118</v>
      </c>
    </row>
    <row r="172" spans="1:11" x14ac:dyDescent="0.35">
      <c r="A172" t="s">
        <v>8</v>
      </c>
      <c r="B172" t="s">
        <v>1</v>
      </c>
      <c r="C172" s="27">
        <v>68.989999999999995</v>
      </c>
      <c r="D172">
        <v>10</v>
      </c>
      <c r="E172">
        <v>248</v>
      </c>
      <c r="F172" s="4">
        <f t="shared" si="2"/>
        <v>17109.52</v>
      </c>
      <c r="G172" t="str">
        <f>IF(Table2[[#This Row],[Sold]]&gt;1000,"High Quality","Normal Quality")</f>
        <v>Normal Quality</v>
      </c>
      <c r="H172" s="12">
        <v>45368.510277777779</v>
      </c>
      <c r="I172" t="s">
        <v>291</v>
      </c>
      <c r="J172" t="s">
        <v>274</v>
      </c>
      <c r="K172" t="s">
        <v>118</v>
      </c>
    </row>
    <row r="173" spans="1:11" x14ac:dyDescent="0.35">
      <c r="A173" t="s">
        <v>93</v>
      </c>
      <c r="B173" t="s">
        <v>3</v>
      </c>
      <c r="C173" s="27">
        <v>34.99</v>
      </c>
      <c r="D173">
        <v>10</v>
      </c>
      <c r="E173">
        <v>577</v>
      </c>
      <c r="F173" s="4">
        <f t="shared" si="2"/>
        <v>20189.23</v>
      </c>
      <c r="G173" t="str">
        <f>IF(Table2[[#This Row],[Sold]]&gt;1000,"High Quality","Normal Quality")</f>
        <v>Normal Quality</v>
      </c>
      <c r="H173" s="12">
        <v>45368.512314814812</v>
      </c>
      <c r="I173" t="s">
        <v>334</v>
      </c>
      <c r="J173" t="s">
        <v>274</v>
      </c>
      <c r="K173" t="s">
        <v>118</v>
      </c>
    </row>
    <row r="174" spans="1:11" x14ac:dyDescent="0.35">
      <c r="A174" t="s">
        <v>21</v>
      </c>
      <c r="B174" t="s">
        <v>1</v>
      </c>
      <c r="C174" s="27">
        <v>9.99</v>
      </c>
      <c r="D174">
        <v>6</v>
      </c>
      <c r="E174">
        <v>19</v>
      </c>
      <c r="F174" s="4">
        <f t="shared" si="2"/>
        <v>189.81</v>
      </c>
      <c r="G174" t="str">
        <f>IF(Table2[[#This Row],[Sold]]&gt;1000,"High Quality","Normal Quality")</f>
        <v>Normal Quality</v>
      </c>
      <c r="H174" s="12">
        <v>45368.593043981484</v>
      </c>
      <c r="I174" t="s">
        <v>378</v>
      </c>
      <c r="J174" t="s">
        <v>282</v>
      </c>
      <c r="K174" t="s">
        <v>118</v>
      </c>
    </row>
    <row r="175" spans="1:11" x14ac:dyDescent="0.35">
      <c r="A175" t="s">
        <v>228</v>
      </c>
      <c r="B175" t="s">
        <v>3</v>
      </c>
      <c r="C175" s="27">
        <v>27.59</v>
      </c>
      <c r="D175">
        <v>10</v>
      </c>
      <c r="E175">
        <v>4972</v>
      </c>
      <c r="F175" s="4">
        <f t="shared" si="2"/>
        <v>137177.48000000001</v>
      </c>
      <c r="G175" t="str">
        <f>IF(Table2[[#This Row],[Sold]]&gt;1000,"High Quality","Normal Quality")</f>
        <v>High Quality</v>
      </c>
      <c r="H175" s="12">
        <v>45368.636388888888</v>
      </c>
      <c r="I175" t="s">
        <v>291</v>
      </c>
      <c r="J175" t="s">
        <v>274</v>
      </c>
      <c r="K175" t="s">
        <v>118</v>
      </c>
    </row>
    <row r="176" spans="1:11" x14ac:dyDescent="0.35">
      <c r="A176" t="s">
        <v>15</v>
      </c>
      <c r="B176" t="s">
        <v>3</v>
      </c>
      <c r="C176" s="27">
        <v>32.85</v>
      </c>
      <c r="D176">
        <v>71</v>
      </c>
      <c r="E176">
        <v>8385</v>
      </c>
      <c r="F176" s="4">
        <f t="shared" si="2"/>
        <v>275447.25</v>
      </c>
      <c r="G176" t="str">
        <f>IF(Table2[[#This Row],[Sold]]&gt;1000,"High Quality","Normal Quality")</f>
        <v>High Quality</v>
      </c>
      <c r="H176" s="12">
        <v>45368.653993055559</v>
      </c>
      <c r="I176" t="s">
        <v>273</v>
      </c>
      <c r="J176" t="s">
        <v>274</v>
      </c>
      <c r="K176" t="s">
        <v>118</v>
      </c>
    </row>
    <row r="177" spans="1:11" x14ac:dyDescent="0.35">
      <c r="A177" t="s">
        <v>25</v>
      </c>
      <c r="B177" t="s">
        <v>1</v>
      </c>
      <c r="C177" s="27">
        <v>38</v>
      </c>
      <c r="D177">
        <v>29</v>
      </c>
      <c r="E177">
        <v>12</v>
      </c>
      <c r="F177" s="4">
        <f t="shared" si="2"/>
        <v>456</v>
      </c>
      <c r="G177" t="str">
        <f>IF(Table2[[#This Row],[Sold]]&gt;1000,"High Quality","Normal Quality")</f>
        <v>Normal Quality</v>
      </c>
      <c r="H177" s="12">
        <v>45368.760868055557</v>
      </c>
      <c r="I177" t="s">
        <v>557</v>
      </c>
      <c r="J177" t="s">
        <v>486</v>
      </c>
      <c r="K177" t="s">
        <v>538</v>
      </c>
    </row>
    <row r="178" spans="1:11" x14ac:dyDescent="0.35">
      <c r="A178" t="s">
        <v>147</v>
      </c>
      <c r="B178" t="s">
        <v>3</v>
      </c>
      <c r="C178" s="27">
        <v>16.989999999999998</v>
      </c>
      <c r="D178">
        <v>0</v>
      </c>
      <c r="E178">
        <v>3</v>
      </c>
      <c r="F178" s="4">
        <f t="shared" si="2"/>
        <v>50.97</v>
      </c>
      <c r="G178" t="str">
        <f>IF(Table2[[#This Row],[Sold]]&gt;1000,"High Quality","Normal Quality")</f>
        <v>Normal Quality</v>
      </c>
      <c r="H178" s="12">
        <v>45368.822604166664</v>
      </c>
      <c r="I178" t="s">
        <v>301</v>
      </c>
      <c r="J178" t="s">
        <v>267</v>
      </c>
      <c r="K178" t="s">
        <v>118</v>
      </c>
    </row>
    <row r="179" spans="1:11" x14ac:dyDescent="0.35">
      <c r="A179" t="s">
        <v>4</v>
      </c>
      <c r="B179" t="s">
        <v>3</v>
      </c>
      <c r="C179" s="27">
        <v>27.9</v>
      </c>
      <c r="D179">
        <v>8</v>
      </c>
      <c r="E179">
        <v>157</v>
      </c>
      <c r="F179" s="4">
        <f t="shared" si="2"/>
        <v>4380.3</v>
      </c>
      <c r="G179" t="str">
        <f>IF(Table2[[#This Row],[Sold]]&gt;1000,"High Quality","Normal Quality")</f>
        <v>Normal Quality</v>
      </c>
      <c r="H179" s="12">
        <v>45368.868969907409</v>
      </c>
      <c r="I179" t="s">
        <v>287</v>
      </c>
      <c r="J179" t="s">
        <v>266</v>
      </c>
      <c r="K179" t="s">
        <v>118</v>
      </c>
    </row>
    <row r="180" spans="1:11" x14ac:dyDescent="0.35">
      <c r="A180" t="s">
        <v>207</v>
      </c>
      <c r="B180" t="s">
        <v>37</v>
      </c>
      <c r="C180" s="27">
        <v>100</v>
      </c>
      <c r="D180">
        <v>10</v>
      </c>
      <c r="E180">
        <v>1</v>
      </c>
      <c r="F180" s="4">
        <f t="shared" si="2"/>
        <v>100</v>
      </c>
      <c r="G180" t="str">
        <f>IF(Table2[[#This Row],[Sold]]&gt;1000,"High Quality","Normal Quality")</f>
        <v>Normal Quality</v>
      </c>
      <c r="H180" s="12">
        <v>45369.086342592593</v>
      </c>
      <c r="I180" t="s">
        <v>401</v>
      </c>
      <c r="J180" t="s">
        <v>396</v>
      </c>
      <c r="K180" t="s">
        <v>118</v>
      </c>
    </row>
    <row r="181" spans="1:11" x14ac:dyDescent="0.35">
      <c r="A181" t="s">
        <v>4</v>
      </c>
      <c r="B181" t="s">
        <v>3</v>
      </c>
      <c r="C181" s="27">
        <v>51.99</v>
      </c>
      <c r="D181">
        <v>7</v>
      </c>
      <c r="E181">
        <v>111</v>
      </c>
      <c r="F181" s="4">
        <f t="shared" si="2"/>
        <v>5770.89</v>
      </c>
      <c r="G181" t="str">
        <f>IF(Table2[[#This Row],[Sold]]&gt;1000,"High Quality","Normal Quality")</f>
        <v>Normal Quality</v>
      </c>
      <c r="H181" s="12">
        <v>45369.149224537039</v>
      </c>
      <c r="I181" t="s">
        <v>346</v>
      </c>
      <c r="J181" t="s">
        <v>347</v>
      </c>
      <c r="K181" t="s">
        <v>118</v>
      </c>
    </row>
    <row r="182" spans="1:11" x14ac:dyDescent="0.35">
      <c r="A182" t="s">
        <v>4</v>
      </c>
      <c r="B182" t="s">
        <v>1</v>
      </c>
      <c r="C182" s="27">
        <v>69.989999999999995</v>
      </c>
      <c r="D182">
        <v>10</v>
      </c>
      <c r="E182">
        <v>81</v>
      </c>
      <c r="F182" s="4">
        <f t="shared" si="2"/>
        <v>5669.19</v>
      </c>
      <c r="G182" t="str">
        <f>IF(Table2[[#This Row],[Sold]]&gt;1000,"High Quality","Normal Quality")</f>
        <v>Normal Quality</v>
      </c>
      <c r="H182" s="12">
        <v>45369.226782407408</v>
      </c>
      <c r="I182" t="s">
        <v>346</v>
      </c>
      <c r="J182" t="s">
        <v>347</v>
      </c>
      <c r="K182" t="s">
        <v>118</v>
      </c>
    </row>
    <row r="183" spans="1:11" x14ac:dyDescent="0.35">
      <c r="A183" t="s">
        <v>7</v>
      </c>
      <c r="B183" t="s">
        <v>1</v>
      </c>
      <c r="C183" s="27">
        <v>26.5</v>
      </c>
      <c r="D183">
        <v>0</v>
      </c>
      <c r="E183">
        <v>3</v>
      </c>
      <c r="F183" s="4">
        <f t="shared" si="2"/>
        <v>79.5</v>
      </c>
      <c r="G183" t="str">
        <f>IF(Table2[[#This Row],[Sold]]&gt;1000,"High Quality","Normal Quality")</f>
        <v>Normal Quality</v>
      </c>
      <c r="H183" s="12">
        <v>45369.334039351852</v>
      </c>
      <c r="I183" t="s">
        <v>506</v>
      </c>
      <c r="J183" t="s">
        <v>505</v>
      </c>
      <c r="K183" t="s">
        <v>118</v>
      </c>
    </row>
    <row r="184" spans="1:11" x14ac:dyDescent="0.35">
      <c r="A184" t="s">
        <v>9</v>
      </c>
      <c r="B184" t="s">
        <v>3</v>
      </c>
      <c r="C184" s="27">
        <v>44.49</v>
      </c>
      <c r="D184">
        <v>5</v>
      </c>
      <c r="E184">
        <v>4</v>
      </c>
      <c r="F184" s="4">
        <f t="shared" si="2"/>
        <v>177.96</v>
      </c>
      <c r="G184" t="str">
        <f>IF(Table2[[#This Row],[Sold]]&gt;1000,"High Quality","Normal Quality")</f>
        <v>Normal Quality</v>
      </c>
      <c r="H184" s="12">
        <v>45369.351817129631</v>
      </c>
      <c r="I184" t="s">
        <v>288</v>
      </c>
      <c r="J184" t="s">
        <v>508</v>
      </c>
      <c r="K184" t="s">
        <v>118</v>
      </c>
    </row>
    <row r="185" spans="1:11" x14ac:dyDescent="0.35">
      <c r="A185" t="s">
        <v>13</v>
      </c>
      <c r="B185" t="s">
        <v>3</v>
      </c>
      <c r="C185" s="27">
        <v>49.99</v>
      </c>
      <c r="D185">
        <v>3</v>
      </c>
      <c r="E185">
        <v>21</v>
      </c>
      <c r="F185" s="4">
        <f t="shared" si="2"/>
        <v>1049.79</v>
      </c>
      <c r="G185" t="str">
        <f>IF(Table2[[#This Row],[Sold]]&gt;1000,"High Quality","Normal Quality")</f>
        <v>Normal Quality</v>
      </c>
      <c r="H185" s="12">
        <v>45369.357453703706</v>
      </c>
      <c r="I185" t="s">
        <v>357</v>
      </c>
      <c r="J185" t="s">
        <v>266</v>
      </c>
      <c r="K185" t="s">
        <v>118</v>
      </c>
    </row>
    <row r="186" spans="1:11" x14ac:dyDescent="0.35">
      <c r="A186" t="s">
        <v>9</v>
      </c>
      <c r="B186" t="s">
        <v>3</v>
      </c>
      <c r="C186" s="27">
        <v>34.99</v>
      </c>
      <c r="D186">
        <v>2</v>
      </c>
      <c r="E186">
        <v>31</v>
      </c>
      <c r="F186" s="4">
        <f t="shared" si="2"/>
        <v>1084.69</v>
      </c>
      <c r="G186" t="str">
        <f>IF(Table2[[#This Row],[Sold]]&gt;1000,"High Quality","Normal Quality")</f>
        <v>Normal Quality</v>
      </c>
      <c r="H186" s="12">
        <v>45369.364965277775</v>
      </c>
      <c r="I186" t="s">
        <v>271</v>
      </c>
      <c r="J186" t="s">
        <v>266</v>
      </c>
      <c r="K186" t="s">
        <v>118</v>
      </c>
    </row>
    <row r="187" spans="1:11" x14ac:dyDescent="0.35">
      <c r="A187" t="s">
        <v>4</v>
      </c>
      <c r="B187" t="s">
        <v>3</v>
      </c>
      <c r="C187" s="27">
        <v>29.99</v>
      </c>
      <c r="D187">
        <v>10</v>
      </c>
      <c r="E187">
        <v>12</v>
      </c>
      <c r="F187" s="4">
        <f t="shared" si="2"/>
        <v>359.88</v>
      </c>
      <c r="G187" t="str">
        <f>IF(Table2[[#This Row],[Sold]]&gt;1000,"High Quality","Normal Quality")</f>
        <v>Normal Quality</v>
      </c>
      <c r="H187" s="12">
        <v>45369.396319444444</v>
      </c>
      <c r="I187" t="s">
        <v>472</v>
      </c>
      <c r="J187" t="s">
        <v>266</v>
      </c>
      <c r="K187" t="s">
        <v>118</v>
      </c>
    </row>
    <row r="188" spans="1:11" x14ac:dyDescent="0.35">
      <c r="A188" t="s">
        <v>51</v>
      </c>
      <c r="B188" t="s">
        <v>3</v>
      </c>
      <c r="C188" s="27">
        <v>26.9</v>
      </c>
      <c r="D188">
        <v>5</v>
      </c>
      <c r="E188">
        <v>264</v>
      </c>
      <c r="F188" s="4">
        <f t="shared" si="2"/>
        <v>7101.5999999999995</v>
      </c>
      <c r="G188" t="str">
        <f>IF(Table2[[#This Row],[Sold]]&gt;1000,"High Quality","Normal Quality")</f>
        <v>Normal Quality</v>
      </c>
      <c r="H188" s="12">
        <v>45369.455196759256</v>
      </c>
      <c r="I188" t="s">
        <v>408</v>
      </c>
      <c r="J188" t="s">
        <v>396</v>
      </c>
      <c r="K188" t="s">
        <v>118</v>
      </c>
    </row>
    <row r="189" spans="1:11" x14ac:dyDescent="0.35">
      <c r="A189" t="s">
        <v>37</v>
      </c>
      <c r="B189" t="s">
        <v>3</v>
      </c>
      <c r="C189" s="27">
        <v>10.99</v>
      </c>
      <c r="D189">
        <v>3</v>
      </c>
      <c r="E189">
        <v>1044</v>
      </c>
      <c r="F189" s="4">
        <f t="shared" si="2"/>
        <v>11473.56</v>
      </c>
      <c r="G189" t="str">
        <f>IF(Table2[[#This Row],[Sold]]&gt;1000,"High Quality","Normal Quality")</f>
        <v>High Quality</v>
      </c>
      <c r="H189" s="12">
        <v>45369.610034722224</v>
      </c>
      <c r="I189" t="s">
        <v>511</v>
      </c>
      <c r="J189" t="s">
        <v>274</v>
      </c>
      <c r="K189" t="s">
        <v>118</v>
      </c>
    </row>
    <row r="190" spans="1:11" x14ac:dyDescent="0.35">
      <c r="A190" t="s">
        <v>37</v>
      </c>
      <c r="B190" t="s">
        <v>1</v>
      </c>
      <c r="C190" s="27">
        <v>10.99</v>
      </c>
      <c r="D190">
        <v>3</v>
      </c>
      <c r="E190">
        <v>179</v>
      </c>
      <c r="F190" s="4">
        <f t="shared" si="2"/>
        <v>1967.21</v>
      </c>
      <c r="G190" t="str">
        <f>IF(Table2[[#This Row],[Sold]]&gt;1000,"High Quality","Normal Quality")</f>
        <v>Normal Quality</v>
      </c>
      <c r="H190" s="12">
        <v>45369.610509259262</v>
      </c>
      <c r="I190" t="s">
        <v>511</v>
      </c>
      <c r="J190" t="s">
        <v>274</v>
      </c>
      <c r="K190" t="s">
        <v>118</v>
      </c>
    </row>
    <row r="191" spans="1:11" x14ac:dyDescent="0.35">
      <c r="A191" t="s">
        <v>187</v>
      </c>
      <c r="B191" t="s">
        <v>1</v>
      </c>
      <c r="C191" s="27">
        <v>10.99</v>
      </c>
      <c r="D191">
        <v>10</v>
      </c>
      <c r="E191">
        <v>35</v>
      </c>
      <c r="F191" s="4">
        <f t="shared" si="2"/>
        <v>384.65000000000003</v>
      </c>
      <c r="G191" t="str">
        <f>IF(Table2[[#This Row],[Sold]]&gt;1000,"High Quality","Normal Quality")</f>
        <v>Normal Quality</v>
      </c>
      <c r="H191" s="12">
        <v>45369.617175925923</v>
      </c>
      <c r="I191" t="s">
        <v>281</v>
      </c>
      <c r="J191" t="s">
        <v>282</v>
      </c>
      <c r="K191" t="s">
        <v>118</v>
      </c>
    </row>
    <row r="192" spans="1:11" x14ac:dyDescent="0.35">
      <c r="A192" t="s">
        <v>187</v>
      </c>
      <c r="B192" t="s">
        <v>1</v>
      </c>
      <c r="C192" s="27">
        <v>11.99</v>
      </c>
      <c r="D192">
        <v>9</v>
      </c>
      <c r="E192">
        <v>51</v>
      </c>
      <c r="F192" s="4">
        <f t="shared" si="2"/>
        <v>611.49</v>
      </c>
      <c r="G192" t="str">
        <f>IF(Table2[[#This Row],[Sold]]&gt;1000,"High Quality","Normal Quality")</f>
        <v>Normal Quality</v>
      </c>
      <c r="H192" s="12">
        <v>45369.641701388886</v>
      </c>
      <c r="I192" t="s">
        <v>335</v>
      </c>
      <c r="J192" t="s">
        <v>282</v>
      </c>
      <c r="K192" t="s">
        <v>118</v>
      </c>
    </row>
    <row r="193" spans="1:11" x14ac:dyDescent="0.35">
      <c r="A193" t="s">
        <v>220</v>
      </c>
      <c r="B193" t="s">
        <v>1</v>
      </c>
      <c r="C193" s="27">
        <v>14.99</v>
      </c>
      <c r="D193">
        <v>6</v>
      </c>
      <c r="E193">
        <v>20</v>
      </c>
      <c r="F193" s="4">
        <f t="shared" si="2"/>
        <v>299.8</v>
      </c>
      <c r="G193" t="str">
        <f>IF(Table2[[#This Row],[Sold]]&gt;1000,"High Quality","Normal Quality")</f>
        <v>Normal Quality</v>
      </c>
      <c r="H193" s="12">
        <v>45369.661516203705</v>
      </c>
      <c r="I193" t="s">
        <v>490</v>
      </c>
      <c r="J193" t="s">
        <v>282</v>
      </c>
      <c r="K193" t="s">
        <v>118</v>
      </c>
    </row>
    <row r="194" spans="1:11" x14ac:dyDescent="0.35">
      <c r="A194" t="s">
        <v>187</v>
      </c>
      <c r="B194" t="s">
        <v>1</v>
      </c>
      <c r="C194" s="27">
        <v>6.96</v>
      </c>
      <c r="D194">
        <v>3</v>
      </c>
      <c r="E194">
        <v>102</v>
      </c>
      <c r="F194" s="4">
        <f t="shared" ref="F194:F257" si="3">C:C*E:E</f>
        <v>709.92</v>
      </c>
      <c r="G194" t="str">
        <f>IF(Table2[[#This Row],[Sold]]&gt;1000,"High Quality","Normal Quality")</f>
        <v>Normal Quality</v>
      </c>
      <c r="H194" s="12">
        <v>45369.677615740744</v>
      </c>
      <c r="I194" t="s">
        <v>281</v>
      </c>
      <c r="J194" t="s">
        <v>282</v>
      </c>
      <c r="K194" t="s">
        <v>118</v>
      </c>
    </row>
    <row r="195" spans="1:11" x14ac:dyDescent="0.35">
      <c r="A195" t="s">
        <v>5</v>
      </c>
      <c r="B195" t="s">
        <v>1</v>
      </c>
      <c r="C195" s="27">
        <v>26.99</v>
      </c>
      <c r="D195">
        <v>2</v>
      </c>
      <c r="E195">
        <v>75</v>
      </c>
      <c r="F195" s="4">
        <f t="shared" si="3"/>
        <v>2024.2499999999998</v>
      </c>
      <c r="G195" t="str">
        <f>IF(Table2[[#This Row],[Sold]]&gt;1000,"High Quality","Normal Quality")</f>
        <v>Normal Quality</v>
      </c>
      <c r="H195" s="12">
        <v>45369.697453703702</v>
      </c>
      <c r="I195" t="s">
        <v>362</v>
      </c>
      <c r="J195" t="s">
        <v>505</v>
      </c>
      <c r="K195" t="s">
        <v>118</v>
      </c>
    </row>
    <row r="196" spans="1:11" x14ac:dyDescent="0.35">
      <c r="A196" t="s">
        <v>50</v>
      </c>
      <c r="B196" t="s">
        <v>1</v>
      </c>
      <c r="C196" s="27">
        <v>12.95</v>
      </c>
      <c r="D196">
        <v>5</v>
      </c>
      <c r="E196">
        <v>594</v>
      </c>
      <c r="F196" s="4">
        <f t="shared" si="3"/>
        <v>7692.2999999999993</v>
      </c>
      <c r="G196" t="str">
        <f>IF(Table2[[#This Row],[Sold]]&gt;1000,"High Quality","Normal Quality")</f>
        <v>Normal Quality</v>
      </c>
      <c r="H196" s="12">
        <v>45369.806041666663</v>
      </c>
      <c r="I196" t="s">
        <v>358</v>
      </c>
      <c r="J196" t="s">
        <v>274</v>
      </c>
      <c r="K196" t="s">
        <v>118</v>
      </c>
    </row>
    <row r="197" spans="1:11" x14ac:dyDescent="0.35">
      <c r="A197" t="s">
        <v>237</v>
      </c>
      <c r="B197" t="s">
        <v>37</v>
      </c>
      <c r="C197" s="27">
        <v>31.95</v>
      </c>
      <c r="D197">
        <v>95</v>
      </c>
      <c r="E197">
        <v>10</v>
      </c>
      <c r="F197" s="4">
        <f t="shared" si="3"/>
        <v>319.5</v>
      </c>
      <c r="G197" t="str">
        <f>IF(Table2[[#This Row],[Sold]]&gt;1000,"High Quality","Normal Quality")</f>
        <v>Normal Quality</v>
      </c>
      <c r="H197" s="12">
        <v>45369.820636574077</v>
      </c>
      <c r="I197" t="s">
        <v>433</v>
      </c>
      <c r="J197" t="s">
        <v>267</v>
      </c>
      <c r="K197" t="s">
        <v>118</v>
      </c>
    </row>
    <row r="198" spans="1:11" x14ac:dyDescent="0.35">
      <c r="A198" t="s">
        <v>43</v>
      </c>
      <c r="B198" t="s">
        <v>3</v>
      </c>
      <c r="C198" s="27">
        <v>17</v>
      </c>
      <c r="D198">
        <v>6</v>
      </c>
      <c r="E198">
        <v>147</v>
      </c>
      <c r="F198" s="4">
        <f t="shared" si="3"/>
        <v>2499</v>
      </c>
      <c r="G198" t="str">
        <f>IF(Table2[[#This Row],[Sold]]&gt;1000,"High Quality","Normal Quality")</f>
        <v>Normal Quality</v>
      </c>
      <c r="H198" s="12">
        <v>45369.872418981482</v>
      </c>
      <c r="I198" t="s">
        <v>291</v>
      </c>
      <c r="J198" t="s">
        <v>274</v>
      </c>
      <c r="K198" t="s">
        <v>118</v>
      </c>
    </row>
    <row r="199" spans="1:11" x14ac:dyDescent="0.35">
      <c r="A199" t="s">
        <v>13</v>
      </c>
      <c r="B199" t="s">
        <v>3</v>
      </c>
      <c r="C199" s="27">
        <v>77.150000000000006</v>
      </c>
      <c r="D199">
        <v>3</v>
      </c>
      <c r="E199">
        <v>293</v>
      </c>
      <c r="F199" s="4">
        <f t="shared" si="3"/>
        <v>22604.95</v>
      </c>
      <c r="G199" t="str">
        <f>IF(Table2[[#This Row],[Sold]]&gt;1000,"High Quality","Normal Quality")</f>
        <v>Normal Quality</v>
      </c>
      <c r="H199" s="12">
        <v>45369.889016203706</v>
      </c>
      <c r="I199" t="s">
        <v>291</v>
      </c>
      <c r="J199" t="s">
        <v>274</v>
      </c>
      <c r="K199" t="s">
        <v>118</v>
      </c>
    </row>
    <row r="200" spans="1:11" x14ac:dyDescent="0.35">
      <c r="A200" t="s">
        <v>70</v>
      </c>
      <c r="B200" t="s">
        <v>1</v>
      </c>
      <c r="C200" s="27">
        <v>13</v>
      </c>
      <c r="D200">
        <v>10</v>
      </c>
      <c r="E200">
        <v>17</v>
      </c>
      <c r="F200" s="4">
        <f t="shared" si="3"/>
        <v>221</v>
      </c>
      <c r="G200" t="str">
        <f>IF(Table2[[#This Row],[Sold]]&gt;1000,"High Quality","Normal Quality")</f>
        <v>Normal Quality</v>
      </c>
      <c r="H200" s="12">
        <v>45369.89329861111</v>
      </c>
      <c r="I200" t="s">
        <v>429</v>
      </c>
      <c r="J200" t="s">
        <v>286</v>
      </c>
      <c r="K200" t="s">
        <v>118</v>
      </c>
    </row>
    <row r="201" spans="1:11" x14ac:dyDescent="0.35">
      <c r="A201" t="s">
        <v>249</v>
      </c>
      <c r="B201" t="s">
        <v>37</v>
      </c>
      <c r="C201" s="27">
        <v>30.95</v>
      </c>
      <c r="D201">
        <v>7</v>
      </c>
      <c r="E201">
        <v>4</v>
      </c>
      <c r="F201" s="4">
        <f t="shared" si="3"/>
        <v>123.8</v>
      </c>
      <c r="G201" t="str">
        <f>IF(Table2[[#This Row],[Sold]]&gt;1000,"High Quality","Normal Quality")</f>
        <v>Normal Quality</v>
      </c>
      <c r="H201" s="12">
        <v>45370.28020833333</v>
      </c>
      <c r="I201" t="s">
        <v>438</v>
      </c>
      <c r="J201" t="s">
        <v>305</v>
      </c>
      <c r="K201" t="s">
        <v>118</v>
      </c>
    </row>
    <row r="202" spans="1:11" x14ac:dyDescent="0.35">
      <c r="A202" t="s">
        <v>9</v>
      </c>
      <c r="B202" t="s">
        <v>3</v>
      </c>
      <c r="C202" s="27">
        <v>31.99</v>
      </c>
      <c r="D202">
        <v>0</v>
      </c>
      <c r="E202">
        <v>103</v>
      </c>
      <c r="F202" s="4">
        <f t="shared" si="3"/>
        <v>3294.97</v>
      </c>
      <c r="G202" t="str">
        <f>IF(Table2[[#This Row],[Sold]]&gt;1000,"High Quality","Normal Quality")</f>
        <v>Normal Quality</v>
      </c>
      <c r="H202" s="12">
        <v>45370.323275462964</v>
      </c>
      <c r="I202" t="s">
        <v>366</v>
      </c>
      <c r="J202" t="s">
        <v>266</v>
      </c>
      <c r="K202" t="s">
        <v>118</v>
      </c>
    </row>
    <row r="203" spans="1:11" x14ac:dyDescent="0.35">
      <c r="A203" t="s">
        <v>70</v>
      </c>
      <c r="B203" t="s">
        <v>1</v>
      </c>
      <c r="C203" s="27">
        <v>15.99</v>
      </c>
      <c r="D203">
        <v>5</v>
      </c>
      <c r="E203">
        <v>655</v>
      </c>
      <c r="F203" s="4">
        <f t="shared" si="3"/>
        <v>10473.450000000001</v>
      </c>
      <c r="G203" t="str">
        <f>IF(Table2[[#This Row],[Sold]]&gt;1000,"High Quality","Normal Quality")</f>
        <v>Normal Quality</v>
      </c>
      <c r="H203" s="12">
        <v>45370.359212962961</v>
      </c>
      <c r="I203" t="s">
        <v>506</v>
      </c>
      <c r="J203" t="s">
        <v>505</v>
      </c>
      <c r="K203" t="s">
        <v>118</v>
      </c>
    </row>
    <row r="204" spans="1:11" x14ac:dyDescent="0.35">
      <c r="A204" t="s">
        <v>55</v>
      </c>
      <c r="B204" t="s">
        <v>3</v>
      </c>
      <c r="C204" s="27">
        <v>32.89</v>
      </c>
      <c r="D204">
        <v>4</v>
      </c>
      <c r="E204">
        <v>5</v>
      </c>
      <c r="F204" s="4">
        <f t="shared" si="3"/>
        <v>164.45</v>
      </c>
      <c r="G204" t="str">
        <f>IF(Table2[[#This Row],[Sold]]&gt;1000,"High Quality","Normal Quality")</f>
        <v>Normal Quality</v>
      </c>
      <c r="H204" s="12">
        <v>45370.381168981483</v>
      </c>
      <c r="I204" t="s">
        <v>509</v>
      </c>
      <c r="J204" t="s">
        <v>505</v>
      </c>
      <c r="K204" t="s">
        <v>118</v>
      </c>
    </row>
    <row r="205" spans="1:11" x14ac:dyDescent="0.35">
      <c r="A205" t="s">
        <v>9</v>
      </c>
      <c r="B205" t="s">
        <v>3</v>
      </c>
      <c r="C205" s="27">
        <v>17.34</v>
      </c>
      <c r="D205">
        <v>6</v>
      </c>
      <c r="E205">
        <v>460</v>
      </c>
      <c r="F205" s="4">
        <f t="shared" si="3"/>
        <v>7976.4</v>
      </c>
      <c r="G205" t="str">
        <f>IF(Table2[[#This Row],[Sold]]&gt;1000,"High Quality","Normal Quality")</f>
        <v>Normal Quality</v>
      </c>
      <c r="H205" s="12">
        <v>45370.384062500001</v>
      </c>
      <c r="I205" t="s">
        <v>290</v>
      </c>
      <c r="J205" t="s">
        <v>506</v>
      </c>
      <c r="K205" t="s">
        <v>118</v>
      </c>
    </row>
    <row r="206" spans="1:11" x14ac:dyDescent="0.35">
      <c r="A206" t="s">
        <v>213</v>
      </c>
      <c r="B206" t="s">
        <v>3</v>
      </c>
      <c r="C206" s="27">
        <v>59</v>
      </c>
      <c r="D206">
        <v>10</v>
      </c>
      <c r="E206">
        <v>4</v>
      </c>
      <c r="F206" s="4">
        <f t="shared" si="3"/>
        <v>236</v>
      </c>
      <c r="G206" t="str">
        <f>IF(Table2[[#This Row],[Sold]]&gt;1000,"High Quality","Normal Quality")</f>
        <v>Normal Quality</v>
      </c>
      <c r="H206" s="12">
        <v>45370.408750000002</v>
      </c>
      <c r="I206" t="s">
        <v>393</v>
      </c>
      <c r="J206" t="s">
        <v>286</v>
      </c>
      <c r="K206" t="s">
        <v>118</v>
      </c>
    </row>
    <row r="207" spans="1:11" x14ac:dyDescent="0.35">
      <c r="A207" t="s">
        <v>13</v>
      </c>
      <c r="B207" t="s">
        <v>3</v>
      </c>
      <c r="C207" s="27">
        <v>39.99</v>
      </c>
      <c r="D207">
        <v>0</v>
      </c>
      <c r="E207">
        <v>40</v>
      </c>
      <c r="F207" s="4">
        <f t="shared" si="3"/>
        <v>1599.6000000000001</v>
      </c>
      <c r="G207" t="str">
        <f>IF(Table2[[#This Row],[Sold]]&gt;1000,"High Quality","Normal Quality")</f>
        <v>Normal Quality</v>
      </c>
      <c r="H207" s="12">
        <v>45370.439664351848</v>
      </c>
      <c r="I207" t="s">
        <v>288</v>
      </c>
      <c r="J207" t="s">
        <v>508</v>
      </c>
      <c r="K207" t="s">
        <v>118</v>
      </c>
    </row>
    <row r="208" spans="1:11" x14ac:dyDescent="0.35">
      <c r="A208" t="s">
        <v>50</v>
      </c>
      <c r="B208" t="s">
        <v>3</v>
      </c>
      <c r="C208" s="27">
        <v>92</v>
      </c>
      <c r="D208">
        <v>10</v>
      </c>
      <c r="E208">
        <v>37</v>
      </c>
      <c r="F208" s="4">
        <f t="shared" si="3"/>
        <v>3404</v>
      </c>
      <c r="G208" t="str">
        <f>IF(Table2[[#This Row],[Sold]]&gt;1000,"High Quality","Normal Quality")</f>
        <v>Normal Quality</v>
      </c>
      <c r="H208" s="12">
        <v>45370.484490740739</v>
      </c>
      <c r="I208" t="s">
        <v>506</v>
      </c>
      <c r="J208" t="s">
        <v>267</v>
      </c>
      <c r="K208" t="s">
        <v>118</v>
      </c>
    </row>
    <row r="209" spans="1:11" x14ac:dyDescent="0.35">
      <c r="A209" t="s">
        <v>120</v>
      </c>
      <c r="B209" t="s">
        <v>3</v>
      </c>
      <c r="C209" s="27">
        <v>41.79</v>
      </c>
      <c r="D209">
        <v>4</v>
      </c>
      <c r="E209">
        <v>174</v>
      </c>
      <c r="F209" s="4">
        <f t="shared" si="3"/>
        <v>7271.46</v>
      </c>
      <c r="G209" t="str">
        <f>IF(Table2[[#This Row],[Sold]]&gt;1000,"High Quality","Normal Quality")</f>
        <v>Normal Quality</v>
      </c>
      <c r="H209" s="12">
        <v>45370.503078703703</v>
      </c>
      <c r="I209" t="s">
        <v>432</v>
      </c>
      <c r="J209" t="s">
        <v>505</v>
      </c>
      <c r="K209" t="s">
        <v>118</v>
      </c>
    </row>
    <row r="210" spans="1:11" x14ac:dyDescent="0.35">
      <c r="A210" t="s">
        <v>60</v>
      </c>
      <c r="B210" t="s">
        <v>3</v>
      </c>
      <c r="C210" s="27">
        <v>14.57</v>
      </c>
      <c r="D210">
        <v>10</v>
      </c>
      <c r="E210">
        <v>63</v>
      </c>
      <c r="F210" s="4">
        <f t="shared" si="3"/>
        <v>917.91</v>
      </c>
      <c r="G210" t="str">
        <f>IF(Table2[[#This Row],[Sold]]&gt;1000,"High Quality","Normal Quality")</f>
        <v>Normal Quality</v>
      </c>
      <c r="H210" s="12">
        <v>45370.519143518519</v>
      </c>
      <c r="I210" t="s">
        <v>291</v>
      </c>
      <c r="J210" t="s">
        <v>274</v>
      </c>
      <c r="K210" t="s">
        <v>118</v>
      </c>
    </row>
    <row r="211" spans="1:11" x14ac:dyDescent="0.35">
      <c r="A211" t="s">
        <v>22</v>
      </c>
      <c r="B211" t="s">
        <v>1</v>
      </c>
      <c r="C211" s="27">
        <v>51.91</v>
      </c>
      <c r="D211">
        <v>10</v>
      </c>
      <c r="E211">
        <v>47</v>
      </c>
      <c r="F211" s="4">
        <f t="shared" si="3"/>
        <v>2439.77</v>
      </c>
      <c r="G211" t="str">
        <f>IF(Table2[[#This Row],[Sold]]&gt;1000,"High Quality","Normal Quality")</f>
        <v>Normal Quality</v>
      </c>
      <c r="H211" s="12">
        <v>45370.552465277775</v>
      </c>
      <c r="I211" t="s">
        <v>296</v>
      </c>
      <c r="J211" t="s">
        <v>505</v>
      </c>
      <c r="K211" t="s">
        <v>118</v>
      </c>
    </row>
    <row r="212" spans="1:11" x14ac:dyDescent="0.35">
      <c r="A212" t="s">
        <v>36</v>
      </c>
      <c r="B212" t="s">
        <v>37</v>
      </c>
      <c r="C212" s="27">
        <v>44.99</v>
      </c>
      <c r="D212">
        <v>5</v>
      </c>
      <c r="E212">
        <v>129</v>
      </c>
      <c r="F212" s="4">
        <f t="shared" si="3"/>
        <v>5803.71</v>
      </c>
      <c r="G212" t="str">
        <f>IF(Table2[[#This Row],[Sold]]&gt;1000,"High Quality","Normal Quality")</f>
        <v>Normal Quality</v>
      </c>
      <c r="H212" s="12">
        <v>45370.627314814818</v>
      </c>
      <c r="I212" t="s">
        <v>272</v>
      </c>
      <c r="J212" t="s">
        <v>507</v>
      </c>
      <c r="K212" t="s">
        <v>118</v>
      </c>
    </row>
    <row r="213" spans="1:11" x14ac:dyDescent="0.35">
      <c r="A213" t="s">
        <v>27</v>
      </c>
      <c r="B213" t="s">
        <v>3</v>
      </c>
      <c r="C213" s="27">
        <v>41.99</v>
      </c>
      <c r="D213">
        <v>7</v>
      </c>
      <c r="E213">
        <v>38</v>
      </c>
      <c r="F213" s="4">
        <f t="shared" si="3"/>
        <v>1595.6200000000001</v>
      </c>
      <c r="G213" t="str">
        <f>IF(Table2[[#This Row],[Sold]]&gt;1000,"High Quality","Normal Quality")</f>
        <v>Normal Quality</v>
      </c>
      <c r="H213" s="12">
        <v>45370.627824074072</v>
      </c>
      <c r="I213" t="s">
        <v>272</v>
      </c>
      <c r="J213" t="s">
        <v>507</v>
      </c>
      <c r="K213" t="s">
        <v>118</v>
      </c>
    </row>
    <row r="214" spans="1:11" x14ac:dyDescent="0.35">
      <c r="A214" t="s">
        <v>233</v>
      </c>
      <c r="B214" t="s">
        <v>1</v>
      </c>
      <c r="C214" s="27">
        <v>124.96</v>
      </c>
      <c r="D214">
        <v>3</v>
      </c>
      <c r="E214">
        <v>151</v>
      </c>
      <c r="F214" s="4">
        <f t="shared" si="3"/>
        <v>18868.96</v>
      </c>
      <c r="G214" t="str">
        <f>IF(Table2[[#This Row],[Sold]]&gt;1000,"High Quality","Normal Quality")</f>
        <v>Normal Quality</v>
      </c>
      <c r="H214" s="12">
        <v>45370.655902777777</v>
      </c>
      <c r="I214" t="s">
        <v>290</v>
      </c>
      <c r="J214" t="s">
        <v>506</v>
      </c>
      <c r="K214" t="s">
        <v>118</v>
      </c>
    </row>
    <row r="215" spans="1:11" x14ac:dyDescent="0.35">
      <c r="A215" t="s">
        <v>4</v>
      </c>
      <c r="B215" t="s">
        <v>1</v>
      </c>
      <c r="C215" s="27">
        <v>27</v>
      </c>
      <c r="D215">
        <v>13</v>
      </c>
      <c r="E215">
        <v>5</v>
      </c>
      <c r="F215" s="4">
        <f t="shared" si="3"/>
        <v>135</v>
      </c>
      <c r="G215" t="str">
        <f>IF(Table2[[#This Row],[Sold]]&gt;1000,"High Quality","Normal Quality")</f>
        <v>Normal Quality</v>
      </c>
      <c r="H215" s="12">
        <v>45370.656956018516</v>
      </c>
      <c r="I215" t="s">
        <v>551</v>
      </c>
      <c r="J215" t="s">
        <v>315</v>
      </c>
      <c r="K215" t="s">
        <v>118</v>
      </c>
    </row>
    <row r="216" spans="1:11" x14ac:dyDescent="0.35">
      <c r="A216" t="s">
        <v>25</v>
      </c>
      <c r="B216" t="s">
        <v>1</v>
      </c>
      <c r="C216" s="27">
        <v>25.99</v>
      </c>
      <c r="D216">
        <v>3</v>
      </c>
      <c r="E216">
        <v>3</v>
      </c>
      <c r="F216" s="4">
        <f t="shared" si="3"/>
        <v>77.97</v>
      </c>
      <c r="G216" t="str">
        <f>IF(Table2[[#This Row],[Sold]]&gt;1000,"High Quality","Normal Quality")</f>
        <v>Normal Quality</v>
      </c>
      <c r="H216" s="12">
        <v>45370.658831018518</v>
      </c>
      <c r="I216" t="s">
        <v>311</v>
      </c>
      <c r="J216" t="s">
        <v>535</v>
      </c>
      <c r="K216" t="s">
        <v>118</v>
      </c>
    </row>
    <row r="217" spans="1:11" x14ac:dyDescent="0.35">
      <c r="A217" t="s">
        <v>16</v>
      </c>
      <c r="B217" t="s">
        <v>1</v>
      </c>
      <c r="C217" s="27">
        <v>59.99</v>
      </c>
      <c r="D217">
        <v>7</v>
      </c>
      <c r="E217">
        <v>496</v>
      </c>
      <c r="F217" s="4">
        <f t="shared" si="3"/>
        <v>29755.040000000001</v>
      </c>
      <c r="G217" t="str">
        <f>IF(Table2[[#This Row],[Sold]]&gt;1000,"High Quality","Normal Quality")</f>
        <v>Normal Quality</v>
      </c>
      <c r="H217" s="12">
        <v>45370.695694444446</v>
      </c>
      <c r="I217" t="s">
        <v>511</v>
      </c>
      <c r="J217" t="s">
        <v>274</v>
      </c>
      <c r="K217" t="s">
        <v>118</v>
      </c>
    </row>
    <row r="218" spans="1:11" x14ac:dyDescent="0.35">
      <c r="A218" t="s">
        <v>8</v>
      </c>
      <c r="B218" t="s">
        <v>1</v>
      </c>
      <c r="C218" s="27">
        <v>15.99</v>
      </c>
      <c r="D218">
        <v>0</v>
      </c>
      <c r="E218">
        <v>196</v>
      </c>
      <c r="F218" s="4">
        <f t="shared" si="3"/>
        <v>3134.04</v>
      </c>
      <c r="G218" t="str">
        <f>IF(Table2[[#This Row],[Sold]]&gt;1000,"High Quality","Normal Quality")</f>
        <v>Normal Quality</v>
      </c>
      <c r="H218" s="12">
        <v>45370.696759259263</v>
      </c>
      <c r="I218" t="s">
        <v>527</v>
      </c>
      <c r="J218" t="s">
        <v>505</v>
      </c>
      <c r="K218" t="s">
        <v>118</v>
      </c>
    </row>
    <row r="219" spans="1:11" x14ac:dyDescent="0.35">
      <c r="A219" t="s">
        <v>55</v>
      </c>
      <c r="B219" t="s">
        <v>1</v>
      </c>
      <c r="C219" s="27">
        <v>26.99</v>
      </c>
      <c r="D219">
        <v>0</v>
      </c>
      <c r="E219">
        <v>14</v>
      </c>
      <c r="F219" s="4">
        <f t="shared" si="3"/>
        <v>377.85999999999996</v>
      </c>
      <c r="G219" t="str">
        <f>IF(Table2[[#This Row],[Sold]]&gt;1000,"High Quality","Normal Quality")</f>
        <v>Normal Quality</v>
      </c>
      <c r="H219" s="12">
        <v>45370.729062500002</v>
      </c>
      <c r="I219" t="s">
        <v>285</v>
      </c>
      <c r="J219" t="s">
        <v>286</v>
      </c>
      <c r="K219" t="s">
        <v>118</v>
      </c>
    </row>
    <row r="220" spans="1:11" x14ac:dyDescent="0.35">
      <c r="A220" t="s">
        <v>53</v>
      </c>
      <c r="B220" t="s">
        <v>3</v>
      </c>
      <c r="C220" s="27">
        <v>64.02</v>
      </c>
      <c r="D220">
        <v>13</v>
      </c>
      <c r="E220">
        <v>10</v>
      </c>
      <c r="F220" s="4">
        <f t="shared" si="3"/>
        <v>640.19999999999993</v>
      </c>
      <c r="G220" t="str">
        <f>IF(Table2[[#This Row],[Sold]]&gt;1000,"High Quality","Normal Quality")</f>
        <v>Normal Quality</v>
      </c>
      <c r="H220" s="12">
        <v>45370.736516203702</v>
      </c>
      <c r="I220" t="s">
        <v>290</v>
      </c>
      <c r="J220" t="s">
        <v>506</v>
      </c>
      <c r="K220" t="s">
        <v>118</v>
      </c>
    </row>
    <row r="221" spans="1:11" x14ac:dyDescent="0.35">
      <c r="A221" t="s">
        <v>11</v>
      </c>
      <c r="B221" t="s">
        <v>1</v>
      </c>
      <c r="C221" s="27">
        <v>39.99</v>
      </c>
      <c r="D221">
        <v>10</v>
      </c>
      <c r="E221">
        <v>10</v>
      </c>
      <c r="F221" s="4">
        <f t="shared" si="3"/>
        <v>399.90000000000003</v>
      </c>
      <c r="G221" t="str">
        <f>IF(Table2[[#This Row],[Sold]]&gt;1000,"High Quality","Normal Quality")</f>
        <v>Normal Quality</v>
      </c>
      <c r="H221" s="12">
        <v>45370.756296296298</v>
      </c>
      <c r="I221" t="s">
        <v>510</v>
      </c>
      <c r="J221" t="s">
        <v>505</v>
      </c>
      <c r="K221" t="s">
        <v>333</v>
      </c>
    </row>
    <row r="222" spans="1:11" x14ac:dyDescent="0.35">
      <c r="A222" t="s">
        <v>53</v>
      </c>
      <c r="B222" t="s">
        <v>3</v>
      </c>
      <c r="C222" s="27">
        <v>16.48</v>
      </c>
      <c r="D222">
        <v>3</v>
      </c>
      <c r="E222">
        <v>24</v>
      </c>
      <c r="F222" s="4">
        <f t="shared" si="3"/>
        <v>395.52</v>
      </c>
      <c r="G222" t="str">
        <f>IF(Table2[[#This Row],[Sold]]&gt;1000,"High Quality","Normal Quality")</f>
        <v>Normal Quality</v>
      </c>
      <c r="H222" s="12">
        <v>45370.765902777777</v>
      </c>
      <c r="I222" t="s">
        <v>385</v>
      </c>
      <c r="J222" t="s">
        <v>269</v>
      </c>
      <c r="K222" t="s">
        <v>118</v>
      </c>
    </row>
    <row r="223" spans="1:11" x14ac:dyDescent="0.35">
      <c r="A223" t="s">
        <v>15</v>
      </c>
      <c r="B223" t="s">
        <v>1</v>
      </c>
      <c r="C223" s="27">
        <v>33.99</v>
      </c>
      <c r="D223">
        <v>10</v>
      </c>
      <c r="E223">
        <v>2</v>
      </c>
      <c r="F223" s="4">
        <f t="shared" si="3"/>
        <v>67.98</v>
      </c>
      <c r="G223" t="str">
        <f>IF(Table2[[#This Row],[Sold]]&gt;1000,"High Quality","Normal Quality")</f>
        <v>Normal Quality</v>
      </c>
      <c r="H223" s="12">
        <v>45370.766967592594</v>
      </c>
      <c r="I223" t="s">
        <v>285</v>
      </c>
      <c r="J223" t="s">
        <v>286</v>
      </c>
      <c r="K223" t="s">
        <v>118</v>
      </c>
    </row>
    <row r="224" spans="1:11" x14ac:dyDescent="0.35">
      <c r="A224" t="s">
        <v>2</v>
      </c>
      <c r="B224" t="s">
        <v>239</v>
      </c>
      <c r="C224" s="27">
        <v>49.99</v>
      </c>
      <c r="D224">
        <v>5</v>
      </c>
      <c r="E224">
        <v>68</v>
      </c>
      <c r="F224" s="4">
        <f t="shared" si="3"/>
        <v>3399.32</v>
      </c>
      <c r="G224" t="str">
        <f>IF(Table2[[#This Row],[Sold]]&gt;1000,"High Quality","Normal Quality")</f>
        <v>Normal Quality</v>
      </c>
      <c r="H224" s="12">
        <v>45370.776805555557</v>
      </c>
      <c r="I224" t="s">
        <v>505</v>
      </c>
      <c r="J224" t="s">
        <v>267</v>
      </c>
      <c r="K224" t="s">
        <v>536</v>
      </c>
    </row>
    <row r="225" spans="1:11" x14ac:dyDescent="0.35">
      <c r="A225" t="s">
        <v>32</v>
      </c>
      <c r="B225" t="s">
        <v>3</v>
      </c>
      <c r="C225" s="27">
        <v>28.42</v>
      </c>
      <c r="D225">
        <v>6</v>
      </c>
      <c r="E225">
        <v>731</v>
      </c>
      <c r="F225" s="4">
        <f t="shared" si="3"/>
        <v>20775.02</v>
      </c>
      <c r="G225" t="str">
        <f>IF(Table2[[#This Row],[Sold]]&gt;1000,"High Quality","Normal Quality")</f>
        <v>Normal Quality</v>
      </c>
      <c r="H225" s="12">
        <v>45370.79583333333</v>
      </c>
      <c r="I225" t="s">
        <v>291</v>
      </c>
      <c r="J225" t="s">
        <v>274</v>
      </c>
      <c r="K225" t="s">
        <v>118</v>
      </c>
    </row>
    <row r="226" spans="1:11" x14ac:dyDescent="0.35">
      <c r="A226" t="s">
        <v>9</v>
      </c>
      <c r="B226" t="s">
        <v>3</v>
      </c>
      <c r="C226" s="27">
        <v>41.95</v>
      </c>
      <c r="D226">
        <v>8</v>
      </c>
      <c r="E226">
        <v>37</v>
      </c>
      <c r="F226" s="4">
        <f t="shared" si="3"/>
        <v>1552.15</v>
      </c>
      <c r="G226" t="str">
        <f>IF(Table2[[#This Row],[Sold]]&gt;1000,"High Quality","Normal Quality")</f>
        <v>Normal Quality</v>
      </c>
      <c r="H226" s="12">
        <v>45370.805937500001</v>
      </c>
      <c r="I226" t="s">
        <v>284</v>
      </c>
      <c r="J226" t="s">
        <v>282</v>
      </c>
      <c r="K226" t="s">
        <v>118</v>
      </c>
    </row>
    <row r="227" spans="1:11" x14ac:dyDescent="0.35">
      <c r="A227" t="s">
        <v>13</v>
      </c>
      <c r="B227" t="s">
        <v>1</v>
      </c>
      <c r="C227" s="27">
        <v>64.989999999999995</v>
      </c>
      <c r="D227">
        <v>2</v>
      </c>
      <c r="E227">
        <v>118</v>
      </c>
      <c r="F227" s="4">
        <f t="shared" si="3"/>
        <v>7668.82</v>
      </c>
      <c r="G227" t="str">
        <f>IF(Table2[[#This Row],[Sold]]&gt;1000,"High Quality","Normal Quality")</f>
        <v>Normal Quality</v>
      </c>
      <c r="H227" s="12">
        <v>45370.939953703702</v>
      </c>
      <c r="I227" t="s">
        <v>511</v>
      </c>
      <c r="J227" t="s">
        <v>274</v>
      </c>
      <c r="K227" t="s">
        <v>118</v>
      </c>
    </row>
    <row r="228" spans="1:11" x14ac:dyDescent="0.35">
      <c r="A228" t="s">
        <v>93</v>
      </c>
      <c r="B228" t="s">
        <v>3</v>
      </c>
      <c r="C228" s="27">
        <v>19.989999999999998</v>
      </c>
      <c r="D228">
        <v>10</v>
      </c>
      <c r="E228">
        <v>26</v>
      </c>
      <c r="F228" s="4">
        <f t="shared" si="3"/>
        <v>519.74</v>
      </c>
      <c r="G228" t="str">
        <f>IF(Table2[[#This Row],[Sold]]&gt;1000,"High Quality","Normal Quality")</f>
        <v>Normal Quality</v>
      </c>
      <c r="H228" s="12">
        <v>45370.955601851849</v>
      </c>
      <c r="I228" t="s">
        <v>444</v>
      </c>
      <c r="J228" t="s">
        <v>445</v>
      </c>
      <c r="K228" t="s">
        <v>118</v>
      </c>
    </row>
    <row r="229" spans="1:11" x14ac:dyDescent="0.35">
      <c r="A229" t="s">
        <v>232</v>
      </c>
      <c r="B229" t="s">
        <v>3</v>
      </c>
      <c r="C229" s="27">
        <v>59.99</v>
      </c>
      <c r="D229">
        <v>0</v>
      </c>
      <c r="E229">
        <v>39</v>
      </c>
      <c r="F229" s="4">
        <f t="shared" si="3"/>
        <v>2339.61</v>
      </c>
      <c r="G229" t="str">
        <f>IF(Table2[[#This Row],[Sold]]&gt;1000,"High Quality","Normal Quality")</f>
        <v>Normal Quality</v>
      </c>
      <c r="H229" s="12">
        <v>45370.958113425928</v>
      </c>
      <c r="I229" t="s">
        <v>517</v>
      </c>
      <c r="J229" t="s">
        <v>282</v>
      </c>
      <c r="K229" t="s">
        <v>333</v>
      </c>
    </row>
    <row r="230" spans="1:11" x14ac:dyDescent="0.35">
      <c r="A230" t="s">
        <v>46</v>
      </c>
      <c r="B230" t="s">
        <v>1</v>
      </c>
      <c r="C230" s="27">
        <v>15</v>
      </c>
      <c r="D230">
        <v>2</v>
      </c>
      <c r="E230">
        <v>12</v>
      </c>
      <c r="F230" s="4">
        <f t="shared" si="3"/>
        <v>180</v>
      </c>
      <c r="G230" t="str">
        <f>IF(Table2[[#This Row],[Sold]]&gt;1000,"High Quality","Normal Quality")</f>
        <v>Normal Quality</v>
      </c>
      <c r="H230" s="12">
        <v>45370.979143518518</v>
      </c>
      <c r="I230" t="s">
        <v>335</v>
      </c>
      <c r="J230" t="s">
        <v>282</v>
      </c>
      <c r="K230" t="s">
        <v>118</v>
      </c>
    </row>
    <row r="231" spans="1:11" x14ac:dyDescent="0.35">
      <c r="A231" t="s">
        <v>36</v>
      </c>
      <c r="B231" t="s">
        <v>3</v>
      </c>
      <c r="C231" s="27">
        <v>44</v>
      </c>
      <c r="D231">
        <v>10</v>
      </c>
      <c r="E231">
        <v>24</v>
      </c>
      <c r="F231" s="4">
        <f t="shared" si="3"/>
        <v>1056</v>
      </c>
      <c r="G231" t="str">
        <f>IF(Table2[[#This Row],[Sold]]&gt;1000,"High Quality","Normal Quality")</f>
        <v>Normal Quality</v>
      </c>
      <c r="H231" s="12">
        <v>45371.018807870372</v>
      </c>
      <c r="I231" t="s">
        <v>280</v>
      </c>
      <c r="J231" t="s">
        <v>266</v>
      </c>
      <c r="K231" t="s">
        <v>118</v>
      </c>
    </row>
    <row r="232" spans="1:11" x14ac:dyDescent="0.35">
      <c r="A232" t="s">
        <v>9</v>
      </c>
      <c r="B232" t="s">
        <v>1</v>
      </c>
      <c r="C232" s="27">
        <v>53.99</v>
      </c>
      <c r="D232">
        <v>10</v>
      </c>
      <c r="E232">
        <v>16</v>
      </c>
      <c r="F232" s="4">
        <f t="shared" si="3"/>
        <v>863.84</v>
      </c>
      <c r="G232" t="str">
        <f>IF(Table2[[#This Row],[Sold]]&gt;1000,"High Quality","Normal Quality")</f>
        <v>Normal Quality</v>
      </c>
      <c r="H232" s="12">
        <v>45371.058287037034</v>
      </c>
      <c r="I232" t="s">
        <v>382</v>
      </c>
      <c r="J232" t="s">
        <v>286</v>
      </c>
      <c r="K232" t="s">
        <v>118</v>
      </c>
    </row>
    <row r="233" spans="1:11" x14ac:dyDescent="0.35">
      <c r="A233" t="s">
        <v>188</v>
      </c>
      <c r="B233" t="s">
        <v>1</v>
      </c>
      <c r="C233" s="27">
        <v>99.99</v>
      </c>
      <c r="D233">
        <v>8</v>
      </c>
      <c r="E233">
        <v>30</v>
      </c>
      <c r="F233" s="4">
        <f t="shared" si="3"/>
        <v>2999.7</v>
      </c>
      <c r="G233" t="str">
        <f>IF(Table2[[#This Row],[Sold]]&gt;1000,"High Quality","Normal Quality")</f>
        <v>Normal Quality</v>
      </c>
      <c r="H233" s="12">
        <v>45371.178090277775</v>
      </c>
      <c r="I233" t="s">
        <v>295</v>
      </c>
      <c r="J233" t="s">
        <v>274</v>
      </c>
      <c r="K233" t="s">
        <v>118</v>
      </c>
    </row>
    <row r="234" spans="1:11" x14ac:dyDescent="0.35">
      <c r="A234" t="s">
        <v>4</v>
      </c>
      <c r="B234" t="s">
        <v>3</v>
      </c>
      <c r="C234" s="27">
        <v>37.950000000000003</v>
      </c>
      <c r="D234">
        <v>6</v>
      </c>
      <c r="E234">
        <v>20</v>
      </c>
      <c r="F234" s="4">
        <f t="shared" si="3"/>
        <v>759</v>
      </c>
      <c r="G234" t="str">
        <f>IF(Table2[[#This Row],[Sold]]&gt;1000,"High Quality","Normal Quality")</f>
        <v>Normal Quality</v>
      </c>
      <c r="H234" s="12">
        <v>45371.243449074071</v>
      </c>
      <c r="I234" t="s">
        <v>280</v>
      </c>
      <c r="J234" t="s">
        <v>266</v>
      </c>
      <c r="K234" t="s">
        <v>118</v>
      </c>
    </row>
    <row r="235" spans="1:11" x14ac:dyDescent="0.35">
      <c r="A235" t="s">
        <v>237</v>
      </c>
      <c r="B235" t="s">
        <v>37</v>
      </c>
      <c r="C235" s="27">
        <v>25.99</v>
      </c>
      <c r="D235">
        <v>3</v>
      </c>
      <c r="E235">
        <v>209</v>
      </c>
      <c r="F235" s="4">
        <f t="shared" si="3"/>
        <v>5431.91</v>
      </c>
      <c r="G235" t="str">
        <f>IF(Table2[[#This Row],[Sold]]&gt;1000,"High Quality","Normal Quality")</f>
        <v>Normal Quality</v>
      </c>
      <c r="H235" s="12">
        <v>45371.261342592596</v>
      </c>
      <c r="I235" t="s">
        <v>433</v>
      </c>
      <c r="J235" t="s">
        <v>267</v>
      </c>
      <c r="K235" t="s">
        <v>118</v>
      </c>
    </row>
    <row r="236" spans="1:11" x14ac:dyDescent="0.35">
      <c r="A236" t="s">
        <v>208</v>
      </c>
      <c r="B236" t="s">
        <v>1</v>
      </c>
      <c r="C236" s="27">
        <v>16.850000000000001</v>
      </c>
      <c r="D236">
        <v>5</v>
      </c>
      <c r="E236">
        <v>16</v>
      </c>
      <c r="F236" s="4">
        <f t="shared" si="3"/>
        <v>269.60000000000002</v>
      </c>
      <c r="G236" t="str">
        <f>IF(Table2[[#This Row],[Sold]]&gt;1000,"High Quality","Normal Quality")</f>
        <v>Normal Quality</v>
      </c>
      <c r="H236" s="12">
        <v>45371.279988425929</v>
      </c>
      <c r="I236" t="s">
        <v>409</v>
      </c>
      <c r="J236" t="s">
        <v>410</v>
      </c>
      <c r="K236" t="s">
        <v>118</v>
      </c>
    </row>
    <row r="237" spans="1:11" x14ac:dyDescent="0.35">
      <c r="A237" t="s">
        <v>21</v>
      </c>
      <c r="B237" t="s">
        <v>3</v>
      </c>
      <c r="C237" s="27">
        <v>16.260000000000002</v>
      </c>
      <c r="D237">
        <v>10</v>
      </c>
      <c r="E237">
        <v>644</v>
      </c>
      <c r="F237" s="4">
        <f t="shared" si="3"/>
        <v>10471.44</v>
      </c>
      <c r="G237" t="str">
        <f>IF(Table2[[#This Row],[Sold]]&gt;1000,"High Quality","Normal Quality")</f>
        <v>Normal Quality</v>
      </c>
      <c r="H237" s="12">
        <v>45371.332858796297</v>
      </c>
      <c r="I237" t="s">
        <v>291</v>
      </c>
      <c r="J237" t="s">
        <v>274</v>
      </c>
      <c r="K237" t="s">
        <v>118</v>
      </c>
    </row>
    <row r="238" spans="1:11" x14ac:dyDescent="0.35">
      <c r="A238" t="s">
        <v>25</v>
      </c>
      <c r="B238" t="s">
        <v>1</v>
      </c>
      <c r="C238" s="27">
        <v>41.95</v>
      </c>
      <c r="D238">
        <v>0</v>
      </c>
      <c r="E238">
        <v>7</v>
      </c>
      <c r="F238" s="4">
        <f t="shared" si="3"/>
        <v>293.65000000000003</v>
      </c>
      <c r="G238" t="str">
        <f>IF(Table2[[#This Row],[Sold]]&gt;1000,"High Quality","Normal Quality")</f>
        <v>Normal Quality</v>
      </c>
      <c r="H238" s="12">
        <v>45371.40415509259</v>
      </c>
      <c r="I238" t="s">
        <v>415</v>
      </c>
      <c r="J238" t="s">
        <v>356</v>
      </c>
      <c r="K238" t="s">
        <v>118</v>
      </c>
    </row>
    <row r="239" spans="1:11" x14ac:dyDescent="0.35">
      <c r="A239" t="s">
        <v>30</v>
      </c>
      <c r="B239" t="s">
        <v>3</v>
      </c>
      <c r="C239" s="27">
        <v>17.989999999999998</v>
      </c>
      <c r="D239">
        <v>2</v>
      </c>
      <c r="E239">
        <v>324</v>
      </c>
      <c r="F239" s="4">
        <f t="shared" si="3"/>
        <v>5828.7599999999993</v>
      </c>
      <c r="G239" t="str">
        <f>IF(Table2[[#This Row],[Sold]]&gt;1000,"High Quality","Normal Quality")</f>
        <v>Normal Quality</v>
      </c>
      <c r="H239" s="12">
        <v>45371.439317129632</v>
      </c>
      <c r="I239" t="s">
        <v>325</v>
      </c>
      <c r="J239" t="s">
        <v>266</v>
      </c>
      <c r="K239" t="s">
        <v>118</v>
      </c>
    </row>
    <row r="240" spans="1:11" x14ac:dyDescent="0.35">
      <c r="A240" t="s">
        <v>9</v>
      </c>
      <c r="B240" t="s">
        <v>1</v>
      </c>
      <c r="C240" s="27">
        <v>43</v>
      </c>
      <c r="D240">
        <v>3</v>
      </c>
      <c r="E240">
        <v>32</v>
      </c>
      <c r="F240" s="4">
        <f t="shared" si="3"/>
        <v>1376</v>
      </c>
      <c r="G240" t="str">
        <f>IF(Table2[[#This Row],[Sold]]&gt;1000,"High Quality","Normal Quality")</f>
        <v>Normal Quality</v>
      </c>
      <c r="H240" s="12">
        <v>45371.440081018518</v>
      </c>
      <c r="I240" t="s">
        <v>287</v>
      </c>
      <c r="J240" t="s">
        <v>266</v>
      </c>
      <c r="K240" t="s">
        <v>118</v>
      </c>
    </row>
    <row r="241" spans="1:11" x14ac:dyDescent="0.35">
      <c r="A241" t="s">
        <v>5</v>
      </c>
      <c r="B241" t="s">
        <v>1</v>
      </c>
      <c r="C241" s="27">
        <v>33.49</v>
      </c>
      <c r="D241">
        <v>0</v>
      </c>
      <c r="E241">
        <v>4</v>
      </c>
      <c r="F241" s="4">
        <f t="shared" si="3"/>
        <v>133.96</v>
      </c>
      <c r="G241" t="str">
        <f>IF(Table2[[#This Row],[Sold]]&gt;1000,"High Quality","Normal Quality")</f>
        <v>Normal Quality</v>
      </c>
      <c r="H241" s="12">
        <v>45371.444884259261</v>
      </c>
      <c r="I241" t="s">
        <v>509</v>
      </c>
      <c r="J241" t="s">
        <v>505</v>
      </c>
      <c r="K241" t="s">
        <v>118</v>
      </c>
    </row>
    <row r="242" spans="1:11" x14ac:dyDescent="0.35">
      <c r="A242" t="s">
        <v>71</v>
      </c>
      <c r="B242" t="s">
        <v>1</v>
      </c>
      <c r="C242" s="27">
        <v>28.19</v>
      </c>
      <c r="D242">
        <v>84</v>
      </c>
      <c r="E242">
        <v>6</v>
      </c>
      <c r="F242" s="4">
        <f t="shared" si="3"/>
        <v>169.14000000000001</v>
      </c>
      <c r="G242" t="str">
        <f>IF(Table2[[#This Row],[Sold]]&gt;1000,"High Quality","Normal Quality")</f>
        <v>Normal Quality</v>
      </c>
      <c r="H242" s="12">
        <v>45371.497662037036</v>
      </c>
      <c r="I242" t="s">
        <v>509</v>
      </c>
      <c r="J242" t="s">
        <v>505</v>
      </c>
      <c r="K242" t="s">
        <v>118</v>
      </c>
    </row>
    <row r="243" spans="1:11" x14ac:dyDescent="0.35">
      <c r="A243" t="s">
        <v>231</v>
      </c>
      <c r="B243" t="s">
        <v>3</v>
      </c>
      <c r="C243" s="27">
        <v>45.98</v>
      </c>
      <c r="D243">
        <v>10</v>
      </c>
      <c r="E243">
        <v>343</v>
      </c>
      <c r="F243" s="4">
        <f t="shared" si="3"/>
        <v>15771.14</v>
      </c>
      <c r="G243" t="str">
        <f>IF(Table2[[#This Row],[Sold]]&gt;1000,"High Quality","Normal Quality")</f>
        <v>Normal Quality</v>
      </c>
      <c r="H243" s="12">
        <v>45371.519513888888</v>
      </c>
      <c r="I243" t="s">
        <v>509</v>
      </c>
      <c r="J243" t="s">
        <v>505</v>
      </c>
      <c r="K243" t="s">
        <v>118</v>
      </c>
    </row>
    <row r="244" spans="1:11" x14ac:dyDescent="0.35">
      <c r="A244" t="s">
        <v>90</v>
      </c>
      <c r="B244" t="s">
        <v>3</v>
      </c>
      <c r="C244" s="27">
        <v>140</v>
      </c>
      <c r="D244">
        <v>10</v>
      </c>
      <c r="E244">
        <v>6</v>
      </c>
      <c r="F244" s="4">
        <f t="shared" si="3"/>
        <v>840</v>
      </c>
      <c r="G244" t="str">
        <f>IF(Table2[[#This Row],[Sold]]&gt;1000,"High Quality","Normal Quality")</f>
        <v>Normal Quality</v>
      </c>
      <c r="H244" s="12">
        <v>45371.537627314814</v>
      </c>
      <c r="I244" t="s">
        <v>281</v>
      </c>
      <c r="J244" t="s">
        <v>282</v>
      </c>
      <c r="K244" t="s">
        <v>118</v>
      </c>
    </row>
    <row r="245" spans="1:11" x14ac:dyDescent="0.35">
      <c r="A245" t="s">
        <v>25</v>
      </c>
      <c r="B245" t="s">
        <v>1</v>
      </c>
      <c r="C245" s="27">
        <v>78</v>
      </c>
      <c r="D245">
        <v>3</v>
      </c>
      <c r="E245">
        <v>27</v>
      </c>
      <c r="F245" s="4">
        <f t="shared" si="3"/>
        <v>2106</v>
      </c>
      <c r="G245" t="str">
        <f>IF(Table2[[#This Row],[Sold]]&gt;1000,"High Quality","Normal Quality")</f>
        <v>Normal Quality</v>
      </c>
      <c r="H245" s="12">
        <v>45371.544039351851</v>
      </c>
      <c r="I245" t="s">
        <v>498</v>
      </c>
      <c r="J245" t="s">
        <v>505</v>
      </c>
      <c r="K245" t="s">
        <v>118</v>
      </c>
    </row>
    <row r="246" spans="1:11" x14ac:dyDescent="0.35">
      <c r="A246" t="s">
        <v>62</v>
      </c>
      <c r="B246" t="s">
        <v>1</v>
      </c>
      <c r="C246" s="27">
        <v>181.04</v>
      </c>
      <c r="D246">
        <v>10</v>
      </c>
      <c r="E246">
        <v>30</v>
      </c>
      <c r="F246" s="4">
        <f t="shared" si="3"/>
        <v>5431.2</v>
      </c>
      <c r="G246" t="str">
        <f>IF(Table2[[#This Row],[Sold]]&gt;1000,"High Quality","Normal Quality")</f>
        <v>Normal Quality</v>
      </c>
      <c r="H246" s="12">
        <v>45371.548055555555</v>
      </c>
      <c r="I246" t="s">
        <v>118</v>
      </c>
      <c r="J246" t="s">
        <v>267</v>
      </c>
      <c r="K246" t="s">
        <v>118</v>
      </c>
    </row>
    <row r="247" spans="1:11" x14ac:dyDescent="0.35">
      <c r="A247" t="s">
        <v>77</v>
      </c>
      <c r="B247" t="s">
        <v>3</v>
      </c>
      <c r="C247" s="27">
        <v>9.99</v>
      </c>
      <c r="D247">
        <v>0</v>
      </c>
      <c r="E247">
        <v>22</v>
      </c>
      <c r="F247" s="4">
        <f t="shared" si="3"/>
        <v>219.78</v>
      </c>
      <c r="G247" t="str">
        <f>IF(Table2[[#This Row],[Sold]]&gt;1000,"High Quality","Normal Quality")</f>
        <v>Normal Quality</v>
      </c>
      <c r="H247" s="12">
        <v>45371.556180555555</v>
      </c>
      <c r="I247" t="s">
        <v>416</v>
      </c>
      <c r="J247" t="s">
        <v>266</v>
      </c>
      <c r="K247" t="s">
        <v>118</v>
      </c>
    </row>
    <row r="248" spans="1:11" x14ac:dyDescent="0.35">
      <c r="A248" t="s">
        <v>20</v>
      </c>
      <c r="B248" t="s">
        <v>1</v>
      </c>
      <c r="C248" s="27">
        <v>6.94</v>
      </c>
      <c r="D248">
        <v>10</v>
      </c>
      <c r="E248">
        <v>131</v>
      </c>
      <c r="F248" s="4">
        <f t="shared" si="3"/>
        <v>909.1400000000001</v>
      </c>
      <c r="G248" t="str">
        <f>IF(Table2[[#This Row],[Sold]]&gt;1000,"High Quality","Normal Quality")</f>
        <v>Normal Quality</v>
      </c>
      <c r="H248" s="12">
        <v>45371.59065972222</v>
      </c>
      <c r="I248" t="s">
        <v>517</v>
      </c>
      <c r="J248" t="s">
        <v>282</v>
      </c>
      <c r="K248" t="s">
        <v>118</v>
      </c>
    </row>
    <row r="249" spans="1:11" x14ac:dyDescent="0.35">
      <c r="A249" t="s">
        <v>23</v>
      </c>
      <c r="B249" t="s">
        <v>1</v>
      </c>
      <c r="C249" s="27">
        <v>18.989999999999998</v>
      </c>
      <c r="D249">
        <v>3</v>
      </c>
      <c r="E249">
        <v>8</v>
      </c>
      <c r="F249" s="4">
        <f t="shared" si="3"/>
        <v>151.91999999999999</v>
      </c>
      <c r="G249" t="str">
        <f>IF(Table2[[#This Row],[Sold]]&gt;1000,"High Quality","Normal Quality")</f>
        <v>Normal Quality</v>
      </c>
      <c r="H249" s="12">
        <v>45371.603576388887</v>
      </c>
      <c r="I249" t="s">
        <v>285</v>
      </c>
      <c r="J249" t="s">
        <v>286</v>
      </c>
      <c r="K249" t="s">
        <v>118</v>
      </c>
    </row>
    <row r="250" spans="1:11" x14ac:dyDescent="0.35">
      <c r="A250" t="s">
        <v>50</v>
      </c>
      <c r="B250" t="s">
        <v>3</v>
      </c>
      <c r="C250" s="27">
        <v>12.2</v>
      </c>
      <c r="D250">
        <v>10</v>
      </c>
      <c r="E250">
        <v>5</v>
      </c>
      <c r="F250" s="4">
        <f t="shared" si="3"/>
        <v>61</v>
      </c>
      <c r="G250" t="str">
        <f>IF(Table2[[#This Row],[Sold]]&gt;1000,"High Quality","Normal Quality")</f>
        <v>Normal Quality</v>
      </c>
      <c r="H250" s="12">
        <v>45371.613402777781</v>
      </c>
      <c r="I250" t="s">
        <v>285</v>
      </c>
      <c r="J250" t="s">
        <v>286</v>
      </c>
      <c r="K250" t="s">
        <v>118</v>
      </c>
    </row>
    <row r="251" spans="1:11" x14ac:dyDescent="0.35">
      <c r="A251" t="s">
        <v>43</v>
      </c>
      <c r="B251" t="s">
        <v>3</v>
      </c>
      <c r="C251" s="27">
        <v>56</v>
      </c>
      <c r="D251">
        <v>10</v>
      </c>
      <c r="E251">
        <v>677</v>
      </c>
      <c r="F251" s="4">
        <f t="shared" si="3"/>
        <v>37912</v>
      </c>
      <c r="G251" t="str">
        <f>IF(Table2[[#This Row],[Sold]]&gt;1000,"High Quality","Normal Quality")</f>
        <v>Normal Quality</v>
      </c>
      <c r="H251" s="12">
        <v>45371.637743055559</v>
      </c>
      <c r="I251" t="s">
        <v>290</v>
      </c>
      <c r="J251" t="s">
        <v>506</v>
      </c>
      <c r="K251" t="s">
        <v>118</v>
      </c>
    </row>
    <row r="252" spans="1:11" x14ac:dyDescent="0.35">
      <c r="A252" t="s">
        <v>188</v>
      </c>
      <c r="B252" t="s">
        <v>3</v>
      </c>
      <c r="C252" s="27">
        <v>55</v>
      </c>
      <c r="D252">
        <v>3</v>
      </c>
      <c r="E252">
        <v>1</v>
      </c>
      <c r="F252" s="4">
        <f t="shared" si="3"/>
        <v>55</v>
      </c>
      <c r="G252" t="str">
        <f>IF(Table2[[#This Row],[Sold]]&gt;1000,"High Quality","Normal Quality")</f>
        <v>Normal Quality</v>
      </c>
      <c r="H252" s="12">
        <v>45371.656747685185</v>
      </c>
      <c r="I252" t="s">
        <v>361</v>
      </c>
      <c r="J252" t="s">
        <v>286</v>
      </c>
      <c r="K252" t="s">
        <v>118</v>
      </c>
    </row>
    <row r="253" spans="1:11" x14ac:dyDescent="0.35">
      <c r="A253" t="s">
        <v>24</v>
      </c>
      <c r="B253" t="s">
        <v>1</v>
      </c>
      <c r="C253" s="27">
        <v>31.29</v>
      </c>
      <c r="D253">
        <v>3</v>
      </c>
      <c r="E253">
        <v>1</v>
      </c>
      <c r="F253" s="4">
        <f t="shared" si="3"/>
        <v>31.29</v>
      </c>
      <c r="G253" t="str">
        <f>IF(Table2[[#This Row],[Sold]]&gt;1000,"High Quality","Normal Quality")</f>
        <v>Normal Quality</v>
      </c>
      <c r="H253" s="12">
        <v>45371.67396990741</v>
      </c>
      <c r="I253" t="s">
        <v>509</v>
      </c>
      <c r="J253" t="s">
        <v>505</v>
      </c>
      <c r="K253" t="s">
        <v>118</v>
      </c>
    </row>
    <row r="254" spans="1:11" x14ac:dyDescent="0.35">
      <c r="A254" t="s">
        <v>39</v>
      </c>
      <c r="B254" t="s">
        <v>3</v>
      </c>
      <c r="C254" s="27">
        <v>48.99</v>
      </c>
      <c r="D254">
        <v>6</v>
      </c>
      <c r="E254">
        <v>101</v>
      </c>
      <c r="F254" s="4">
        <f t="shared" si="3"/>
        <v>4947.99</v>
      </c>
      <c r="G254" t="str">
        <f>IF(Table2[[#This Row],[Sold]]&gt;1000,"High Quality","Normal Quality")</f>
        <v>Normal Quality</v>
      </c>
      <c r="H254" s="12">
        <v>45371.734548611108</v>
      </c>
      <c r="I254" t="s">
        <v>333</v>
      </c>
      <c r="J254" t="s">
        <v>283</v>
      </c>
      <c r="K254" t="s">
        <v>536</v>
      </c>
    </row>
    <row r="255" spans="1:11" x14ac:dyDescent="0.35">
      <c r="A255" t="s">
        <v>107</v>
      </c>
      <c r="B255" t="s">
        <v>3</v>
      </c>
      <c r="C255" s="27">
        <v>38.99</v>
      </c>
      <c r="D255">
        <v>10</v>
      </c>
      <c r="E255">
        <v>7</v>
      </c>
      <c r="F255" s="4">
        <f t="shared" si="3"/>
        <v>272.93</v>
      </c>
      <c r="G255" t="str">
        <f>IF(Table2[[#This Row],[Sold]]&gt;1000,"High Quality","Normal Quality")</f>
        <v>Normal Quality</v>
      </c>
      <c r="H255" s="12">
        <v>45371.739791666667</v>
      </c>
      <c r="I255" t="s">
        <v>285</v>
      </c>
      <c r="J255" t="s">
        <v>286</v>
      </c>
      <c r="K255" t="s">
        <v>118</v>
      </c>
    </row>
    <row r="256" spans="1:11" x14ac:dyDescent="0.35">
      <c r="A256" t="s">
        <v>15</v>
      </c>
      <c r="B256" t="s">
        <v>1</v>
      </c>
      <c r="C256" s="27">
        <v>29</v>
      </c>
      <c r="D256">
        <v>3</v>
      </c>
      <c r="E256">
        <v>57</v>
      </c>
      <c r="F256" s="4">
        <f t="shared" si="3"/>
        <v>1653</v>
      </c>
      <c r="G256" t="str">
        <f>IF(Table2[[#This Row],[Sold]]&gt;1000,"High Quality","Normal Quality")</f>
        <v>Normal Quality</v>
      </c>
      <c r="H256" s="12">
        <v>45371.754710648151</v>
      </c>
      <c r="I256" t="s">
        <v>509</v>
      </c>
      <c r="J256" t="s">
        <v>505</v>
      </c>
      <c r="K256" t="s">
        <v>118</v>
      </c>
    </row>
    <row r="257" spans="1:11" x14ac:dyDescent="0.35">
      <c r="A257" t="s">
        <v>193</v>
      </c>
      <c r="B257" t="s">
        <v>3</v>
      </c>
      <c r="C257" s="27">
        <v>64.88</v>
      </c>
      <c r="D257">
        <v>3</v>
      </c>
      <c r="E257">
        <v>292</v>
      </c>
      <c r="F257" s="4">
        <f t="shared" si="3"/>
        <v>18944.96</v>
      </c>
      <c r="G257" t="str">
        <f>IF(Table2[[#This Row],[Sold]]&gt;1000,"High Quality","Normal Quality")</f>
        <v>Normal Quality</v>
      </c>
      <c r="H257" s="12">
        <v>45371.769305555557</v>
      </c>
      <c r="I257" t="s">
        <v>291</v>
      </c>
      <c r="J257" t="s">
        <v>274</v>
      </c>
      <c r="K257" t="s">
        <v>118</v>
      </c>
    </row>
    <row r="258" spans="1:11" x14ac:dyDescent="0.35">
      <c r="A258" t="s">
        <v>193</v>
      </c>
      <c r="B258" t="s">
        <v>1</v>
      </c>
      <c r="C258" s="27">
        <v>28.99</v>
      </c>
      <c r="D258">
        <v>10</v>
      </c>
      <c r="E258">
        <v>23</v>
      </c>
      <c r="F258" s="4">
        <f t="shared" ref="F258:F321" si="4">C:C*E:E</f>
        <v>666.77</v>
      </c>
      <c r="G258" t="str">
        <f>IF(Table2[[#This Row],[Sold]]&gt;1000,"High Quality","Normal Quality")</f>
        <v>Normal Quality</v>
      </c>
      <c r="H258" s="12">
        <v>45371.775439814817</v>
      </c>
      <c r="I258" t="s">
        <v>339</v>
      </c>
      <c r="J258" t="s">
        <v>507</v>
      </c>
      <c r="K258" t="s">
        <v>118</v>
      </c>
    </row>
    <row r="259" spans="1:11" x14ac:dyDescent="0.35">
      <c r="A259" t="s">
        <v>198</v>
      </c>
      <c r="B259" t="s">
        <v>1</v>
      </c>
      <c r="C259" s="27">
        <v>42.39</v>
      </c>
      <c r="D259">
        <v>9</v>
      </c>
      <c r="E259">
        <v>4</v>
      </c>
      <c r="F259" s="4">
        <f t="shared" si="4"/>
        <v>169.56</v>
      </c>
      <c r="G259" t="str">
        <f>IF(Table2[[#This Row],[Sold]]&gt;1000,"High Quality","Normal Quality")</f>
        <v>Normal Quality</v>
      </c>
      <c r="H259" s="12">
        <v>45371.803206018521</v>
      </c>
      <c r="I259" t="s">
        <v>317</v>
      </c>
      <c r="J259" t="s">
        <v>118</v>
      </c>
      <c r="K259" t="s">
        <v>333</v>
      </c>
    </row>
    <row r="260" spans="1:11" x14ac:dyDescent="0.35">
      <c r="A260" t="s">
        <v>198</v>
      </c>
      <c r="B260" t="s">
        <v>3</v>
      </c>
      <c r="C260" s="27">
        <v>9.61</v>
      </c>
      <c r="D260">
        <v>0</v>
      </c>
      <c r="E260">
        <v>17</v>
      </c>
      <c r="F260" s="4">
        <f t="shared" si="4"/>
        <v>163.37</v>
      </c>
      <c r="G260" t="str">
        <f>IF(Table2[[#This Row],[Sold]]&gt;1000,"High Quality","Normal Quality")</f>
        <v>Normal Quality</v>
      </c>
      <c r="H260" s="12">
        <v>45371.823541666665</v>
      </c>
      <c r="I260" t="s">
        <v>506</v>
      </c>
      <c r="J260" t="s">
        <v>283</v>
      </c>
      <c r="K260" t="s">
        <v>333</v>
      </c>
    </row>
    <row r="261" spans="1:11" x14ac:dyDescent="0.35">
      <c r="A261" t="s">
        <v>85</v>
      </c>
      <c r="B261" t="s">
        <v>3</v>
      </c>
      <c r="C261" s="27">
        <v>17.98</v>
      </c>
      <c r="D261">
        <v>8</v>
      </c>
      <c r="E261">
        <v>66</v>
      </c>
      <c r="F261" s="4">
        <f t="shared" si="4"/>
        <v>1186.68</v>
      </c>
      <c r="G261" t="str">
        <f>IF(Table2[[#This Row],[Sold]]&gt;1000,"High Quality","Normal Quality")</f>
        <v>Normal Quality</v>
      </c>
      <c r="H261" s="12">
        <v>45371.839849537035</v>
      </c>
      <c r="I261" t="s">
        <v>385</v>
      </c>
      <c r="J261" t="s">
        <v>269</v>
      </c>
      <c r="K261" t="s">
        <v>118</v>
      </c>
    </row>
    <row r="262" spans="1:11" x14ac:dyDescent="0.35">
      <c r="A262" t="s">
        <v>102</v>
      </c>
      <c r="B262" t="s">
        <v>3</v>
      </c>
      <c r="C262" s="27">
        <v>18.760000000000002</v>
      </c>
      <c r="D262">
        <v>45</v>
      </c>
      <c r="E262">
        <v>227</v>
      </c>
      <c r="F262" s="4">
        <f t="shared" si="4"/>
        <v>4258.5200000000004</v>
      </c>
      <c r="G262" t="str">
        <f>IF(Table2[[#This Row],[Sold]]&gt;1000,"High Quality","Normal Quality")</f>
        <v>Normal Quality</v>
      </c>
      <c r="H262" s="12">
        <v>45371.860439814816</v>
      </c>
      <c r="I262" t="s">
        <v>290</v>
      </c>
      <c r="J262" t="s">
        <v>506</v>
      </c>
      <c r="K262" t="s">
        <v>118</v>
      </c>
    </row>
    <row r="263" spans="1:11" x14ac:dyDescent="0.35">
      <c r="A263" t="s">
        <v>229</v>
      </c>
      <c r="B263" t="s">
        <v>1</v>
      </c>
      <c r="C263" s="27">
        <v>48.87</v>
      </c>
      <c r="D263">
        <v>10</v>
      </c>
      <c r="E263">
        <v>8</v>
      </c>
      <c r="F263" s="4">
        <f t="shared" si="4"/>
        <v>390.96</v>
      </c>
      <c r="G263" t="str">
        <f>IF(Table2[[#This Row],[Sold]]&gt;1000,"High Quality","Normal Quality")</f>
        <v>Normal Quality</v>
      </c>
      <c r="H263" s="12">
        <v>45371.864212962966</v>
      </c>
      <c r="I263" t="s">
        <v>509</v>
      </c>
      <c r="J263" t="s">
        <v>505</v>
      </c>
      <c r="K263" t="s">
        <v>118</v>
      </c>
    </row>
    <row r="264" spans="1:11" x14ac:dyDescent="0.35">
      <c r="A264" t="s">
        <v>29</v>
      </c>
      <c r="B264" t="s">
        <v>3</v>
      </c>
      <c r="C264" s="27">
        <v>33.36</v>
      </c>
      <c r="D264">
        <v>113</v>
      </c>
      <c r="E264">
        <v>453</v>
      </c>
      <c r="F264" s="4">
        <f t="shared" si="4"/>
        <v>15112.08</v>
      </c>
      <c r="G264" t="str">
        <f>IF(Table2[[#This Row],[Sold]]&gt;1000,"High Quality","Normal Quality")</f>
        <v>Normal Quality</v>
      </c>
      <c r="H264" s="12">
        <v>45371.869537037041</v>
      </c>
      <c r="I264" t="s">
        <v>291</v>
      </c>
      <c r="J264" t="s">
        <v>274</v>
      </c>
      <c r="K264" t="s">
        <v>118</v>
      </c>
    </row>
    <row r="265" spans="1:11" x14ac:dyDescent="0.35">
      <c r="A265" t="s">
        <v>15</v>
      </c>
      <c r="B265" t="s">
        <v>1</v>
      </c>
      <c r="C265" s="27">
        <v>36.950000000000003</v>
      </c>
      <c r="D265">
        <v>0</v>
      </c>
      <c r="E265">
        <v>120</v>
      </c>
      <c r="F265" s="4">
        <f t="shared" si="4"/>
        <v>4434</v>
      </c>
      <c r="G265" t="str">
        <f>IF(Table2[[#This Row],[Sold]]&gt;1000,"High Quality","Normal Quality")</f>
        <v>Normal Quality</v>
      </c>
      <c r="H265" s="12">
        <v>45371.886597222219</v>
      </c>
      <c r="I265" t="s">
        <v>291</v>
      </c>
      <c r="J265" t="s">
        <v>274</v>
      </c>
      <c r="K265" t="s">
        <v>118</v>
      </c>
    </row>
    <row r="266" spans="1:11" x14ac:dyDescent="0.35">
      <c r="A266" t="s">
        <v>101</v>
      </c>
      <c r="B266" t="s">
        <v>146</v>
      </c>
      <c r="C266" s="27">
        <v>19.97</v>
      </c>
      <c r="D266">
        <v>21</v>
      </c>
      <c r="E266">
        <v>15</v>
      </c>
      <c r="F266" s="4">
        <f t="shared" si="4"/>
        <v>299.54999999999995</v>
      </c>
      <c r="G266" t="str">
        <f>IF(Table2[[#This Row],[Sold]]&gt;1000,"High Quality","Normal Quality")</f>
        <v>Normal Quality</v>
      </c>
      <c r="H266" s="12">
        <v>45371.889618055553</v>
      </c>
      <c r="I266" t="s">
        <v>387</v>
      </c>
      <c r="J266" t="s">
        <v>282</v>
      </c>
      <c r="K266" t="s">
        <v>118</v>
      </c>
    </row>
    <row r="267" spans="1:11" x14ac:dyDescent="0.35">
      <c r="A267" t="s">
        <v>21</v>
      </c>
      <c r="B267" t="s">
        <v>3</v>
      </c>
      <c r="C267" s="27">
        <v>18.96</v>
      </c>
      <c r="D267">
        <v>0</v>
      </c>
      <c r="E267">
        <v>1034</v>
      </c>
      <c r="F267" s="4">
        <f t="shared" si="4"/>
        <v>19604.64</v>
      </c>
      <c r="G267" t="str">
        <f>IF(Table2[[#This Row],[Sold]]&gt;1000,"High Quality","Normal Quality")</f>
        <v>High Quality</v>
      </c>
      <c r="H267" s="12">
        <v>45371.953333333331</v>
      </c>
      <c r="I267" t="s">
        <v>291</v>
      </c>
      <c r="J267" t="s">
        <v>274</v>
      </c>
      <c r="K267" t="s">
        <v>118</v>
      </c>
    </row>
    <row r="268" spans="1:11" x14ac:dyDescent="0.35">
      <c r="A268" t="s">
        <v>9</v>
      </c>
      <c r="B268" t="s">
        <v>37</v>
      </c>
      <c r="C268" s="27">
        <v>41.44</v>
      </c>
      <c r="D268">
        <v>3</v>
      </c>
      <c r="E268">
        <v>145</v>
      </c>
      <c r="F268" s="4">
        <f t="shared" si="4"/>
        <v>6008.7999999999993</v>
      </c>
      <c r="G268" t="str">
        <f>IF(Table2[[#This Row],[Sold]]&gt;1000,"High Quality","Normal Quality")</f>
        <v>Normal Quality</v>
      </c>
      <c r="H268" s="12">
        <v>45371.962094907409</v>
      </c>
      <c r="I268" t="s">
        <v>291</v>
      </c>
      <c r="J268" t="s">
        <v>274</v>
      </c>
      <c r="K268" t="s">
        <v>118</v>
      </c>
    </row>
    <row r="269" spans="1:11" x14ac:dyDescent="0.35">
      <c r="A269" t="s">
        <v>2</v>
      </c>
      <c r="B269" t="s">
        <v>239</v>
      </c>
      <c r="C269" s="27">
        <v>10.99</v>
      </c>
      <c r="D269">
        <v>4</v>
      </c>
      <c r="E269">
        <v>38</v>
      </c>
      <c r="F269" s="4">
        <f t="shared" si="4"/>
        <v>417.62</v>
      </c>
      <c r="G269" t="str">
        <f>IF(Table2[[#This Row],[Sold]]&gt;1000,"High Quality","Normal Quality")</f>
        <v>Normal Quality</v>
      </c>
      <c r="H269" s="12">
        <v>45371.988113425927</v>
      </c>
      <c r="I269" t="s">
        <v>335</v>
      </c>
      <c r="J269" t="s">
        <v>282</v>
      </c>
      <c r="K269" t="s">
        <v>118</v>
      </c>
    </row>
    <row r="270" spans="1:11" x14ac:dyDescent="0.35">
      <c r="A270" t="s">
        <v>50</v>
      </c>
      <c r="B270" t="s">
        <v>3</v>
      </c>
      <c r="C270" s="27">
        <v>92</v>
      </c>
      <c r="D270">
        <v>0</v>
      </c>
      <c r="E270">
        <v>29</v>
      </c>
      <c r="F270" s="4">
        <f t="shared" si="4"/>
        <v>2668</v>
      </c>
      <c r="G270" t="str">
        <f>IF(Table2[[#This Row],[Sold]]&gt;1000,"High Quality","Normal Quality")</f>
        <v>Normal Quality</v>
      </c>
      <c r="H270" s="12">
        <v>45371.999409722222</v>
      </c>
      <c r="I270" t="s">
        <v>506</v>
      </c>
      <c r="J270" t="s">
        <v>267</v>
      </c>
      <c r="K270" t="s">
        <v>118</v>
      </c>
    </row>
    <row r="271" spans="1:11" x14ac:dyDescent="0.35">
      <c r="A271" t="s">
        <v>9</v>
      </c>
      <c r="B271" t="s">
        <v>3</v>
      </c>
      <c r="C271" s="27">
        <v>22.5</v>
      </c>
      <c r="D271">
        <v>2</v>
      </c>
      <c r="E271">
        <v>2</v>
      </c>
      <c r="F271" s="4">
        <f t="shared" si="4"/>
        <v>45</v>
      </c>
      <c r="G271" t="str">
        <f>IF(Table2[[#This Row],[Sold]]&gt;1000,"High Quality","Normal Quality")</f>
        <v>Normal Quality</v>
      </c>
      <c r="H271" s="12">
        <v>45372</v>
      </c>
      <c r="I271" t="s">
        <v>312</v>
      </c>
      <c r="J271" t="s">
        <v>299</v>
      </c>
      <c r="K271" t="s">
        <v>118</v>
      </c>
    </row>
    <row r="272" spans="1:11" x14ac:dyDescent="0.35">
      <c r="A272" t="s">
        <v>188</v>
      </c>
      <c r="B272" t="s">
        <v>1</v>
      </c>
      <c r="C272" s="27">
        <v>71.989999999999995</v>
      </c>
      <c r="D272">
        <v>0</v>
      </c>
      <c r="E272">
        <v>3</v>
      </c>
      <c r="F272" s="4">
        <f t="shared" si="4"/>
        <v>215.96999999999997</v>
      </c>
      <c r="G272" t="str">
        <f>IF(Table2[[#This Row],[Sold]]&gt;1000,"High Quality","Normal Quality")</f>
        <v>Normal Quality</v>
      </c>
      <c r="H272" s="12">
        <v>45372.007210648146</v>
      </c>
      <c r="I272" t="s">
        <v>506</v>
      </c>
      <c r="J272" t="s">
        <v>283</v>
      </c>
      <c r="K272" t="s">
        <v>118</v>
      </c>
    </row>
    <row r="273" spans="1:11" x14ac:dyDescent="0.35">
      <c r="A273" t="s">
        <v>231</v>
      </c>
      <c r="B273" t="s">
        <v>1</v>
      </c>
      <c r="C273" s="27">
        <v>58.99</v>
      </c>
      <c r="D273">
        <v>10</v>
      </c>
      <c r="E273">
        <v>22</v>
      </c>
      <c r="F273" s="4">
        <f t="shared" si="4"/>
        <v>1297.78</v>
      </c>
      <c r="G273" t="str">
        <f>IF(Table2[[#This Row],[Sold]]&gt;1000,"High Quality","Normal Quality")</f>
        <v>Normal Quality</v>
      </c>
      <c r="H273" s="12">
        <v>45372.017210648148</v>
      </c>
      <c r="I273" t="s">
        <v>354</v>
      </c>
      <c r="J273" t="s">
        <v>266</v>
      </c>
      <c r="K273" t="s">
        <v>118</v>
      </c>
    </row>
    <row r="274" spans="1:11" x14ac:dyDescent="0.35">
      <c r="A274" t="s">
        <v>219</v>
      </c>
      <c r="B274" t="s">
        <v>1</v>
      </c>
      <c r="C274" s="27">
        <v>179.99</v>
      </c>
      <c r="D274">
        <v>10</v>
      </c>
      <c r="E274">
        <v>5</v>
      </c>
      <c r="F274" s="4">
        <f t="shared" si="4"/>
        <v>899.95</v>
      </c>
      <c r="G274" t="str">
        <f>IF(Table2[[#This Row],[Sold]]&gt;1000,"High Quality","Normal Quality")</f>
        <v>Normal Quality</v>
      </c>
      <c r="H274" s="12">
        <v>45372.072557870371</v>
      </c>
      <c r="I274" t="s">
        <v>485</v>
      </c>
      <c r="J274" t="s">
        <v>507</v>
      </c>
      <c r="K274" t="s">
        <v>118</v>
      </c>
    </row>
    <row r="275" spans="1:11" x14ac:dyDescent="0.35">
      <c r="A275" t="s">
        <v>21</v>
      </c>
      <c r="B275" t="s">
        <v>3</v>
      </c>
      <c r="C275" s="27">
        <v>18.11</v>
      </c>
      <c r="D275">
        <v>10</v>
      </c>
      <c r="E275">
        <v>12</v>
      </c>
      <c r="F275" s="4">
        <f t="shared" si="4"/>
        <v>217.32</v>
      </c>
      <c r="G275" t="str">
        <f>IF(Table2[[#This Row],[Sold]]&gt;1000,"High Quality","Normal Quality")</f>
        <v>Normal Quality</v>
      </c>
      <c r="H275" s="12">
        <v>45372.149224537039</v>
      </c>
      <c r="I275" t="s">
        <v>382</v>
      </c>
      <c r="J275" t="s">
        <v>286</v>
      </c>
      <c r="K275" t="s">
        <v>118</v>
      </c>
    </row>
    <row r="276" spans="1:11" x14ac:dyDescent="0.35">
      <c r="A276" t="s">
        <v>230</v>
      </c>
      <c r="B276" t="s">
        <v>3</v>
      </c>
      <c r="C276" s="27">
        <v>9.9499999999999993</v>
      </c>
      <c r="D276">
        <v>10</v>
      </c>
      <c r="E276">
        <v>269</v>
      </c>
      <c r="F276" s="4">
        <f t="shared" si="4"/>
        <v>2676.5499999999997</v>
      </c>
      <c r="G276" t="str">
        <f>IF(Table2[[#This Row],[Sold]]&gt;1000,"High Quality","Normal Quality")</f>
        <v>Normal Quality</v>
      </c>
      <c r="H276" s="12">
        <v>45372.238668981481</v>
      </c>
      <c r="I276" t="s">
        <v>520</v>
      </c>
      <c r="J276" t="s">
        <v>267</v>
      </c>
      <c r="K276" t="s">
        <v>118</v>
      </c>
    </row>
    <row r="277" spans="1:11" x14ac:dyDescent="0.35">
      <c r="A277" t="s">
        <v>110</v>
      </c>
      <c r="B277" t="s">
        <v>37</v>
      </c>
      <c r="C277" s="27">
        <v>15.51</v>
      </c>
      <c r="D277">
        <v>10</v>
      </c>
      <c r="E277">
        <v>4443</v>
      </c>
      <c r="F277" s="4">
        <f t="shared" si="4"/>
        <v>68910.929999999993</v>
      </c>
      <c r="G277" t="str">
        <f>IF(Table2[[#This Row],[Sold]]&gt;1000,"High Quality","Normal Quality")</f>
        <v>High Quality</v>
      </c>
      <c r="H277" s="12">
        <v>45372.2653587963</v>
      </c>
      <c r="I277" t="s">
        <v>291</v>
      </c>
      <c r="J277" t="s">
        <v>274</v>
      </c>
      <c r="K277" t="s">
        <v>118</v>
      </c>
    </row>
    <row r="278" spans="1:11" x14ac:dyDescent="0.35">
      <c r="A278" t="s">
        <v>233</v>
      </c>
      <c r="B278" t="s">
        <v>1</v>
      </c>
      <c r="C278" s="27">
        <v>110</v>
      </c>
      <c r="D278">
        <v>0</v>
      </c>
      <c r="E278">
        <v>6</v>
      </c>
      <c r="F278" s="4">
        <f t="shared" si="4"/>
        <v>660</v>
      </c>
      <c r="G278" t="str">
        <f>IF(Table2[[#This Row],[Sold]]&gt;1000,"High Quality","Normal Quality")</f>
        <v>Normal Quality</v>
      </c>
      <c r="H278" s="12">
        <v>45372.277766203704</v>
      </c>
      <c r="I278" t="s">
        <v>431</v>
      </c>
      <c r="J278" t="s">
        <v>274</v>
      </c>
      <c r="K278" t="s">
        <v>118</v>
      </c>
    </row>
    <row r="279" spans="1:11" x14ac:dyDescent="0.35">
      <c r="A279" t="s">
        <v>16</v>
      </c>
      <c r="B279" t="s">
        <v>3</v>
      </c>
      <c r="C279" s="27">
        <v>39.99</v>
      </c>
      <c r="D279">
        <v>3</v>
      </c>
      <c r="E279">
        <v>52</v>
      </c>
      <c r="F279" s="4">
        <f t="shared" si="4"/>
        <v>2079.48</v>
      </c>
      <c r="G279" t="str">
        <f>IF(Table2[[#This Row],[Sold]]&gt;1000,"High Quality","Normal Quality")</f>
        <v>Normal Quality</v>
      </c>
      <c r="H279" s="12">
        <v>45372.278541666667</v>
      </c>
      <c r="I279" t="s">
        <v>297</v>
      </c>
      <c r="J279" t="s">
        <v>266</v>
      </c>
      <c r="K279" t="s">
        <v>118</v>
      </c>
    </row>
    <row r="280" spans="1:11" x14ac:dyDescent="0.35">
      <c r="A280" t="s">
        <v>62</v>
      </c>
      <c r="B280" t="s">
        <v>3</v>
      </c>
      <c r="C280" s="27">
        <v>84.73</v>
      </c>
      <c r="D280">
        <v>0</v>
      </c>
      <c r="E280">
        <v>2774</v>
      </c>
      <c r="F280" s="4">
        <f t="shared" si="4"/>
        <v>235041.02000000002</v>
      </c>
      <c r="G280" t="str">
        <f>IF(Table2[[#This Row],[Sold]]&gt;1000,"High Quality","Normal Quality")</f>
        <v>High Quality</v>
      </c>
      <c r="H280" s="12">
        <v>45372.290300925924</v>
      </c>
      <c r="I280" t="s">
        <v>290</v>
      </c>
      <c r="J280" t="s">
        <v>506</v>
      </c>
      <c r="K280" t="s">
        <v>118</v>
      </c>
    </row>
    <row r="281" spans="1:11" x14ac:dyDescent="0.35">
      <c r="A281" t="s">
        <v>227</v>
      </c>
      <c r="B281" t="s">
        <v>1</v>
      </c>
      <c r="C281" s="27">
        <v>79.989999999999995</v>
      </c>
      <c r="D281">
        <v>8</v>
      </c>
      <c r="E281">
        <v>13</v>
      </c>
      <c r="F281" s="4">
        <f t="shared" si="4"/>
        <v>1039.8699999999999</v>
      </c>
      <c r="G281" t="str">
        <f>IF(Table2[[#This Row],[Sold]]&gt;1000,"High Quality","Normal Quality")</f>
        <v>Normal Quality</v>
      </c>
      <c r="H281" s="12">
        <v>45372.299826388888</v>
      </c>
      <c r="I281" t="s">
        <v>545</v>
      </c>
      <c r="J281" t="s">
        <v>283</v>
      </c>
      <c r="K281" t="s">
        <v>118</v>
      </c>
    </row>
    <row r="282" spans="1:11" x14ac:dyDescent="0.35">
      <c r="A282" t="s">
        <v>247</v>
      </c>
      <c r="B282" t="s">
        <v>3</v>
      </c>
      <c r="C282" s="27">
        <v>18.84</v>
      </c>
      <c r="D282">
        <v>0</v>
      </c>
      <c r="E282">
        <v>674</v>
      </c>
      <c r="F282" s="4">
        <f t="shared" si="4"/>
        <v>12698.16</v>
      </c>
      <c r="G282" t="str">
        <f>IF(Table2[[#This Row],[Sold]]&gt;1000,"High Quality","Normal Quality")</f>
        <v>Normal Quality</v>
      </c>
      <c r="H282" s="12">
        <v>45372.31050925926</v>
      </c>
      <c r="I282" t="s">
        <v>291</v>
      </c>
      <c r="J282" t="s">
        <v>274</v>
      </c>
      <c r="K282" t="s">
        <v>118</v>
      </c>
    </row>
    <row r="283" spans="1:11" x14ac:dyDescent="0.35">
      <c r="A283" t="s">
        <v>157</v>
      </c>
      <c r="B283" t="s">
        <v>3</v>
      </c>
      <c r="C283" s="27">
        <v>37</v>
      </c>
      <c r="D283">
        <v>3</v>
      </c>
      <c r="E283">
        <v>60</v>
      </c>
      <c r="F283" s="4">
        <f t="shared" si="4"/>
        <v>2220</v>
      </c>
      <c r="G283" t="str">
        <f>IF(Table2[[#This Row],[Sold]]&gt;1000,"High Quality","Normal Quality")</f>
        <v>Normal Quality</v>
      </c>
      <c r="H283" s="12">
        <v>45372.314305555556</v>
      </c>
      <c r="I283" t="s">
        <v>384</v>
      </c>
      <c r="J283" t="s">
        <v>383</v>
      </c>
      <c r="K283" t="s">
        <v>537</v>
      </c>
    </row>
    <row r="284" spans="1:11" x14ac:dyDescent="0.35">
      <c r="A284" t="s">
        <v>12</v>
      </c>
      <c r="B284" t="s">
        <v>3</v>
      </c>
      <c r="C284" s="27">
        <v>45.99</v>
      </c>
      <c r="D284">
        <v>0</v>
      </c>
      <c r="E284">
        <v>37</v>
      </c>
      <c r="F284" s="4">
        <f t="shared" si="4"/>
        <v>1701.63</v>
      </c>
      <c r="G284" t="str">
        <f>IF(Table2[[#This Row],[Sold]]&gt;1000,"High Quality","Normal Quality")</f>
        <v>Normal Quality</v>
      </c>
      <c r="H284" s="12">
        <v>45372.316967592589</v>
      </c>
      <c r="I284" t="s">
        <v>285</v>
      </c>
      <c r="J284" t="s">
        <v>286</v>
      </c>
      <c r="K284" t="s">
        <v>118</v>
      </c>
    </row>
    <row r="285" spans="1:11" x14ac:dyDescent="0.35">
      <c r="A285" t="s">
        <v>4</v>
      </c>
      <c r="B285" t="s">
        <v>3</v>
      </c>
      <c r="C285" s="27">
        <v>59.99</v>
      </c>
      <c r="D285">
        <v>6</v>
      </c>
      <c r="E285">
        <v>14</v>
      </c>
      <c r="F285" s="4">
        <f t="shared" si="4"/>
        <v>839.86</v>
      </c>
      <c r="G285" t="str">
        <f>IF(Table2[[#This Row],[Sold]]&gt;1000,"High Quality","Normal Quality")</f>
        <v>Normal Quality</v>
      </c>
      <c r="H285" s="12">
        <v>45372.326805555553</v>
      </c>
      <c r="I285" t="s">
        <v>287</v>
      </c>
      <c r="J285" t="s">
        <v>266</v>
      </c>
      <c r="K285" t="s">
        <v>118</v>
      </c>
    </row>
    <row r="286" spans="1:11" x14ac:dyDescent="0.35">
      <c r="A286" t="s">
        <v>70</v>
      </c>
      <c r="B286" t="s">
        <v>1</v>
      </c>
      <c r="C286" s="27">
        <v>160.91</v>
      </c>
      <c r="D286">
        <v>0</v>
      </c>
      <c r="E286">
        <v>386</v>
      </c>
      <c r="F286" s="4">
        <f t="shared" si="4"/>
        <v>62111.26</v>
      </c>
      <c r="G286" t="str">
        <f>IF(Table2[[#This Row],[Sold]]&gt;1000,"High Quality","Normal Quality")</f>
        <v>Normal Quality</v>
      </c>
      <c r="H286" s="12">
        <v>45372.328506944446</v>
      </c>
      <c r="I286" t="s">
        <v>290</v>
      </c>
      <c r="J286" t="s">
        <v>506</v>
      </c>
      <c r="K286" t="s">
        <v>118</v>
      </c>
    </row>
    <row r="287" spans="1:11" x14ac:dyDescent="0.35">
      <c r="A287" t="s">
        <v>163</v>
      </c>
      <c r="B287" t="s">
        <v>3</v>
      </c>
      <c r="C287" s="27">
        <v>84.98</v>
      </c>
      <c r="D287">
        <v>4</v>
      </c>
      <c r="E287">
        <v>42</v>
      </c>
      <c r="F287" s="4">
        <f t="shared" si="4"/>
        <v>3569.1600000000003</v>
      </c>
      <c r="G287" t="str">
        <f>IF(Table2[[#This Row],[Sold]]&gt;1000,"High Quality","Normal Quality")</f>
        <v>Normal Quality</v>
      </c>
      <c r="H287" s="12">
        <v>45372.330590277779</v>
      </c>
      <c r="I287" t="s">
        <v>290</v>
      </c>
      <c r="J287" t="s">
        <v>506</v>
      </c>
      <c r="K287" t="s">
        <v>118</v>
      </c>
    </row>
    <row r="288" spans="1:11" x14ac:dyDescent="0.35">
      <c r="A288" t="s">
        <v>24</v>
      </c>
      <c r="B288" t="s">
        <v>3</v>
      </c>
      <c r="C288" s="27">
        <v>32.89</v>
      </c>
      <c r="D288">
        <v>96</v>
      </c>
      <c r="E288">
        <v>5032</v>
      </c>
      <c r="F288" s="4">
        <f t="shared" si="4"/>
        <v>165502.48000000001</v>
      </c>
      <c r="G288" t="str">
        <f>IF(Table2[[#This Row],[Sold]]&gt;1000,"High Quality","Normal Quality")</f>
        <v>High Quality</v>
      </c>
      <c r="H288" s="12">
        <v>45372.332719907405</v>
      </c>
      <c r="I288" t="s">
        <v>291</v>
      </c>
      <c r="J288" t="s">
        <v>274</v>
      </c>
      <c r="K288" t="s">
        <v>118</v>
      </c>
    </row>
    <row r="289" spans="1:11" x14ac:dyDescent="0.35">
      <c r="A289" t="s">
        <v>20</v>
      </c>
      <c r="B289" t="s">
        <v>1</v>
      </c>
      <c r="C289" s="27">
        <v>25.86</v>
      </c>
      <c r="D289">
        <v>10</v>
      </c>
      <c r="E289">
        <v>55</v>
      </c>
      <c r="F289" s="4">
        <f t="shared" si="4"/>
        <v>1422.3</v>
      </c>
      <c r="G289" t="str">
        <f>IF(Table2[[#This Row],[Sold]]&gt;1000,"High Quality","Normal Quality")</f>
        <v>Normal Quality</v>
      </c>
      <c r="H289" s="12">
        <v>45372.347812499997</v>
      </c>
      <c r="I289" t="s">
        <v>329</v>
      </c>
      <c r="J289" t="s">
        <v>274</v>
      </c>
      <c r="K289" t="s">
        <v>118</v>
      </c>
    </row>
    <row r="290" spans="1:11" x14ac:dyDescent="0.35">
      <c r="A290" t="s">
        <v>5</v>
      </c>
      <c r="B290" t="s">
        <v>1</v>
      </c>
      <c r="C290" s="27">
        <v>16.899999999999999</v>
      </c>
      <c r="D290">
        <v>8</v>
      </c>
      <c r="E290">
        <v>127</v>
      </c>
      <c r="F290" s="4">
        <f t="shared" si="4"/>
        <v>2146.2999999999997</v>
      </c>
      <c r="G290" t="str">
        <f>IF(Table2[[#This Row],[Sold]]&gt;1000,"High Quality","Normal Quality")</f>
        <v>Normal Quality</v>
      </c>
      <c r="H290" s="12">
        <v>45372.361284722225</v>
      </c>
      <c r="I290" t="s">
        <v>290</v>
      </c>
      <c r="J290" t="s">
        <v>506</v>
      </c>
      <c r="K290" t="s">
        <v>118</v>
      </c>
    </row>
    <row r="291" spans="1:11" x14ac:dyDescent="0.35">
      <c r="A291" t="s">
        <v>27</v>
      </c>
      <c r="B291" t="s">
        <v>3</v>
      </c>
      <c r="C291" s="27">
        <v>26.55</v>
      </c>
      <c r="D291">
        <v>10</v>
      </c>
      <c r="E291">
        <v>15</v>
      </c>
      <c r="F291" s="4">
        <f t="shared" si="4"/>
        <v>398.25</v>
      </c>
      <c r="G291" t="str">
        <f>IF(Table2[[#This Row],[Sold]]&gt;1000,"High Quality","Normal Quality")</f>
        <v>Normal Quality</v>
      </c>
      <c r="H291" s="12">
        <v>45372.364849537036</v>
      </c>
      <c r="I291" t="s">
        <v>464</v>
      </c>
      <c r="J291" t="s">
        <v>305</v>
      </c>
      <c r="K291" t="s">
        <v>118</v>
      </c>
    </row>
    <row r="292" spans="1:11" x14ac:dyDescent="0.35">
      <c r="A292" t="s">
        <v>10</v>
      </c>
      <c r="B292" t="s">
        <v>3</v>
      </c>
      <c r="C292" s="27">
        <v>38.99</v>
      </c>
      <c r="D292">
        <v>0</v>
      </c>
      <c r="E292">
        <v>40</v>
      </c>
      <c r="F292" s="4">
        <f t="shared" si="4"/>
        <v>1559.6000000000001</v>
      </c>
      <c r="G292" t="str">
        <f>IF(Table2[[#This Row],[Sold]]&gt;1000,"High Quality","Normal Quality")</f>
        <v>Normal Quality</v>
      </c>
      <c r="H292" s="12">
        <v>45372.367592592593</v>
      </c>
      <c r="I292" t="s">
        <v>325</v>
      </c>
      <c r="J292" t="s">
        <v>266</v>
      </c>
      <c r="K292" t="s">
        <v>118</v>
      </c>
    </row>
    <row r="293" spans="1:11" x14ac:dyDescent="0.35">
      <c r="A293" t="s">
        <v>36</v>
      </c>
      <c r="B293" t="s">
        <v>37</v>
      </c>
      <c r="C293" s="27">
        <v>49.99</v>
      </c>
      <c r="D293">
        <v>124</v>
      </c>
      <c r="E293">
        <v>916</v>
      </c>
      <c r="F293" s="4">
        <f t="shared" si="4"/>
        <v>45790.840000000004</v>
      </c>
      <c r="G293" t="str">
        <f>IF(Table2[[#This Row],[Sold]]&gt;1000,"High Quality","Normal Quality")</f>
        <v>Normal Quality</v>
      </c>
      <c r="H293" s="12">
        <v>45372.376400462963</v>
      </c>
      <c r="I293" t="s">
        <v>345</v>
      </c>
      <c r="J293" t="s">
        <v>266</v>
      </c>
      <c r="K293" t="s">
        <v>118</v>
      </c>
    </row>
    <row r="294" spans="1:11" x14ac:dyDescent="0.35">
      <c r="A294" t="s">
        <v>232</v>
      </c>
      <c r="B294" t="s">
        <v>3</v>
      </c>
      <c r="C294" s="27">
        <v>30.95</v>
      </c>
      <c r="D294">
        <v>5</v>
      </c>
      <c r="E294">
        <v>16</v>
      </c>
      <c r="F294" s="4">
        <f t="shared" si="4"/>
        <v>495.2</v>
      </c>
      <c r="G294" t="str">
        <f>IF(Table2[[#This Row],[Sold]]&gt;1000,"High Quality","Normal Quality")</f>
        <v>Normal Quality</v>
      </c>
      <c r="H294" s="12">
        <v>45372.379525462966</v>
      </c>
      <c r="I294" t="s">
        <v>325</v>
      </c>
      <c r="J294" t="s">
        <v>266</v>
      </c>
      <c r="K294" t="s">
        <v>118</v>
      </c>
    </row>
    <row r="295" spans="1:11" x14ac:dyDescent="0.35">
      <c r="A295" t="s">
        <v>234</v>
      </c>
      <c r="B295" t="s">
        <v>1</v>
      </c>
      <c r="C295" s="27">
        <v>39.99</v>
      </c>
      <c r="D295">
        <v>10</v>
      </c>
      <c r="E295">
        <v>9</v>
      </c>
      <c r="F295" s="4">
        <f t="shared" si="4"/>
        <v>359.91</v>
      </c>
      <c r="G295" t="str">
        <f>IF(Table2[[#This Row],[Sold]]&gt;1000,"High Quality","Normal Quality")</f>
        <v>Normal Quality</v>
      </c>
      <c r="H295" s="12">
        <v>45372.398425925923</v>
      </c>
      <c r="I295" t="s">
        <v>348</v>
      </c>
      <c r="J295" t="s">
        <v>282</v>
      </c>
      <c r="K295" t="s">
        <v>118</v>
      </c>
    </row>
    <row r="296" spans="1:11" x14ac:dyDescent="0.35">
      <c r="A296" t="s">
        <v>11</v>
      </c>
      <c r="B296" t="s">
        <v>3</v>
      </c>
      <c r="C296" s="27">
        <v>47.99</v>
      </c>
      <c r="D296">
        <v>10</v>
      </c>
      <c r="E296">
        <v>16</v>
      </c>
      <c r="F296" s="4">
        <f t="shared" si="4"/>
        <v>767.84</v>
      </c>
      <c r="G296" t="str">
        <f>IF(Table2[[#This Row],[Sold]]&gt;1000,"High Quality","Normal Quality")</f>
        <v>Normal Quality</v>
      </c>
      <c r="H296" s="12">
        <v>45372.402743055558</v>
      </c>
      <c r="I296" t="s">
        <v>317</v>
      </c>
      <c r="J296" t="s">
        <v>118</v>
      </c>
      <c r="K296" t="s">
        <v>118</v>
      </c>
    </row>
    <row r="297" spans="1:11" x14ac:dyDescent="0.35">
      <c r="A297" t="s">
        <v>21</v>
      </c>
      <c r="B297" t="s">
        <v>3</v>
      </c>
      <c r="C297" s="27">
        <v>18.100000000000001</v>
      </c>
      <c r="D297">
        <v>31</v>
      </c>
      <c r="E297">
        <v>210</v>
      </c>
      <c r="F297" s="4">
        <f t="shared" si="4"/>
        <v>3801.0000000000005</v>
      </c>
      <c r="G297" t="str">
        <f>IF(Table2[[#This Row],[Sold]]&gt;1000,"High Quality","Normal Quality")</f>
        <v>Normal Quality</v>
      </c>
      <c r="H297" s="12">
        <v>45372.40284722222</v>
      </c>
      <c r="I297" t="s">
        <v>291</v>
      </c>
      <c r="J297" t="s">
        <v>274</v>
      </c>
      <c r="K297" t="s">
        <v>118</v>
      </c>
    </row>
    <row r="298" spans="1:11" x14ac:dyDescent="0.35">
      <c r="A298" t="s">
        <v>9</v>
      </c>
      <c r="B298" t="s">
        <v>3</v>
      </c>
      <c r="C298" s="27">
        <v>34.99</v>
      </c>
      <c r="D298">
        <v>3</v>
      </c>
      <c r="E298">
        <v>457</v>
      </c>
      <c r="F298" s="4">
        <f t="shared" si="4"/>
        <v>15990.43</v>
      </c>
      <c r="G298" t="str">
        <f>IF(Table2[[#This Row],[Sold]]&gt;1000,"High Quality","Normal Quality")</f>
        <v>Normal Quality</v>
      </c>
      <c r="H298" s="12">
        <v>45372.409143518518</v>
      </c>
      <c r="I298" t="s">
        <v>325</v>
      </c>
      <c r="J298" t="s">
        <v>266</v>
      </c>
      <c r="K298" t="s">
        <v>118</v>
      </c>
    </row>
    <row r="299" spans="1:11" x14ac:dyDescent="0.35">
      <c r="A299" t="s">
        <v>55</v>
      </c>
      <c r="B299" t="s">
        <v>3</v>
      </c>
      <c r="C299" s="27">
        <v>26.86</v>
      </c>
      <c r="D299">
        <v>3</v>
      </c>
      <c r="E299">
        <v>1047</v>
      </c>
      <c r="F299" s="4">
        <f t="shared" si="4"/>
        <v>28122.42</v>
      </c>
      <c r="G299" t="str">
        <f>IF(Table2[[#This Row],[Sold]]&gt;1000,"High Quality","Normal Quality")</f>
        <v>High Quality</v>
      </c>
      <c r="H299" s="12">
        <v>45372.413981481484</v>
      </c>
      <c r="I299" t="s">
        <v>291</v>
      </c>
      <c r="J299" t="s">
        <v>274</v>
      </c>
      <c r="K299" t="s">
        <v>118</v>
      </c>
    </row>
    <row r="300" spans="1:11" x14ac:dyDescent="0.35">
      <c r="A300" t="s">
        <v>60</v>
      </c>
      <c r="B300" t="s">
        <v>3</v>
      </c>
      <c r="C300" s="27">
        <v>15.65</v>
      </c>
      <c r="D300">
        <v>7</v>
      </c>
      <c r="E300">
        <v>2777</v>
      </c>
      <c r="F300" s="4">
        <f t="shared" si="4"/>
        <v>43460.05</v>
      </c>
      <c r="G300" t="str">
        <f>IF(Table2[[#This Row],[Sold]]&gt;1000,"High Quality","Normal Quality")</f>
        <v>High Quality</v>
      </c>
      <c r="H300" s="12">
        <v>45372.416747685187</v>
      </c>
      <c r="I300" t="s">
        <v>291</v>
      </c>
      <c r="J300" t="s">
        <v>274</v>
      </c>
      <c r="K300" t="s">
        <v>118</v>
      </c>
    </row>
    <row r="301" spans="1:11" x14ac:dyDescent="0.35">
      <c r="A301" t="s">
        <v>9</v>
      </c>
      <c r="B301" t="s">
        <v>3</v>
      </c>
      <c r="C301" s="27">
        <v>28.2</v>
      </c>
      <c r="D301">
        <v>0</v>
      </c>
      <c r="E301">
        <v>24</v>
      </c>
      <c r="F301" s="4">
        <f t="shared" si="4"/>
        <v>676.8</v>
      </c>
      <c r="G301" t="str">
        <f>IF(Table2[[#This Row],[Sold]]&gt;1000,"High Quality","Normal Quality")</f>
        <v>Normal Quality</v>
      </c>
      <c r="H301" s="12">
        <v>45372.417986111112</v>
      </c>
      <c r="I301" t="s">
        <v>287</v>
      </c>
      <c r="J301" t="s">
        <v>266</v>
      </c>
      <c r="K301" t="s">
        <v>118</v>
      </c>
    </row>
    <row r="302" spans="1:11" x14ac:dyDescent="0.35">
      <c r="A302" t="s">
        <v>247</v>
      </c>
      <c r="B302" t="s">
        <v>3</v>
      </c>
      <c r="C302" s="27">
        <v>19.75</v>
      </c>
      <c r="D302">
        <v>10</v>
      </c>
      <c r="E302">
        <v>7253</v>
      </c>
      <c r="F302" s="4">
        <f t="shared" si="4"/>
        <v>143246.75</v>
      </c>
      <c r="G302" t="str">
        <f>IF(Table2[[#This Row],[Sold]]&gt;1000,"High Quality","Normal Quality")</f>
        <v>High Quality</v>
      </c>
      <c r="H302" s="12">
        <v>45372.418136574073</v>
      </c>
      <c r="I302" t="s">
        <v>291</v>
      </c>
      <c r="J302" t="s">
        <v>274</v>
      </c>
      <c r="K302" t="s">
        <v>118</v>
      </c>
    </row>
    <row r="303" spans="1:11" x14ac:dyDescent="0.35">
      <c r="A303" t="s">
        <v>73</v>
      </c>
      <c r="B303" t="s">
        <v>3</v>
      </c>
      <c r="C303" s="27">
        <v>27.03</v>
      </c>
      <c r="D303">
        <v>3</v>
      </c>
      <c r="E303">
        <v>1337</v>
      </c>
      <c r="F303" s="4">
        <f t="shared" si="4"/>
        <v>36139.11</v>
      </c>
      <c r="G303" t="str">
        <f>IF(Table2[[#This Row],[Sold]]&gt;1000,"High Quality","Normal Quality")</f>
        <v>High Quality</v>
      </c>
      <c r="H303" s="12">
        <v>45372.474398148152</v>
      </c>
      <c r="I303" t="s">
        <v>291</v>
      </c>
      <c r="J303" t="s">
        <v>274</v>
      </c>
      <c r="K303" t="s">
        <v>118</v>
      </c>
    </row>
    <row r="304" spans="1:11" x14ac:dyDescent="0.35">
      <c r="A304" t="s">
        <v>199</v>
      </c>
      <c r="B304" t="s">
        <v>1</v>
      </c>
      <c r="C304" s="27">
        <v>79.989999999999995</v>
      </c>
      <c r="D304">
        <v>10</v>
      </c>
      <c r="E304">
        <v>43</v>
      </c>
      <c r="F304" s="4">
        <f t="shared" si="4"/>
        <v>3439.5699999999997</v>
      </c>
      <c r="G304" t="str">
        <f>IF(Table2[[#This Row],[Sold]]&gt;1000,"High Quality","Normal Quality")</f>
        <v>Normal Quality</v>
      </c>
      <c r="H304" s="12">
        <v>45372.501631944448</v>
      </c>
      <c r="I304" t="s">
        <v>369</v>
      </c>
      <c r="J304" t="s">
        <v>506</v>
      </c>
      <c r="K304" t="s">
        <v>118</v>
      </c>
    </row>
    <row r="305" spans="1:11" x14ac:dyDescent="0.35">
      <c r="A305" t="s">
        <v>10</v>
      </c>
      <c r="B305" t="s">
        <v>1</v>
      </c>
      <c r="C305" s="27">
        <v>239.99</v>
      </c>
      <c r="D305">
        <v>7</v>
      </c>
      <c r="E305">
        <v>14</v>
      </c>
      <c r="F305" s="4">
        <f t="shared" si="4"/>
        <v>3359.86</v>
      </c>
      <c r="G305" t="str">
        <f>IF(Table2[[#This Row],[Sold]]&gt;1000,"High Quality","Normal Quality")</f>
        <v>Normal Quality</v>
      </c>
      <c r="H305" s="12">
        <v>45372.529131944444</v>
      </c>
      <c r="I305" t="s">
        <v>322</v>
      </c>
      <c r="J305" t="s">
        <v>282</v>
      </c>
      <c r="K305" t="s">
        <v>118</v>
      </c>
    </row>
    <row r="306" spans="1:11" x14ac:dyDescent="0.35">
      <c r="A306" t="s">
        <v>21</v>
      </c>
      <c r="B306" t="s">
        <v>3</v>
      </c>
      <c r="C306" s="27">
        <v>26.97</v>
      </c>
      <c r="D306">
        <v>10</v>
      </c>
      <c r="E306">
        <v>424</v>
      </c>
      <c r="F306" s="4">
        <f t="shared" si="4"/>
        <v>11435.279999999999</v>
      </c>
      <c r="G306" t="str">
        <f>IF(Table2[[#This Row],[Sold]]&gt;1000,"High Quality","Normal Quality")</f>
        <v>Normal Quality</v>
      </c>
      <c r="H306" s="12">
        <v>45372.563738425924</v>
      </c>
      <c r="I306" t="s">
        <v>291</v>
      </c>
      <c r="J306" t="s">
        <v>274</v>
      </c>
      <c r="K306" t="s">
        <v>118</v>
      </c>
    </row>
    <row r="307" spans="1:11" x14ac:dyDescent="0.35">
      <c r="A307" t="s">
        <v>229</v>
      </c>
      <c r="B307" t="s">
        <v>3</v>
      </c>
      <c r="C307" s="27">
        <v>39.950000000000003</v>
      </c>
      <c r="D307">
        <v>10</v>
      </c>
      <c r="E307">
        <v>178</v>
      </c>
      <c r="F307" s="4">
        <f t="shared" si="4"/>
        <v>7111.1</v>
      </c>
      <c r="G307" t="str">
        <f>IF(Table2[[#This Row],[Sold]]&gt;1000,"High Quality","Normal Quality")</f>
        <v>Normal Quality</v>
      </c>
      <c r="H307" s="12">
        <v>45372.570462962962</v>
      </c>
      <c r="I307" t="s">
        <v>404</v>
      </c>
      <c r="J307" t="s">
        <v>286</v>
      </c>
      <c r="K307" t="s">
        <v>118</v>
      </c>
    </row>
    <row r="308" spans="1:11" x14ac:dyDescent="0.35">
      <c r="A308" t="s">
        <v>245</v>
      </c>
      <c r="B308" t="s">
        <v>3</v>
      </c>
      <c r="C308" s="27">
        <v>9.98</v>
      </c>
      <c r="D308">
        <v>3</v>
      </c>
      <c r="E308">
        <v>8453</v>
      </c>
      <c r="F308" s="4">
        <f t="shared" si="4"/>
        <v>84360.94</v>
      </c>
      <c r="G308" t="str">
        <f>IF(Table2[[#This Row],[Sold]]&gt;1000,"High Quality","Normal Quality")</f>
        <v>High Quality</v>
      </c>
      <c r="H308" s="12">
        <v>45372.572013888886</v>
      </c>
      <c r="I308" t="s">
        <v>291</v>
      </c>
      <c r="J308" t="s">
        <v>274</v>
      </c>
      <c r="K308" t="s">
        <v>118</v>
      </c>
    </row>
    <row r="309" spans="1:11" x14ac:dyDescent="0.35">
      <c r="A309" t="s">
        <v>20</v>
      </c>
      <c r="B309" t="s">
        <v>1</v>
      </c>
      <c r="C309" s="27">
        <v>33.700000000000003</v>
      </c>
      <c r="D309">
        <v>620</v>
      </c>
      <c r="E309">
        <v>131</v>
      </c>
      <c r="F309" s="4">
        <f t="shared" si="4"/>
        <v>4414.7000000000007</v>
      </c>
      <c r="G309" t="str">
        <f>IF(Table2[[#This Row],[Sold]]&gt;1000,"High Quality","Normal Quality")</f>
        <v>Normal Quality</v>
      </c>
      <c r="H309" s="12">
        <v>45372.583958333336</v>
      </c>
      <c r="I309" t="s">
        <v>291</v>
      </c>
      <c r="J309" t="s">
        <v>274</v>
      </c>
      <c r="K309" t="s">
        <v>118</v>
      </c>
    </row>
    <row r="310" spans="1:11" x14ac:dyDescent="0.35">
      <c r="A310" t="s">
        <v>18</v>
      </c>
      <c r="B310" t="s">
        <v>3</v>
      </c>
      <c r="C310" s="27">
        <v>21.99</v>
      </c>
      <c r="D310">
        <v>10</v>
      </c>
      <c r="E310">
        <v>86</v>
      </c>
      <c r="F310" s="4">
        <f t="shared" si="4"/>
        <v>1891.1399999999999</v>
      </c>
      <c r="G310" t="str">
        <f>IF(Table2[[#This Row],[Sold]]&gt;1000,"High Quality","Normal Quality")</f>
        <v>Normal Quality</v>
      </c>
      <c r="H310" s="12">
        <v>45372.603043981479</v>
      </c>
      <c r="I310" t="s">
        <v>285</v>
      </c>
      <c r="J310" t="s">
        <v>286</v>
      </c>
      <c r="K310" t="s">
        <v>118</v>
      </c>
    </row>
    <row r="311" spans="1:11" x14ac:dyDescent="0.35">
      <c r="A311" t="s">
        <v>12</v>
      </c>
      <c r="B311" t="s">
        <v>1</v>
      </c>
      <c r="C311" s="27">
        <v>58.09</v>
      </c>
      <c r="D311">
        <v>0</v>
      </c>
      <c r="E311">
        <v>550</v>
      </c>
      <c r="F311" s="4">
        <f t="shared" si="4"/>
        <v>31949.500000000004</v>
      </c>
      <c r="G311" t="str">
        <f>IF(Table2[[#This Row],[Sold]]&gt;1000,"High Quality","Normal Quality")</f>
        <v>Normal Quality</v>
      </c>
      <c r="H311" s="12">
        <v>45372.613298611112</v>
      </c>
      <c r="I311" t="s">
        <v>291</v>
      </c>
      <c r="J311" t="s">
        <v>274</v>
      </c>
      <c r="K311" t="s">
        <v>118</v>
      </c>
    </row>
    <row r="312" spans="1:11" x14ac:dyDescent="0.35">
      <c r="A312" t="s">
        <v>58</v>
      </c>
      <c r="B312" t="s">
        <v>3</v>
      </c>
      <c r="C312" s="27">
        <v>27.4</v>
      </c>
      <c r="D312">
        <v>8</v>
      </c>
      <c r="E312">
        <v>397</v>
      </c>
      <c r="F312" s="4">
        <f t="shared" si="4"/>
        <v>10877.8</v>
      </c>
      <c r="G312" t="str">
        <f>IF(Table2[[#This Row],[Sold]]&gt;1000,"High Quality","Normal Quality")</f>
        <v>Normal Quality</v>
      </c>
      <c r="H312" s="12">
        <v>45372.629988425928</v>
      </c>
      <c r="I312" t="s">
        <v>291</v>
      </c>
      <c r="J312" t="s">
        <v>274</v>
      </c>
      <c r="K312" t="s">
        <v>118</v>
      </c>
    </row>
    <row r="313" spans="1:11" x14ac:dyDescent="0.35">
      <c r="A313" t="s">
        <v>89</v>
      </c>
      <c r="B313" t="s">
        <v>3</v>
      </c>
      <c r="C313" s="27">
        <v>71.98</v>
      </c>
      <c r="D313">
        <v>0</v>
      </c>
      <c r="E313">
        <v>1333</v>
      </c>
      <c r="F313" s="4">
        <f t="shared" si="4"/>
        <v>95949.340000000011</v>
      </c>
      <c r="G313" t="str">
        <f>IF(Table2[[#This Row],[Sold]]&gt;1000,"High Quality","Normal Quality")</f>
        <v>High Quality</v>
      </c>
      <c r="H313" s="12">
        <v>45372.630196759259</v>
      </c>
      <c r="I313" t="s">
        <v>290</v>
      </c>
      <c r="J313" t="s">
        <v>506</v>
      </c>
      <c r="K313" t="s">
        <v>118</v>
      </c>
    </row>
    <row r="314" spans="1:11" x14ac:dyDescent="0.35">
      <c r="A314" t="s">
        <v>72</v>
      </c>
      <c r="B314" t="s">
        <v>1</v>
      </c>
      <c r="C314" s="27">
        <v>28.19</v>
      </c>
      <c r="D314">
        <v>10</v>
      </c>
      <c r="E314">
        <v>10</v>
      </c>
      <c r="F314" s="4">
        <f t="shared" si="4"/>
        <v>281.90000000000003</v>
      </c>
      <c r="G314" t="str">
        <f>IF(Table2[[#This Row],[Sold]]&gt;1000,"High Quality","Normal Quality")</f>
        <v>Normal Quality</v>
      </c>
      <c r="H314" s="12">
        <v>45372.647581018522</v>
      </c>
      <c r="I314" t="s">
        <v>509</v>
      </c>
      <c r="J314" t="s">
        <v>505</v>
      </c>
      <c r="K314" t="s">
        <v>118</v>
      </c>
    </row>
    <row r="315" spans="1:11" x14ac:dyDescent="0.35">
      <c r="A315" t="s">
        <v>2</v>
      </c>
      <c r="B315" t="s">
        <v>1</v>
      </c>
      <c r="C315" s="27">
        <v>49.99</v>
      </c>
      <c r="D315">
        <v>10</v>
      </c>
      <c r="E315">
        <v>45</v>
      </c>
      <c r="F315" s="4">
        <f t="shared" si="4"/>
        <v>2249.5500000000002</v>
      </c>
      <c r="G315" t="str">
        <f>IF(Table2[[#This Row],[Sold]]&gt;1000,"High Quality","Normal Quality")</f>
        <v>Normal Quality</v>
      </c>
      <c r="H315" s="12">
        <v>45372.674386574072</v>
      </c>
      <c r="I315" t="s">
        <v>273</v>
      </c>
      <c r="J315" t="s">
        <v>274</v>
      </c>
      <c r="K315" t="s">
        <v>118</v>
      </c>
    </row>
    <row r="316" spans="1:11" x14ac:dyDescent="0.35">
      <c r="A316" t="s">
        <v>4</v>
      </c>
      <c r="B316" t="s">
        <v>1</v>
      </c>
      <c r="C316" s="27">
        <v>128.99</v>
      </c>
      <c r="D316">
        <v>10</v>
      </c>
      <c r="E316">
        <v>9</v>
      </c>
      <c r="F316" s="4">
        <f t="shared" si="4"/>
        <v>1160.9100000000001</v>
      </c>
      <c r="G316" t="str">
        <f>IF(Table2[[#This Row],[Sold]]&gt;1000,"High Quality","Normal Quality")</f>
        <v>Normal Quality</v>
      </c>
      <c r="H316" s="12">
        <v>45372.678055555552</v>
      </c>
      <c r="I316" t="s">
        <v>506</v>
      </c>
      <c r="J316" t="s">
        <v>505</v>
      </c>
      <c r="K316" t="s">
        <v>118</v>
      </c>
    </row>
    <row r="317" spans="1:11" x14ac:dyDescent="0.35">
      <c r="A317" t="s">
        <v>243</v>
      </c>
      <c r="B317" t="s">
        <v>3</v>
      </c>
      <c r="C317" s="27">
        <v>22.99</v>
      </c>
      <c r="D317">
        <v>0</v>
      </c>
      <c r="E317">
        <v>12</v>
      </c>
      <c r="F317" s="4">
        <f t="shared" si="4"/>
        <v>275.88</v>
      </c>
      <c r="G317" t="str">
        <f>IF(Table2[[#This Row],[Sold]]&gt;1000,"High Quality","Normal Quality")</f>
        <v>Normal Quality</v>
      </c>
      <c r="H317" s="12">
        <v>45372.703344907408</v>
      </c>
      <c r="I317" t="s">
        <v>506</v>
      </c>
      <c r="J317" t="s">
        <v>505</v>
      </c>
      <c r="K317" t="s">
        <v>118</v>
      </c>
    </row>
    <row r="318" spans="1:11" x14ac:dyDescent="0.35">
      <c r="A318" t="s">
        <v>44</v>
      </c>
      <c r="B318" t="s">
        <v>3</v>
      </c>
      <c r="C318" s="27">
        <v>54.5</v>
      </c>
      <c r="D318">
        <v>10</v>
      </c>
      <c r="E318">
        <v>1995</v>
      </c>
      <c r="F318" s="4">
        <f t="shared" si="4"/>
        <v>108727.5</v>
      </c>
      <c r="G318" t="str">
        <f>IF(Table2[[#This Row],[Sold]]&gt;1000,"High Quality","Normal Quality")</f>
        <v>High Quality</v>
      </c>
      <c r="H318" s="12">
        <v>45372.714050925926</v>
      </c>
      <c r="I318" t="s">
        <v>290</v>
      </c>
      <c r="J318" t="s">
        <v>506</v>
      </c>
      <c r="K318" t="s">
        <v>118</v>
      </c>
    </row>
    <row r="319" spans="1:11" x14ac:dyDescent="0.35">
      <c r="A319" t="s">
        <v>39</v>
      </c>
      <c r="B319" t="s">
        <v>3</v>
      </c>
      <c r="C319" s="27">
        <v>49.63</v>
      </c>
      <c r="D319">
        <v>5</v>
      </c>
      <c r="E319">
        <v>5</v>
      </c>
      <c r="F319" s="4">
        <f t="shared" si="4"/>
        <v>248.15</v>
      </c>
      <c r="G319" t="str">
        <f>IF(Table2[[#This Row],[Sold]]&gt;1000,"High Quality","Normal Quality")</f>
        <v>Normal Quality</v>
      </c>
      <c r="H319" s="12">
        <v>45372.738252314812</v>
      </c>
      <c r="I319" t="s">
        <v>506</v>
      </c>
      <c r="J319" t="s">
        <v>283</v>
      </c>
      <c r="K319" t="s">
        <v>118</v>
      </c>
    </row>
    <row r="320" spans="1:11" x14ac:dyDescent="0.35">
      <c r="A320" t="s">
        <v>33</v>
      </c>
      <c r="B320" t="s">
        <v>1</v>
      </c>
      <c r="C320" s="27">
        <v>159.99</v>
      </c>
      <c r="D320">
        <v>4</v>
      </c>
      <c r="E320">
        <v>30</v>
      </c>
      <c r="F320" s="4">
        <f t="shared" si="4"/>
        <v>4799.7000000000007</v>
      </c>
      <c r="G320" t="str">
        <f>IF(Table2[[#This Row],[Sold]]&gt;1000,"High Quality","Normal Quality")</f>
        <v>Normal Quality</v>
      </c>
      <c r="H320" s="12">
        <v>45372.750486111108</v>
      </c>
      <c r="I320" t="s">
        <v>506</v>
      </c>
      <c r="J320" t="s">
        <v>505</v>
      </c>
      <c r="K320" t="s">
        <v>379</v>
      </c>
    </row>
    <row r="321" spans="1:11" x14ac:dyDescent="0.35">
      <c r="A321" t="s">
        <v>94</v>
      </c>
      <c r="B321" t="s">
        <v>1</v>
      </c>
      <c r="C321" s="27">
        <v>129</v>
      </c>
      <c r="D321">
        <v>10</v>
      </c>
      <c r="E321">
        <v>11</v>
      </c>
      <c r="F321" s="4">
        <f t="shared" si="4"/>
        <v>1419</v>
      </c>
      <c r="G321" t="str">
        <f>IF(Table2[[#This Row],[Sold]]&gt;1000,"High Quality","Normal Quality")</f>
        <v>Normal Quality</v>
      </c>
      <c r="H321" s="12">
        <v>45372.756238425929</v>
      </c>
      <c r="I321" t="s">
        <v>273</v>
      </c>
      <c r="J321" t="s">
        <v>274</v>
      </c>
      <c r="K321" t="s">
        <v>118</v>
      </c>
    </row>
    <row r="322" spans="1:11" x14ac:dyDescent="0.35">
      <c r="A322" t="s">
        <v>58</v>
      </c>
      <c r="B322" t="s">
        <v>3</v>
      </c>
      <c r="C322" s="27">
        <v>37.979999999999997</v>
      </c>
      <c r="D322">
        <v>10</v>
      </c>
      <c r="E322">
        <v>612</v>
      </c>
      <c r="F322" s="4">
        <f t="shared" ref="F322:F385" si="5">C:C*E:E</f>
        <v>23243.759999999998</v>
      </c>
      <c r="G322" t="str">
        <f>IF(Table2[[#This Row],[Sold]]&gt;1000,"High Quality","Normal Quality")</f>
        <v>Normal Quality</v>
      </c>
      <c r="H322" s="12">
        <v>45372.764270833337</v>
      </c>
      <c r="I322" t="s">
        <v>290</v>
      </c>
      <c r="J322" t="s">
        <v>506</v>
      </c>
      <c r="K322" t="s">
        <v>118</v>
      </c>
    </row>
    <row r="323" spans="1:11" x14ac:dyDescent="0.35">
      <c r="A323" t="s">
        <v>67</v>
      </c>
      <c r="B323" t="s">
        <v>37</v>
      </c>
      <c r="C323" s="27">
        <v>63.99</v>
      </c>
      <c r="D323">
        <v>10</v>
      </c>
      <c r="E323">
        <v>6</v>
      </c>
      <c r="F323" s="4">
        <f t="shared" si="5"/>
        <v>383.94</v>
      </c>
      <c r="G323" t="str">
        <f>IF(Table2[[#This Row],[Sold]]&gt;1000,"High Quality","Normal Quality")</f>
        <v>Normal Quality</v>
      </c>
      <c r="H323" s="12">
        <v>45372.767268518517</v>
      </c>
      <c r="I323" t="s">
        <v>355</v>
      </c>
      <c r="J323" t="s">
        <v>356</v>
      </c>
      <c r="K323" t="s">
        <v>118</v>
      </c>
    </row>
    <row r="324" spans="1:11" x14ac:dyDescent="0.35">
      <c r="A324" t="s">
        <v>49</v>
      </c>
      <c r="B324" t="s">
        <v>3</v>
      </c>
      <c r="C324" s="27">
        <v>19.989999999999998</v>
      </c>
      <c r="D324">
        <v>4</v>
      </c>
      <c r="E324">
        <v>8</v>
      </c>
      <c r="F324" s="4">
        <f t="shared" si="5"/>
        <v>159.91999999999999</v>
      </c>
      <c r="G324" t="str">
        <f>IF(Table2[[#This Row],[Sold]]&gt;1000,"High Quality","Normal Quality")</f>
        <v>Normal Quality</v>
      </c>
      <c r="H324" s="12">
        <v>45372.793530092589</v>
      </c>
      <c r="I324" t="s">
        <v>375</v>
      </c>
      <c r="J324" t="s">
        <v>376</v>
      </c>
      <c r="K324" t="s">
        <v>118</v>
      </c>
    </row>
    <row r="325" spans="1:11" x14ac:dyDescent="0.35">
      <c r="A325" t="s">
        <v>190</v>
      </c>
      <c r="B325" t="s">
        <v>1</v>
      </c>
      <c r="C325" s="27">
        <v>6.65</v>
      </c>
      <c r="D325">
        <v>10</v>
      </c>
      <c r="E325">
        <v>18882</v>
      </c>
      <c r="F325" s="4">
        <f t="shared" si="5"/>
        <v>125565.3</v>
      </c>
      <c r="G325" t="str">
        <f>IF(Table2[[#This Row],[Sold]]&gt;1000,"High Quality","Normal Quality")</f>
        <v>High Quality</v>
      </c>
      <c r="H325" s="12">
        <v>45372.80195601852</v>
      </c>
      <c r="I325" t="s">
        <v>542</v>
      </c>
      <c r="J325" t="s">
        <v>269</v>
      </c>
      <c r="K325" t="s">
        <v>118</v>
      </c>
    </row>
    <row r="326" spans="1:11" x14ac:dyDescent="0.35">
      <c r="A326" t="s">
        <v>49</v>
      </c>
      <c r="B326" t="s">
        <v>3</v>
      </c>
      <c r="C326" s="27">
        <v>21.01</v>
      </c>
      <c r="D326">
        <v>10</v>
      </c>
      <c r="E326">
        <v>2486</v>
      </c>
      <c r="F326" s="4">
        <f t="shared" si="5"/>
        <v>52230.86</v>
      </c>
      <c r="G326" t="str">
        <f>IF(Table2[[#This Row],[Sold]]&gt;1000,"High Quality","Normal Quality")</f>
        <v>High Quality</v>
      </c>
      <c r="H326" s="12">
        <v>45372.802881944444</v>
      </c>
      <c r="I326" t="s">
        <v>291</v>
      </c>
      <c r="J326" t="s">
        <v>274</v>
      </c>
      <c r="K326" t="s">
        <v>118</v>
      </c>
    </row>
    <row r="327" spans="1:11" x14ac:dyDescent="0.35">
      <c r="A327" t="s">
        <v>187</v>
      </c>
      <c r="B327" t="s">
        <v>1</v>
      </c>
      <c r="C327" s="27">
        <v>15.99</v>
      </c>
      <c r="D327">
        <v>10</v>
      </c>
      <c r="E327">
        <v>889</v>
      </c>
      <c r="F327" s="4">
        <f t="shared" si="5"/>
        <v>14215.11</v>
      </c>
      <c r="G327" t="str">
        <f>IF(Table2[[#This Row],[Sold]]&gt;1000,"High Quality","Normal Quality")</f>
        <v>Normal Quality</v>
      </c>
      <c r="H327" s="12">
        <v>45372.805694444447</v>
      </c>
      <c r="I327" t="s">
        <v>281</v>
      </c>
      <c r="J327" t="s">
        <v>282</v>
      </c>
      <c r="K327" t="s">
        <v>118</v>
      </c>
    </row>
    <row r="328" spans="1:11" x14ac:dyDescent="0.35">
      <c r="A328" t="s">
        <v>187</v>
      </c>
      <c r="B328" t="s">
        <v>1</v>
      </c>
      <c r="C328" s="27">
        <v>6.97</v>
      </c>
      <c r="D328">
        <v>10</v>
      </c>
      <c r="E328">
        <v>803</v>
      </c>
      <c r="F328" s="4">
        <f t="shared" si="5"/>
        <v>5596.91</v>
      </c>
      <c r="G328" t="str">
        <f>IF(Table2[[#This Row],[Sold]]&gt;1000,"High Quality","Normal Quality")</f>
        <v>Normal Quality</v>
      </c>
      <c r="H328" s="12">
        <v>45372.805706018517</v>
      </c>
      <c r="I328" t="s">
        <v>281</v>
      </c>
      <c r="J328" t="s">
        <v>282</v>
      </c>
      <c r="K328" t="s">
        <v>118</v>
      </c>
    </row>
    <row r="329" spans="1:11" x14ac:dyDescent="0.35">
      <c r="A329" t="s">
        <v>38</v>
      </c>
      <c r="B329" t="s">
        <v>1</v>
      </c>
      <c r="C329" s="27">
        <v>34.99</v>
      </c>
      <c r="D329">
        <v>2</v>
      </c>
      <c r="E329">
        <v>3</v>
      </c>
      <c r="F329" s="4">
        <f t="shared" si="5"/>
        <v>104.97</v>
      </c>
      <c r="G329" t="str">
        <f>IF(Table2[[#This Row],[Sold]]&gt;1000,"High Quality","Normal Quality")</f>
        <v>Normal Quality</v>
      </c>
      <c r="H329" s="12">
        <v>45372.806712962964</v>
      </c>
      <c r="I329" t="s">
        <v>273</v>
      </c>
      <c r="J329" t="s">
        <v>274</v>
      </c>
      <c r="K329" t="s">
        <v>118</v>
      </c>
    </row>
    <row r="330" spans="1:11" x14ac:dyDescent="0.35">
      <c r="A330" t="s">
        <v>187</v>
      </c>
      <c r="B330" t="s">
        <v>1</v>
      </c>
      <c r="C330" s="27">
        <v>13.99</v>
      </c>
      <c r="D330">
        <v>5</v>
      </c>
      <c r="E330">
        <v>290</v>
      </c>
      <c r="F330" s="4">
        <f t="shared" si="5"/>
        <v>4057.1</v>
      </c>
      <c r="G330" t="str">
        <f>IF(Table2[[#This Row],[Sold]]&gt;1000,"High Quality","Normal Quality")</f>
        <v>Normal Quality</v>
      </c>
      <c r="H330" s="12">
        <v>45372.806817129633</v>
      </c>
      <c r="I330" t="s">
        <v>281</v>
      </c>
      <c r="J330" t="s">
        <v>282</v>
      </c>
      <c r="K330" t="s">
        <v>118</v>
      </c>
    </row>
    <row r="331" spans="1:11" x14ac:dyDescent="0.35">
      <c r="A331" t="s">
        <v>187</v>
      </c>
      <c r="B331" t="s">
        <v>54</v>
      </c>
      <c r="C331" s="27">
        <v>11.99</v>
      </c>
      <c r="D331">
        <v>10</v>
      </c>
      <c r="E331">
        <v>11</v>
      </c>
      <c r="F331" s="4">
        <f t="shared" si="5"/>
        <v>131.89000000000001</v>
      </c>
      <c r="G331" t="str">
        <f>IF(Table2[[#This Row],[Sold]]&gt;1000,"High Quality","Normal Quality")</f>
        <v>Normal Quality</v>
      </c>
      <c r="H331" s="12">
        <v>45372.813877314817</v>
      </c>
      <c r="I331" t="s">
        <v>281</v>
      </c>
      <c r="J331" t="s">
        <v>282</v>
      </c>
      <c r="K331" t="s">
        <v>118</v>
      </c>
    </row>
    <row r="332" spans="1:11" x14ac:dyDescent="0.35">
      <c r="A332" t="s">
        <v>2</v>
      </c>
      <c r="B332" t="s">
        <v>239</v>
      </c>
      <c r="C332" s="27">
        <v>15.99</v>
      </c>
      <c r="D332">
        <v>4</v>
      </c>
      <c r="E332">
        <v>62</v>
      </c>
      <c r="F332" s="4">
        <f t="shared" si="5"/>
        <v>991.38</v>
      </c>
      <c r="G332" t="str">
        <f>IF(Table2[[#This Row],[Sold]]&gt;1000,"High Quality","Normal Quality")</f>
        <v>Normal Quality</v>
      </c>
      <c r="H332" s="12">
        <v>45372.81417824074</v>
      </c>
      <c r="I332" t="s">
        <v>335</v>
      </c>
      <c r="J332" t="s">
        <v>282</v>
      </c>
      <c r="K332" t="s">
        <v>118</v>
      </c>
    </row>
    <row r="333" spans="1:11" x14ac:dyDescent="0.35">
      <c r="A333" t="s">
        <v>187</v>
      </c>
      <c r="B333" t="s">
        <v>54</v>
      </c>
      <c r="C333" s="27">
        <v>12.99</v>
      </c>
      <c r="D333">
        <v>0</v>
      </c>
      <c r="E333">
        <v>10</v>
      </c>
      <c r="F333" s="4">
        <f t="shared" si="5"/>
        <v>129.9</v>
      </c>
      <c r="G333" t="str">
        <f>IF(Table2[[#This Row],[Sold]]&gt;1000,"High Quality","Normal Quality")</f>
        <v>Normal Quality</v>
      </c>
      <c r="H333" s="12">
        <v>45372.81449074074</v>
      </c>
      <c r="I333" t="s">
        <v>281</v>
      </c>
      <c r="J333" t="s">
        <v>282</v>
      </c>
      <c r="K333" t="s">
        <v>118</v>
      </c>
    </row>
    <row r="334" spans="1:11" x14ac:dyDescent="0.35">
      <c r="A334" t="s">
        <v>125</v>
      </c>
      <c r="B334" t="s">
        <v>3</v>
      </c>
      <c r="C334" s="27">
        <v>7.28</v>
      </c>
      <c r="D334">
        <v>3</v>
      </c>
      <c r="E334">
        <v>149</v>
      </c>
      <c r="F334" s="4">
        <f t="shared" si="5"/>
        <v>1084.72</v>
      </c>
      <c r="G334" t="str">
        <f>IF(Table2[[#This Row],[Sold]]&gt;1000,"High Quality","Normal Quality")</f>
        <v>Normal Quality</v>
      </c>
      <c r="H334" s="12">
        <v>45372.827615740738</v>
      </c>
      <c r="I334" t="s">
        <v>285</v>
      </c>
      <c r="J334" t="s">
        <v>286</v>
      </c>
      <c r="K334" t="s">
        <v>118</v>
      </c>
    </row>
    <row r="335" spans="1:11" x14ac:dyDescent="0.35">
      <c r="A335" t="s">
        <v>60</v>
      </c>
      <c r="B335" t="s">
        <v>3</v>
      </c>
      <c r="C335" s="27">
        <v>15.4</v>
      </c>
      <c r="D335">
        <v>0</v>
      </c>
      <c r="E335">
        <v>3942</v>
      </c>
      <c r="F335" s="4">
        <f t="shared" si="5"/>
        <v>60706.8</v>
      </c>
      <c r="G335" t="str">
        <f>IF(Table2[[#This Row],[Sold]]&gt;1000,"High Quality","Normal Quality")</f>
        <v>High Quality</v>
      </c>
      <c r="H335" s="12">
        <v>45372.83965277778</v>
      </c>
      <c r="I335" t="s">
        <v>291</v>
      </c>
      <c r="J335" t="s">
        <v>274</v>
      </c>
      <c r="K335" t="s">
        <v>118</v>
      </c>
    </row>
    <row r="336" spans="1:11" x14ac:dyDescent="0.35">
      <c r="A336" t="s">
        <v>99</v>
      </c>
      <c r="B336" t="s">
        <v>1</v>
      </c>
      <c r="C336" s="27">
        <v>59.09</v>
      </c>
      <c r="D336">
        <v>62</v>
      </c>
      <c r="E336">
        <v>432</v>
      </c>
      <c r="F336" s="4">
        <f t="shared" si="5"/>
        <v>25526.880000000001</v>
      </c>
      <c r="G336" t="str">
        <f>IF(Table2[[#This Row],[Sold]]&gt;1000,"High Quality","Normal Quality")</f>
        <v>Normal Quality</v>
      </c>
      <c r="H336" s="12">
        <v>45372.845578703702</v>
      </c>
      <c r="I336" t="s">
        <v>290</v>
      </c>
      <c r="J336" t="s">
        <v>506</v>
      </c>
      <c r="K336" t="s">
        <v>118</v>
      </c>
    </row>
    <row r="337" spans="1:11" x14ac:dyDescent="0.35">
      <c r="A337" t="s">
        <v>250</v>
      </c>
      <c r="B337" t="s">
        <v>3</v>
      </c>
      <c r="C337" s="27">
        <v>24.43</v>
      </c>
      <c r="D337">
        <v>12</v>
      </c>
      <c r="E337">
        <v>4</v>
      </c>
      <c r="F337" s="4">
        <f t="shared" si="5"/>
        <v>97.72</v>
      </c>
      <c r="G337" t="str">
        <f>IF(Table2[[#This Row],[Sold]]&gt;1000,"High Quality","Normal Quality")</f>
        <v>Normal Quality</v>
      </c>
      <c r="H337" s="12">
        <v>45372.859953703701</v>
      </c>
      <c r="I337" t="s">
        <v>509</v>
      </c>
      <c r="J337" t="s">
        <v>505</v>
      </c>
      <c r="K337" t="s">
        <v>118</v>
      </c>
    </row>
    <row r="338" spans="1:11" x14ac:dyDescent="0.35">
      <c r="A338" t="s">
        <v>4</v>
      </c>
      <c r="B338" t="s">
        <v>3</v>
      </c>
      <c r="C338" s="27">
        <v>46.99</v>
      </c>
      <c r="D338">
        <v>10</v>
      </c>
      <c r="E338">
        <v>15</v>
      </c>
      <c r="F338" s="4">
        <f t="shared" si="5"/>
        <v>704.85</v>
      </c>
      <c r="G338" t="str">
        <f>IF(Table2[[#This Row],[Sold]]&gt;1000,"High Quality","Normal Quality")</f>
        <v>Normal Quality</v>
      </c>
      <c r="H338" s="12">
        <v>45372.927777777775</v>
      </c>
      <c r="I338" t="s">
        <v>509</v>
      </c>
      <c r="J338" t="s">
        <v>505</v>
      </c>
      <c r="K338" t="s">
        <v>118</v>
      </c>
    </row>
    <row r="339" spans="1:11" x14ac:dyDescent="0.35">
      <c r="A339" t="s">
        <v>212</v>
      </c>
      <c r="B339" t="s">
        <v>37</v>
      </c>
      <c r="C339" s="27">
        <v>16.82</v>
      </c>
      <c r="D339">
        <v>2</v>
      </c>
      <c r="E339">
        <v>1992</v>
      </c>
      <c r="F339" s="4">
        <f t="shared" si="5"/>
        <v>33505.440000000002</v>
      </c>
      <c r="G339" t="str">
        <f>IF(Table2[[#This Row],[Sold]]&gt;1000,"High Quality","Normal Quality")</f>
        <v>High Quality</v>
      </c>
      <c r="H339" s="12">
        <v>45372.936678240738</v>
      </c>
      <c r="I339" t="s">
        <v>290</v>
      </c>
      <c r="J339" t="s">
        <v>506</v>
      </c>
      <c r="K339" t="s">
        <v>118</v>
      </c>
    </row>
    <row r="340" spans="1:11" x14ac:dyDescent="0.35">
      <c r="A340" t="s">
        <v>133</v>
      </c>
      <c r="B340" t="s">
        <v>3</v>
      </c>
      <c r="C340" s="27">
        <v>44.93</v>
      </c>
      <c r="D340">
        <v>4</v>
      </c>
      <c r="E340">
        <v>2098</v>
      </c>
      <c r="F340" s="4">
        <f t="shared" si="5"/>
        <v>94263.14</v>
      </c>
      <c r="G340" t="str">
        <f>IF(Table2[[#This Row],[Sold]]&gt;1000,"High Quality","Normal Quality")</f>
        <v>High Quality</v>
      </c>
      <c r="H340" s="12">
        <v>45372.943923611114</v>
      </c>
      <c r="I340" t="s">
        <v>291</v>
      </c>
      <c r="J340" t="s">
        <v>274</v>
      </c>
      <c r="K340" t="s">
        <v>118</v>
      </c>
    </row>
    <row r="341" spans="1:11" x14ac:dyDescent="0.35">
      <c r="A341" t="s">
        <v>98</v>
      </c>
      <c r="B341" t="s">
        <v>1</v>
      </c>
      <c r="C341" s="27">
        <v>30.93</v>
      </c>
      <c r="D341">
        <v>6</v>
      </c>
      <c r="E341">
        <v>998</v>
      </c>
      <c r="F341" s="4">
        <f t="shared" si="5"/>
        <v>30868.14</v>
      </c>
      <c r="G341" t="str">
        <f>IF(Table2[[#This Row],[Sold]]&gt;1000,"High Quality","Normal Quality")</f>
        <v>Normal Quality</v>
      </c>
      <c r="H341" s="12">
        <v>45372.94394675926</v>
      </c>
      <c r="I341" t="s">
        <v>291</v>
      </c>
      <c r="J341" t="s">
        <v>274</v>
      </c>
      <c r="K341" t="s">
        <v>118</v>
      </c>
    </row>
    <row r="342" spans="1:11" x14ac:dyDescent="0.35">
      <c r="A342" t="s">
        <v>39</v>
      </c>
      <c r="B342" t="s">
        <v>1</v>
      </c>
      <c r="C342" s="27">
        <v>126.99</v>
      </c>
      <c r="D342">
        <v>10</v>
      </c>
      <c r="E342">
        <v>32</v>
      </c>
      <c r="F342" s="4">
        <f t="shared" si="5"/>
        <v>4063.68</v>
      </c>
      <c r="G342" t="str">
        <f>IF(Table2[[#This Row],[Sold]]&gt;1000,"High Quality","Normal Quality")</f>
        <v>Normal Quality</v>
      </c>
      <c r="H342" s="12">
        <v>45372.944675925923</v>
      </c>
      <c r="I342" t="s">
        <v>544</v>
      </c>
      <c r="J342" t="s">
        <v>317</v>
      </c>
      <c r="K342" t="s">
        <v>333</v>
      </c>
    </row>
    <row r="343" spans="1:11" x14ac:dyDescent="0.35">
      <c r="A343" t="s">
        <v>16</v>
      </c>
      <c r="B343" t="s">
        <v>3</v>
      </c>
      <c r="C343" s="27">
        <v>40.590000000000003</v>
      </c>
      <c r="D343">
        <v>2</v>
      </c>
      <c r="E343">
        <v>2934</v>
      </c>
      <c r="F343" s="4">
        <f t="shared" si="5"/>
        <v>119091.06000000001</v>
      </c>
      <c r="G343" t="str">
        <f>IF(Table2[[#This Row],[Sold]]&gt;1000,"High Quality","Normal Quality")</f>
        <v>High Quality</v>
      </c>
      <c r="H343" s="12">
        <v>45372.952453703707</v>
      </c>
      <c r="I343" t="s">
        <v>291</v>
      </c>
      <c r="J343" t="s">
        <v>274</v>
      </c>
      <c r="K343" t="s">
        <v>118</v>
      </c>
    </row>
    <row r="344" spans="1:11" x14ac:dyDescent="0.35">
      <c r="A344" t="s">
        <v>26</v>
      </c>
      <c r="B344" t="s">
        <v>3</v>
      </c>
      <c r="C344" s="27">
        <v>31.08</v>
      </c>
      <c r="D344">
        <v>60</v>
      </c>
      <c r="E344">
        <v>1362</v>
      </c>
      <c r="F344" s="4">
        <f t="shared" si="5"/>
        <v>42330.96</v>
      </c>
      <c r="G344" t="str">
        <f>IF(Table2[[#This Row],[Sold]]&gt;1000,"High Quality","Normal Quality")</f>
        <v>High Quality</v>
      </c>
      <c r="H344" s="12">
        <v>45372.969282407408</v>
      </c>
      <c r="I344" t="s">
        <v>291</v>
      </c>
      <c r="J344" t="s">
        <v>274</v>
      </c>
      <c r="K344" t="s">
        <v>118</v>
      </c>
    </row>
    <row r="345" spans="1:11" x14ac:dyDescent="0.35">
      <c r="A345" t="s">
        <v>9</v>
      </c>
      <c r="B345" t="s">
        <v>3</v>
      </c>
      <c r="C345" s="27">
        <v>44.99</v>
      </c>
      <c r="D345">
        <v>10</v>
      </c>
      <c r="E345">
        <v>14</v>
      </c>
      <c r="F345" s="4">
        <f t="shared" si="5"/>
        <v>629.86</v>
      </c>
      <c r="G345" t="str">
        <f>IF(Table2[[#This Row],[Sold]]&gt;1000,"High Quality","Normal Quality")</f>
        <v>Normal Quality</v>
      </c>
      <c r="H345" s="12">
        <v>45372.969456018516</v>
      </c>
      <c r="I345" t="s">
        <v>280</v>
      </c>
      <c r="J345" t="s">
        <v>266</v>
      </c>
      <c r="K345" t="s">
        <v>118</v>
      </c>
    </row>
    <row r="346" spans="1:11" x14ac:dyDescent="0.35">
      <c r="A346" t="s">
        <v>20</v>
      </c>
      <c r="B346" t="s">
        <v>1</v>
      </c>
      <c r="C346" s="27">
        <v>24.35</v>
      </c>
      <c r="D346">
        <v>10</v>
      </c>
      <c r="E346">
        <v>692</v>
      </c>
      <c r="F346" s="4">
        <f t="shared" si="5"/>
        <v>16850.2</v>
      </c>
      <c r="G346" t="str">
        <f>IF(Table2[[#This Row],[Sold]]&gt;1000,"High Quality","Normal Quality")</f>
        <v>Normal Quality</v>
      </c>
      <c r="H346" s="12">
        <v>45372.970937500002</v>
      </c>
      <c r="I346" t="s">
        <v>291</v>
      </c>
      <c r="J346" t="s">
        <v>274</v>
      </c>
      <c r="K346" t="s">
        <v>118</v>
      </c>
    </row>
    <row r="347" spans="1:11" x14ac:dyDescent="0.35">
      <c r="A347" t="s">
        <v>13</v>
      </c>
      <c r="B347" t="s">
        <v>1</v>
      </c>
      <c r="C347" s="27">
        <v>99.99</v>
      </c>
      <c r="D347">
        <v>0</v>
      </c>
      <c r="E347">
        <v>50</v>
      </c>
      <c r="F347" s="4">
        <f t="shared" si="5"/>
        <v>4999.5</v>
      </c>
      <c r="G347" t="str">
        <f>IF(Table2[[#This Row],[Sold]]&gt;1000,"High Quality","Normal Quality")</f>
        <v>Normal Quality</v>
      </c>
      <c r="H347" s="12">
        <v>45372.983680555553</v>
      </c>
      <c r="I347" t="s">
        <v>369</v>
      </c>
      <c r="J347" t="s">
        <v>506</v>
      </c>
      <c r="K347" t="s">
        <v>118</v>
      </c>
    </row>
    <row r="348" spans="1:11" x14ac:dyDescent="0.35">
      <c r="A348" t="s">
        <v>13</v>
      </c>
      <c r="B348" t="s">
        <v>3</v>
      </c>
      <c r="C348" s="27">
        <v>40.99</v>
      </c>
      <c r="D348">
        <v>3</v>
      </c>
      <c r="E348">
        <v>37</v>
      </c>
      <c r="F348" s="4">
        <f t="shared" si="5"/>
        <v>1516.63</v>
      </c>
      <c r="G348" t="str">
        <f>IF(Table2[[#This Row],[Sold]]&gt;1000,"High Quality","Normal Quality")</f>
        <v>Normal Quality</v>
      </c>
      <c r="H348" s="12">
        <v>45373.01798611111</v>
      </c>
      <c r="I348" t="s">
        <v>293</v>
      </c>
      <c r="J348" t="s">
        <v>505</v>
      </c>
      <c r="K348" t="s">
        <v>118</v>
      </c>
    </row>
    <row r="349" spans="1:11" x14ac:dyDescent="0.35">
      <c r="A349" t="s">
        <v>149</v>
      </c>
      <c r="B349" t="s">
        <v>1</v>
      </c>
      <c r="C349" s="27">
        <v>11.99</v>
      </c>
      <c r="D349">
        <v>8</v>
      </c>
      <c r="E349">
        <v>442</v>
      </c>
      <c r="F349" s="4">
        <f t="shared" si="5"/>
        <v>5299.58</v>
      </c>
      <c r="G349" t="str">
        <f>IF(Table2[[#This Row],[Sold]]&gt;1000,"High Quality","Normal Quality")</f>
        <v>Normal Quality</v>
      </c>
      <c r="H349" s="12">
        <v>45373.040231481478</v>
      </c>
      <c r="I349" t="s">
        <v>429</v>
      </c>
      <c r="J349" t="s">
        <v>286</v>
      </c>
      <c r="K349" t="s">
        <v>118</v>
      </c>
    </row>
    <row r="350" spans="1:11" x14ac:dyDescent="0.35">
      <c r="A350" t="s">
        <v>13</v>
      </c>
      <c r="B350" t="s">
        <v>1</v>
      </c>
      <c r="C350" s="27">
        <v>82.99</v>
      </c>
      <c r="D350">
        <v>19</v>
      </c>
      <c r="E350">
        <v>2</v>
      </c>
      <c r="F350" s="4">
        <f t="shared" si="5"/>
        <v>165.98</v>
      </c>
      <c r="G350" t="str">
        <f>IF(Table2[[#This Row],[Sold]]&gt;1000,"High Quality","Normal Quality")</f>
        <v>Normal Quality</v>
      </c>
      <c r="H350" s="12">
        <v>45373.047233796293</v>
      </c>
      <c r="I350" t="s">
        <v>506</v>
      </c>
      <c r="J350" t="s">
        <v>505</v>
      </c>
      <c r="K350" t="s">
        <v>118</v>
      </c>
    </row>
    <row r="351" spans="1:11" x14ac:dyDescent="0.35">
      <c r="A351" t="s">
        <v>0</v>
      </c>
      <c r="B351" t="s">
        <v>3</v>
      </c>
      <c r="C351" s="27">
        <v>89.98</v>
      </c>
      <c r="D351">
        <v>9</v>
      </c>
      <c r="E351">
        <v>1243</v>
      </c>
      <c r="F351" s="4">
        <f t="shared" si="5"/>
        <v>111845.14</v>
      </c>
      <c r="G351" t="str">
        <f>IF(Table2[[#This Row],[Sold]]&gt;1000,"High Quality","Normal Quality")</f>
        <v>High Quality</v>
      </c>
      <c r="H351" s="12">
        <v>45373.082662037035</v>
      </c>
      <c r="I351" t="s">
        <v>290</v>
      </c>
      <c r="J351" t="s">
        <v>506</v>
      </c>
      <c r="K351" t="s">
        <v>118</v>
      </c>
    </row>
    <row r="352" spans="1:11" x14ac:dyDescent="0.35">
      <c r="A352" t="s">
        <v>33</v>
      </c>
      <c r="B352" t="s">
        <v>37</v>
      </c>
      <c r="C352" s="27">
        <v>17.89</v>
      </c>
      <c r="D352">
        <v>10</v>
      </c>
      <c r="E352">
        <v>68</v>
      </c>
      <c r="F352" s="4">
        <f t="shared" si="5"/>
        <v>1216.52</v>
      </c>
      <c r="G352" t="str">
        <f>IF(Table2[[#This Row],[Sold]]&gt;1000,"High Quality","Normal Quality")</f>
        <v>Normal Quality</v>
      </c>
      <c r="H352" s="12">
        <v>45373.094074074077</v>
      </c>
      <c r="I352" t="s">
        <v>363</v>
      </c>
      <c r="J352" t="s">
        <v>506</v>
      </c>
      <c r="K352" t="s">
        <v>118</v>
      </c>
    </row>
    <row r="353" spans="1:11" x14ac:dyDescent="0.35">
      <c r="A353" t="s">
        <v>205</v>
      </c>
      <c r="B353" t="s">
        <v>37</v>
      </c>
      <c r="C353" s="27">
        <v>23.95</v>
      </c>
      <c r="D353">
        <v>0</v>
      </c>
      <c r="E353">
        <v>78</v>
      </c>
      <c r="F353" s="4">
        <f t="shared" si="5"/>
        <v>1868.1</v>
      </c>
      <c r="G353" t="str">
        <f>IF(Table2[[#This Row],[Sold]]&gt;1000,"High Quality","Normal Quality")</f>
        <v>Normal Quality</v>
      </c>
      <c r="H353" s="12">
        <v>45373.164988425924</v>
      </c>
      <c r="I353" t="s">
        <v>358</v>
      </c>
      <c r="J353" t="s">
        <v>274</v>
      </c>
      <c r="K353" t="s">
        <v>118</v>
      </c>
    </row>
    <row r="354" spans="1:11" x14ac:dyDescent="0.35">
      <c r="A354" t="s">
        <v>10</v>
      </c>
      <c r="B354" t="s">
        <v>1</v>
      </c>
      <c r="C354" s="27">
        <v>28.95</v>
      </c>
      <c r="D354">
        <v>0</v>
      </c>
      <c r="E354">
        <v>81</v>
      </c>
      <c r="F354" s="4">
        <f t="shared" si="5"/>
        <v>2344.9499999999998</v>
      </c>
      <c r="G354" t="str">
        <f>IF(Table2[[#This Row],[Sold]]&gt;1000,"High Quality","Normal Quality")</f>
        <v>Normal Quality</v>
      </c>
      <c r="H354" s="12">
        <v>45373.165972222225</v>
      </c>
      <c r="I354" t="s">
        <v>358</v>
      </c>
      <c r="J354" t="s">
        <v>274</v>
      </c>
      <c r="K354" t="s">
        <v>118</v>
      </c>
    </row>
    <row r="355" spans="1:11" x14ac:dyDescent="0.35">
      <c r="A355" t="s">
        <v>17</v>
      </c>
      <c r="B355" t="s">
        <v>1</v>
      </c>
      <c r="C355" s="27">
        <v>14.95</v>
      </c>
      <c r="D355">
        <v>5</v>
      </c>
      <c r="E355">
        <v>79</v>
      </c>
      <c r="F355" s="4">
        <f t="shared" si="5"/>
        <v>1181.05</v>
      </c>
      <c r="G355" t="str">
        <f>IF(Table2[[#This Row],[Sold]]&gt;1000,"High Quality","Normal Quality")</f>
        <v>Normal Quality</v>
      </c>
      <c r="H355" s="12">
        <v>45373.166192129633</v>
      </c>
      <c r="I355" t="s">
        <v>358</v>
      </c>
      <c r="J355" t="s">
        <v>274</v>
      </c>
      <c r="K355" t="s">
        <v>118</v>
      </c>
    </row>
    <row r="356" spans="1:11" x14ac:dyDescent="0.35">
      <c r="A356" t="s">
        <v>41</v>
      </c>
      <c r="B356" t="s">
        <v>3</v>
      </c>
      <c r="C356" s="27">
        <v>69.25</v>
      </c>
      <c r="D356">
        <v>50</v>
      </c>
      <c r="E356">
        <v>19</v>
      </c>
      <c r="F356" s="4">
        <f t="shared" si="5"/>
        <v>1315.75</v>
      </c>
      <c r="G356" t="str">
        <f>IF(Table2[[#This Row],[Sold]]&gt;1000,"High Quality","Normal Quality")</f>
        <v>Normal Quality</v>
      </c>
      <c r="H356" s="12">
        <v>45373.20140046296</v>
      </c>
      <c r="I356" t="s">
        <v>500</v>
      </c>
      <c r="J356" t="s">
        <v>507</v>
      </c>
      <c r="K356" t="s">
        <v>118</v>
      </c>
    </row>
    <row r="357" spans="1:11" x14ac:dyDescent="0.35">
      <c r="A357" t="s">
        <v>48</v>
      </c>
      <c r="B357" t="s">
        <v>1</v>
      </c>
      <c r="C357" s="27">
        <v>37.5</v>
      </c>
      <c r="D357">
        <v>4</v>
      </c>
      <c r="E357">
        <v>30</v>
      </c>
      <c r="F357" s="4">
        <f t="shared" si="5"/>
        <v>1125</v>
      </c>
      <c r="G357" t="str">
        <f>IF(Table2[[#This Row],[Sold]]&gt;1000,"High Quality","Normal Quality")</f>
        <v>Normal Quality</v>
      </c>
      <c r="H357" s="12">
        <v>45373.201967592591</v>
      </c>
      <c r="I357" t="s">
        <v>338</v>
      </c>
      <c r="J357" t="s">
        <v>506</v>
      </c>
      <c r="K357" t="s">
        <v>118</v>
      </c>
    </row>
    <row r="358" spans="1:11" x14ac:dyDescent="0.35">
      <c r="A358" t="s">
        <v>62</v>
      </c>
      <c r="B358" t="s">
        <v>1</v>
      </c>
      <c r="C358" s="27">
        <v>113.98</v>
      </c>
      <c r="D358">
        <v>0</v>
      </c>
      <c r="E358">
        <v>755</v>
      </c>
      <c r="F358" s="4">
        <f t="shared" si="5"/>
        <v>86054.900000000009</v>
      </c>
      <c r="G358" t="str">
        <f>IF(Table2[[#This Row],[Sold]]&gt;1000,"High Quality","Normal Quality")</f>
        <v>Normal Quality</v>
      </c>
      <c r="H358" s="12">
        <v>45373.208055555559</v>
      </c>
      <c r="I358" t="s">
        <v>511</v>
      </c>
      <c r="J358" t="s">
        <v>274</v>
      </c>
      <c r="K358" t="s">
        <v>118</v>
      </c>
    </row>
    <row r="359" spans="1:11" x14ac:dyDescent="0.35">
      <c r="A359" t="s">
        <v>128</v>
      </c>
      <c r="B359" t="s">
        <v>3</v>
      </c>
      <c r="C359" s="27">
        <v>20.25</v>
      </c>
      <c r="D359">
        <v>10</v>
      </c>
      <c r="E359">
        <v>24</v>
      </c>
      <c r="F359" s="4">
        <f t="shared" si="5"/>
        <v>486</v>
      </c>
      <c r="G359" t="str">
        <f>IF(Table2[[#This Row],[Sold]]&gt;1000,"High Quality","Normal Quality")</f>
        <v>Normal Quality</v>
      </c>
      <c r="H359" s="12">
        <v>45373.221018518518</v>
      </c>
      <c r="I359" t="s">
        <v>506</v>
      </c>
      <c r="J359" t="s">
        <v>505</v>
      </c>
      <c r="K359" t="s">
        <v>118</v>
      </c>
    </row>
    <row r="360" spans="1:11" x14ac:dyDescent="0.35">
      <c r="A360" t="s">
        <v>0</v>
      </c>
      <c r="B360" t="s">
        <v>3</v>
      </c>
      <c r="C360" s="27">
        <v>84.99</v>
      </c>
      <c r="D360">
        <v>8</v>
      </c>
      <c r="E360">
        <v>13</v>
      </c>
      <c r="F360" s="4">
        <f t="shared" si="5"/>
        <v>1104.8699999999999</v>
      </c>
      <c r="G360" t="str">
        <f>IF(Table2[[#This Row],[Sold]]&gt;1000,"High Quality","Normal Quality")</f>
        <v>Normal Quality</v>
      </c>
      <c r="H360" s="12">
        <v>45373.233252314814</v>
      </c>
      <c r="I360" t="s">
        <v>280</v>
      </c>
      <c r="J360" t="s">
        <v>266</v>
      </c>
      <c r="K360" t="s">
        <v>118</v>
      </c>
    </row>
    <row r="361" spans="1:11" x14ac:dyDescent="0.35">
      <c r="A361" t="s">
        <v>4</v>
      </c>
      <c r="B361" t="s">
        <v>3</v>
      </c>
      <c r="C361" s="27">
        <v>44.99</v>
      </c>
      <c r="D361">
        <v>8</v>
      </c>
      <c r="E361">
        <v>19</v>
      </c>
      <c r="F361" s="4">
        <f t="shared" si="5"/>
        <v>854.81000000000006</v>
      </c>
      <c r="G361" t="str">
        <f>IF(Table2[[#This Row],[Sold]]&gt;1000,"High Quality","Normal Quality")</f>
        <v>Normal Quality</v>
      </c>
      <c r="H361" s="12">
        <v>45373.236307870371</v>
      </c>
      <c r="I361" t="s">
        <v>280</v>
      </c>
      <c r="J361" t="s">
        <v>266</v>
      </c>
      <c r="K361" t="s">
        <v>118</v>
      </c>
    </row>
    <row r="362" spans="1:11" x14ac:dyDescent="0.35">
      <c r="A362" t="s">
        <v>98</v>
      </c>
      <c r="B362" t="s">
        <v>1</v>
      </c>
      <c r="C362" s="27">
        <v>38.53</v>
      </c>
      <c r="D362">
        <v>10</v>
      </c>
      <c r="E362">
        <v>12</v>
      </c>
      <c r="F362" s="4">
        <f t="shared" si="5"/>
        <v>462.36</v>
      </c>
      <c r="G362" t="str">
        <f>IF(Table2[[#This Row],[Sold]]&gt;1000,"High Quality","Normal Quality")</f>
        <v>Normal Quality</v>
      </c>
      <c r="H362" s="12">
        <v>45373.247604166667</v>
      </c>
      <c r="I362" t="s">
        <v>509</v>
      </c>
      <c r="J362" t="s">
        <v>505</v>
      </c>
      <c r="K362" t="s">
        <v>118</v>
      </c>
    </row>
    <row r="363" spans="1:11" x14ac:dyDescent="0.35">
      <c r="A363" t="s">
        <v>24</v>
      </c>
      <c r="B363" t="s">
        <v>1</v>
      </c>
      <c r="C363" s="27">
        <v>62.08</v>
      </c>
      <c r="D363">
        <v>0</v>
      </c>
      <c r="E363">
        <v>950</v>
      </c>
      <c r="F363" s="4">
        <f t="shared" si="5"/>
        <v>58976</v>
      </c>
      <c r="G363" t="str">
        <f>IF(Table2[[#This Row],[Sold]]&gt;1000,"High Quality","Normal Quality")</f>
        <v>Normal Quality</v>
      </c>
      <c r="H363" s="12">
        <v>45373.250023148146</v>
      </c>
      <c r="I363" t="s">
        <v>290</v>
      </c>
      <c r="J363" t="s">
        <v>506</v>
      </c>
      <c r="K363" t="s">
        <v>118</v>
      </c>
    </row>
    <row r="364" spans="1:11" x14ac:dyDescent="0.35">
      <c r="A364" t="s">
        <v>15</v>
      </c>
      <c r="B364" t="s">
        <v>1</v>
      </c>
      <c r="C364" s="27">
        <v>54.26</v>
      </c>
      <c r="D364">
        <v>0</v>
      </c>
      <c r="E364">
        <v>2550</v>
      </c>
      <c r="F364" s="4">
        <f t="shared" si="5"/>
        <v>138363</v>
      </c>
      <c r="G364" t="str">
        <f>IF(Table2[[#This Row],[Sold]]&gt;1000,"High Quality","Normal Quality")</f>
        <v>High Quality</v>
      </c>
      <c r="H364" s="12">
        <v>45373.250104166669</v>
      </c>
      <c r="I364" t="s">
        <v>290</v>
      </c>
      <c r="J364" t="s">
        <v>506</v>
      </c>
      <c r="K364" t="s">
        <v>118</v>
      </c>
    </row>
    <row r="365" spans="1:11" x14ac:dyDescent="0.35">
      <c r="A365" t="s">
        <v>241</v>
      </c>
      <c r="B365" t="s">
        <v>1</v>
      </c>
      <c r="C365" s="27">
        <v>29.13</v>
      </c>
      <c r="D365">
        <v>53</v>
      </c>
      <c r="E365">
        <v>13</v>
      </c>
      <c r="F365" s="4">
        <f t="shared" si="5"/>
        <v>378.69</v>
      </c>
      <c r="G365" t="str">
        <f>IF(Table2[[#This Row],[Sold]]&gt;1000,"High Quality","Normal Quality")</f>
        <v>Normal Quality</v>
      </c>
      <c r="H365" s="12">
        <v>45373.314386574071</v>
      </c>
      <c r="I365" t="s">
        <v>509</v>
      </c>
      <c r="J365" t="s">
        <v>505</v>
      </c>
      <c r="K365" t="s">
        <v>118</v>
      </c>
    </row>
    <row r="366" spans="1:11" x14ac:dyDescent="0.35">
      <c r="A366" t="s">
        <v>154</v>
      </c>
      <c r="B366" t="s">
        <v>1</v>
      </c>
      <c r="C366" s="27">
        <v>166.18</v>
      </c>
      <c r="D366">
        <v>10</v>
      </c>
      <c r="E366">
        <v>78</v>
      </c>
      <c r="F366" s="4">
        <f t="shared" si="5"/>
        <v>12962.04</v>
      </c>
      <c r="G366" t="str">
        <f>IF(Table2[[#This Row],[Sold]]&gt;1000,"High Quality","Normal Quality")</f>
        <v>Normal Quality</v>
      </c>
      <c r="H366" s="12">
        <v>45373.315694444442</v>
      </c>
      <c r="I366" t="s">
        <v>290</v>
      </c>
      <c r="J366" t="s">
        <v>506</v>
      </c>
      <c r="K366" t="s">
        <v>118</v>
      </c>
    </row>
    <row r="367" spans="1:11" x14ac:dyDescent="0.35">
      <c r="A367" t="s">
        <v>209</v>
      </c>
      <c r="B367" t="s">
        <v>3</v>
      </c>
      <c r="C367" s="27">
        <v>76.989999999999995</v>
      </c>
      <c r="D367">
        <v>0</v>
      </c>
      <c r="E367">
        <v>33</v>
      </c>
      <c r="F367" s="4">
        <f t="shared" si="5"/>
        <v>2540.6699999999996</v>
      </c>
      <c r="G367" t="str">
        <f>IF(Table2[[#This Row],[Sold]]&gt;1000,"High Quality","Normal Quality")</f>
        <v>Normal Quality</v>
      </c>
      <c r="H367" s="12">
        <v>45373.325856481482</v>
      </c>
      <c r="I367" t="s">
        <v>511</v>
      </c>
      <c r="J367" t="s">
        <v>274</v>
      </c>
      <c r="K367" t="s">
        <v>118</v>
      </c>
    </row>
    <row r="368" spans="1:11" x14ac:dyDescent="0.35">
      <c r="A368" t="s">
        <v>258</v>
      </c>
      <c r="B368" t="s">
        <v>259</v>
      </c>
      <c r="C368" s="27">
        <v>8</v>
      </c>
      <c r="D368">
        <v>10</v>
      </c>
      <c r="E368">
        <v>1113</v>
      </c>
      <c r="F368" s="4">
        <f t="shared" si="5"/>
        <v>8904</v>
      </c>
      <c r="G368" t="str">
        <f>IF(Table2[[#This Row],[Sold]]&gt;1000,"High Quality","Normal Quality")</f>
        <v>High Quality</v>
      </c>
      <c r="H368" s="12">
        <v>45373.348692129628</v>
      </c>
      <c r="I368" t="s">
        <v>404</v>
      </c>
      <c r="J368" t="s">
        <v>286</v>
      </c>
      <c r="K368" t="s">
        <v>118</v>
      </c>
    </row>
    <row r="369" spans="1:11" x14ac:dyDescent="0.35">
      <c r="A369" t="s">
        <v>36</v>
      </c>
      <c r="B369" t="s">
        <v>37</v>
      </c>
      <c r="C369" s="27">
        <v>44.99</v>
      </c>
      <c r="D369">
        <v>36</v>
      </c>
      <c r="E369">
        <v>38</v>
      </c>
      <c r="F369" s="4">
        <f t="shared" si="5"/>
        <v>1709.6200000000001</v>
      </c>
      <c r="G369" t="str">
        <f>IF(Table2[[#This Row],[Sold]]&gt;1000,"High Quality","Normal Quality")</f>
        <v>Normal Quality</v>
      </c>
      <c r="H369" s="12">
        <v>45373.353449074071</v>
      </c>
      <c r="I369" t="s">
        <v>278</v>
      </c>
      <c r="J369" t="s">
        <v>266</v>
      </c>
      <c r="K369" t="s">
        <v>118</v>
      </c>
    </row>
    <row r="370" spans="1:11" x14ac:dyDescent="0.35">
      <c r="A370" t="s">
        <v>50</v>
      </c>
      <c r="B370" t="s">
        <v>3</v>
      </c>
      <c r="C370" s="27">
        <v>51.99</v>
      </c>
      <c r="D370">
        <v>10</v>
      </c>
      <c r="E370">
        <v>73</v>
      </c>
      <c r="F370" s="4">
        <f t="shared" si="5"/>
        <v>3795.27</v>
      </c>
      <c r="G370" t="str">
        <f>IF(Table2[[#This Row],[Sold]]&gt;1000,"High Quality","Normal Quality")</f>
        <v>Normal Quality</v>
      </c>
      <c r="H370" s="12">
        <v>45373.353564814817</v>
      </c>
      <c r="I370" t="s">
        <v>278</v>
      </c>
      <c r="J370" t="s">
        <v>266</v>
      </c>
      <c r="K370" t="s">
        <v>118</v>
      </c>
    </row>
    <row r="371" spans="1:11" x14ac:dyDescent="0.35">
      <c r="A371" t="s">
        <v>10</v>
      </c>
      <c r="B371" t="s">
        <v>3</v>
      </c>
      <c r="C371" s="27">
        <v>29.99</v>
      </c>
      <c r="D371">
        <v>10</v>
      </c>
      <c r="E371">
        <v>51</v>
      </c>
      <c r="F371" s="4">
        <f t="shared" si="5"/>
        <v>1529.49</v>
      </c>
      <c r="G371" t="str">
        <f>IF(Table2[[#This Row],[Sold]]&gt;1000,"High Quality","Normal Quality")</f>
        <v>Normal Quality</v>
      </c>
      <c r="H371" s="12">
        <v>45373.353645833333</v>
      </c>
      <c r="I371" t="s">
        <v>278</v>
      </c>
      <c r="J371" t="s">
        <v>266</v>
      </c>
      <c r="K371" t="s">
        <v>118</v>
      </c>
    </row>
    <row r="372" spans="1:11" x14ac:dyDescent="0.35">
      <c r="A372" t="s">
        <v>231</v>
      </c>
      <c r="B372" t="s">
        <v>3</v>
      </c>
      <c r="C372" s="27">
        <v>71.98</v>
      </c>
      <c r="D372">
        <v>0</v>
      </c>
      <c r="E372">
        <v>2153</v>
      </c>
      <c r="F372" s="4">
        <f t="shared" si="5"/>
        <v>154972.94</v>
      </c>
      <c r="G372" t="str">
        <f>IF(Table2[[#This Row],[Sold]]&gt;1000,"High Quality","Normal Quality")</f>
        <v>High Quality</v>
      </c>
      <c r="H372" s="12">
        <v>45373.355081018519</v>
      </c>
      <c r="I372" t="s">
        <v>290</v>
      </c>
      <c r="J372" t="s">
        <v>506</v>
      </c>
      <c r="K372" t="s">
        <v>118</v>
      </c>
    </row>
    <row r="373" spans="1:11" x14ac:dyDescent="0.35">
      <c r="A373" t="s">
        <v>24</v>
      </c>
      <c r="B373" t="s">
        <v>1</v>
      </c>
      <c r="C373" s="27">
        <v>52.94</v>
      </c>
      <c r="D373">
        <v>0</v>
      </c>
      <c r="E373">
        <v>100</v>
      </c>
      <c r="F373" s="4">
        <f t="shared" si="5"/>
        <v>5294</v>
      </c>
      <c r="G373" t="str">
        <f>IF(Table2[[#This Row],[Sold]]&gt;1000,"High Quality","Normal Quality")</f>
        <v>Normal Quality</v>
      </c>
      <c r="H373" s="12">
        <v>45373.361180555556</v>
      </c>
      <c r="I373" t="s">
        <v>290</v>
      </c>
      <c r="J373" t="s">
        <v>506</v>
      </c>
      <c r="K373" t="s">
        <v>118</v>
      </c>
    </row>
    <row r="374" spans="1:11" x14ac:dyDescent="0.35">
      <c r="A374" t="s">
        <v>4</v>
      </c>
      <c r="B374" t="s">
        <v>3</v>
      </c>
      <c r="C374" s="27">
        <v>29.99</v>
      </c>
      <c r="D374">
        <v>5</v>
      </c>
      <c r="E374">
        <v>9</v>
      </c>
      <c r="F374" s="4">
        <f t="shared" si="5"/>
        <v>269.90999999999997</v>
      </c>
      <c r="G374" t="str">
        <f>IF(Table2[[#This Row],[Sold]]&gt;1000,"High Quality","Normal Quality")</f>
        <v>Normal Quality</v>
      </c>
      <c r="H374" s="12">
        <v>45373.366273148145</v>
      </c>
      <c r="I374" t="s">
        <v>279</v>
      </c>
      <c r="J374" t="s">
        <v>266</v>
      </c>
      <c r="K374" t="s">
        <v>118</v>
      </c>
    </row>
    <row r="375" spans="1:11" x14ac:dyDescent="0.35">
      <c r="A375" t="s">
        <v>38</v>
      </c>
      <c r="B375" t="s">
        <v>3</v>
      </c>
      <c r="C375" s="27">
        <v>22.87</v>
      </c>
      <c r="D375">
        <v>6</v>
      </c>
      <c r="E375">
        <v>440</v>
      </c>
      <c r="F375" s="4">
        <f t="shared" si="5"/>
        <v>10062.800000000001</v>
      </c>
      <c r="G375" t="str">
        <f>IF(Table2[[#This Row],[Sold]]&gt;1000,"High Quality","Normal Quality")</f>
        <v>Normal Quality</v>
      </c>
      <c r="H375" s="12">
        <v>45373.381365740737</v>
      </c>
      <c r="I375" t="s">
        <v>291</v>
      </c>
      <c r="J375" t="s">
        <v>274</v>
      </c>
      <c r="K375" t="s">
        <v>118</v>
      </c>
    </row>
    <row r="376" spans="1:11" x14ac:dyDescent="0.35">
      <c r="A376" t="s">
        <v>0</v>
      </c>
      <c r="B376" t="s">
        <v>262</v>
      </c>
      <c r="C376" s="27">
        <v>89.99</v>
      </c>
      <c r="D376">
        <v>6</v>
      </c>
      <c r="E376">
        <v>129</v>
      </c>
      <c r="F376" s="4">
        <f t="shared" si="5"/>
        <v>11608.71</v>
      </c>
      <c r="G376" t="str">
        <f>IF(Table2[[#This Row],[Sold]]&gt;1000,"High Quality","Normal Quality")</f>
        <v>Normal Quality</v>
      </c>
      <c r="H376" s="12">
        <v>45373.386817129627</v>
      </c>
      <c r="I376" t="s">
        <v>411</v>
      </c>
      <c r="J376" t="s">
        <v>506</v>
      </c>
      <c r="K376" t="s">
        <v>118</v>
      </c>
    </row>
    <row r="377" spans="1:11" x14ac:dyDescent="0.35">
      <c r="A377" t="s">
        <v>132</v>
      </c>
      <c r="B377" t="s">
        <v>1</v>
      </c>
      <c r="C377" s="27">
        <v>69.97</v>
      </c>
      <c r="D377">
        <v>4</v>
      </c>
      <c r="E377">
        <v>30</v>
      </c>
      <c r="F377" s="4">
        <f t="shared" si="5"/>
        <v>2099.1</v>
      </c>
      <c r="G377" t="str">
        <f>IF(Table2[[#This Row],[Sold]]&gt;1000,"High Quality","Normal Quality")</f>
        <v>Normal Quality</v>
      </c>
      <c r="H377" s="12">
        <v>45373.387141203704</v>
      </c>
      <c r="I377" t="s">
        <v>338</v>
      </c>
      <c r="J377" t="s">
        <v>506</v>
      </c>
      <c r="K377" t="s">
        <v>118</v>
      </c>
    </row>
    <row r="378" spans="1:11" x14ac:dyDescent="0.35">
      <c r="A378" t="s">
        <v>15</v>
      </c>
      <c r="B378" t="s">
        <v>1</v>
      </c>
      <c r="C378" s="27">
        <v>23.62</v>
      </c>
      <c r="D378">
        <v>10</v>
      </c>
      <c r="E378">
        <v>415</v>
      </c>
      <c r="F378" s="4">
        <f t="shared" si="5"/>
        <v>9802.3000000000011</v>
      </c>
      <c r="G378" t="str">
        <f>IF(Table2[[#This Row],[Sold]]&gt;1000,"High Quality","Normal Quality")</f>
        <v>Normal Quality</v>
      </c>
      <c r="H378" s="12">
        <v>45373.391284722224</v>
      </c>
      <c r="I378" t="s">
        <v>291</v>
      </c>
      <c r="J378" t="s">
        <v>274</v>
      </c>
      <c r="K378" t="s">
        <v>118</v>
      </c>
    </row>
    <row r="379" spans="1:11" x14ac:dyDescent="0.35">
      <c r="A379" t="s">
        <v>156</v>
      </c>
      <c r="B379" t="s">
        <v>1</v>
      </c>
      <c r="C379" s="27">
        <v>99.63</v>
      </c>
      <c r="D379">
        <v>88</v>
      </c>
      <c r="E379">
        <v>13</v>
      </c>
      <c r="F379" s="4">
        <f t="shared" si="5"/>
        <v>1295.19</v>
      </c>
      <c r="G379" t="str">
        <f>IF(Table2[[#This Row],[Sold]]&gt;1000,"High Quality","Normal Quality")</f>
        <v>Normal Quality</v>
      </c>
      <c r="H379" s="12">
        <v>45373.393541666665</v>
      </c>
      <c r="I379" t="s">
        <v>509</v>
      </c>
      <c r="J379" t="s">
        <v>505</v>
      </c>
      <c r="K379" t="s">
        <v>118</v>
      </c>
    </row>
    <row r="380" spans="1:11" x14ac:dyDescent="0.35">
      <c r="A380" t="s">
        <v>202</v>
      </c>
      <c r="B380" t="s">
        <v>3</v>
      </c>
      <c r="C380" s="27">
        <v>12.23</v>
      </c>
      <c r="D380">
        <v>23</v>
      </c>
      <c r="E380">
        <v>1128</v>
      </c>
      <c r="F380" s="4">
        <f t="shared" si="5"/>
        <v>13795.44</v>
      </c>
      <c r="G380" t="str">
        <f>IF(Table2[[#This Row],[Sold]]&gt;1000,"High Quality","Normal Quality")</f>
        <v>High Quality</v>
      </c>
      <c r="H380" s="12">
        <v>45373.394884259258</v>
      </c>
      <c r="I380" t="s">
        <v>290</v>
      </c>
      <c r="J380" t="s">
        <v>506</v>
      </c>
      <c r="K380" t="s">
        <v>118</v>
      </c>
    </row>
    <row r="381" spans="1:11" x14ac:dyDescent="0.35">
      <c r="A381" t="s">
        <v>0</v>
      </c>
      <c r="B381" t="s">
        <v>1</v>
      </c>
      <c r="C381" s="27">
        <v>84.99</v>
      </c>
      <c r="D381">
        <v>8</v>
      </c>
      <c r="E381">
        <v>73</v>
      </c>
      <c r="F381" s="4">
        <f t="shared" si="5"/>
        <v>6204.2699999999995</v>
      </c>
      <c r="G381" t="str">
        <f>IF(Table2[[#This Row],[Sold]]&gt;1000,"High Quality","Normal Quality")</f>
        <v>Normal Quality</v>
      </c>
      <c r="H381" s="12">
        <v>45373.39739583333</v>
      </c>
      <c r="I381" t="s">
        <v>325</v>
      </c>
      <c r="J381" t="s">
        <v>266</v>
      </c>
      <c r="K381" t="s">
        <v>118</v>
      </c>
    </row>
    <row r="382" spans="1:11" x14ac:dyDescent="0.35">
      <c r="A382" t="s">
        <v>135</v>
      </c>
      <c r="B382" t="s">
        <v>3</v>
      </c>
      <c r="C382" s="27">
        <v>32.950000000000003</v>
      </c>
      <c r="D382">
        <v>10</v>
      </c>
      <c r="E382">
        <v>217</v>
      </c>
      <c r="F382" s="4">
        <f t="shared" si="5"/>
        <v>7150.1500000000005</v>
      </c>
      <c r="G382" t="str">
        <f>IF(Table2[[#This Row],[Sold]]&gt;1000,"High Quality","Normal Quality")</f>
        <v>Normal Quality</v>
      </c>
      <c r="H382" s="12">
        <v>45373.407384259262</v>
      </c>
      <c r="I382" t="s">
        <v>454</v>
      </c>
      <c r="J382" t="s">
        <v>286</v>
      </c>
      <c r="K382" t="s">
        <v>118</v>
      </c>
    </row>
    <row r="383" spans="1:11" x14ac:dyDescent="0.35">
      <c r="A383" t="s">
        <v>30</v>
      </c>
      <c r="B383" t="s">
        <v>3</v>
      </c>
      <c r="C383" s="27">
        <v>18.329999999999998</v>
      </c>
      <c r="D383">
        <v>26</v>
      </c>
      <c r="E383">
        <v>1332</v>
      </c>
      <c r="F383" s="4">
        <f t="shared" si="5"/>
        <v>24415.559999999998</v>
      </c>
      <c r="G383" t="str">
        <f>IF(Table2[[#This Row],[Sold]]&gt;1000,"High Quality","Normal Quality")</f>
        <v>High Quality</v>
      </c>
      <c r="H383" s="12">
        <v>45373.407789351855</v>
      </c>
      <c r="I383" t="s">
        <v>290</v>
      </c>
      <c r="J383" t="s">
        <v>506</v>
      </c>
      <c r="K383" t="s">
        <v>118</v>
      </c>
    </row>
    <row r="384" spans="1:11" x14ac:dyDescent="0.35">
      <c r="A384" t="s">
        <v>13</v>
      </c>
      <c r="B384" t="s">
        <v>137</v>
      </c>
      <c r="C384" s="27">
        <v>20</v>
      </c>
      <c r="D384">
        <v>3</v>
      </c>
      <c r="E384">
        <v>2</v>
      </c>
      <c r="F384" s="4">
        <f t="shared" si="5"/>
        <v>40</v>
      </c>
      <c r="G384" t="str">
        <f>IF(Table2[[#This Row],[Sold]]&gt;1000,"High Quality","Normal Quality")</f>
        <v>Normal Quality</v>
      </c>
      <c r="H384" s="12">
        <v>45373.416886574072</v>
      </c>
      <c r="I384" t="s">
        <v>456</v>
      </c>
      <c r="J384" t="s">
        <v>506</v>
      </c>
      <c r="K384" t="s">
        <v>118</v>
      </c>
    </row>
    <row r="385" spans="1:11" x14ac:dyDescent="0.35">
      <c r="A385" t="s">
        <v>73</v>
      </c>
      <c r="B385" t="s">
        <v>261</v>
      </c>
      <c r="C385" s="27">
        <v>33.99</v>
      </c>
      <c r="D385">
        <v>52</v>
      </c>
      <c r="E385">
        <v>6634</v>
      </c>
      <c r="F385" s="4">
        <f t="shared" si="5"/>
        <v>225489.66</v>
      </c>
      <c r="G385" t="str">
        <f>IF(Table2[[#This Row],[Sold]]&gt;1000,"High Quality","Normal Quality")</f>
        <v>High Quality</v>
      </c>
      <c r="H385" s="12">
        <v>45373.418634259258</v>
      </c>
      <c r="I385" t="s">
        <v>291</v>
      </c>
      <c r="J385" t="s">
        <v>274</v>
      </c>
      <c r="K385" t="s">
        <v>118</v>
      </c>
    </row>
    <row r="386" spans="1:11" x14ac:dyDescent="0.35">
      <c r="A386" t="s">
        <v>85</v>
      </c>
      <c r="B386" t="s">
        <v>3</v>
      </c>
      <c r="C386" s="27">
        <v>68.989999999999995</v>
      </c>
      <c r="D386">
        <v>73</v>
      </c>
      <c r="E386">
        <v>27</v>
      </c>
      <c r="F386" s="4">
        <f t="shared" ref="F386:F449" si="6">C:C*E:E</f>
        <v>1862.7299999999998</v>
      </c>
      <c r="G386" t="str">
        <f>IF(Table2[[#This Row],[Sold]]&gt;1000,"High Quality","Normal Quality")</f>
        <v>Normal Quality</v>
      </c>
      <c r="H386" s="12">
        <v>45373.419907407406</v>
      </c>
      <c r="I386" t="s">
        <v>329</v>
      </c>
      <c r="J386" t="s">
        <v>274</v>
      </c>
      <c r="K386" t="s">
        <v>118</v>
      </c>
    </row>
    <row r="387" spans="1:11" x14ac:dyDescent="0.35">
      <c r="A387" t="s">
        <v>9</v>
      </c>
      <c r="B387" t="s">
        <v>3</v>
      </c>
      <c r="C387" s="27">
        <v>29.46</v>
      </c>
      <c r="D387">
        <v>10</v>
      </c>
      <c r="E387">
        <v>43</v>
      </c>
      <c r="F387" s="4">
        <f t="shared" si="6"/>
        <v>1266.78</v>
      </c>
      <c r="G387" t="str">
        <f>IF(Table2[[#This Row],[Sold]]&gt;1000,"High Quality","Normal Quality")</f>
        <v>Normal Quality</v>
      </c>
      <c r="H387" s="12">
        <v>45373.423645833333</v>
      </c>
      <c r="I387" t="s">
        <v>290</v>
      </c>
      <c r="J387" t="s">
        <v>506</v>
      </c>
      <c r="K387" t="s">
        <v>118</v>
      </c>
    </row>
    <row r="388" spans="1:11" x14ac:dyDescent="0.35">
      <c r="A388" t="s">
        <v>4</v>
      </c>
      <c r="B388" t="s">
        <v>3</v>
      </c>
      <c r="C388" s="27">
        <v>48.95</v>
      </c>
      <c r="D388">
        <v>4</v>
      </c>
      <c r="E388">
        <v>40</v>
      </c>
      <c r="F388" s="4">
        <f t="shared" si="6"/>
        <v>1958</v>
      </c>
      <c r="G388" t="str">
        <f>IF(Table2[[#This Row],[Sold]]&gt;1000,"High Quality","Normal Quality")</f>
        <v>Normal Quality</v>
      </c>
      <c r="H388" s="12">
        <v>45373.428368055553</v>
      </c>
      <c r="I388" t="s">
        <v>417</v>
      </c>
      <c r="J388" t="s">
        <v>508</v>
      </c>
      <c r="K388" t="s">
        <v>118</v>
      </c>
    </row>
    <row r="389" spans="1:11" x14ac:dyDescent="0.35">
      <c r="A389" t="s">
        <v>15</v>
      </c>
      <c r="B389" t="s">
        <v>1</v>
      </c>
      <c r="C389" s="27">
        <v>39</v>
      </c>
      <c r="D389">
        <v>10</v>
      </c>
      <c r="E389">
        <v>24</v>
      </c>
      <c r="F389" s="4">
        <f t="shared" si="6"/>
        <v>936</v>
      </c>
      <c r="G389" t="str">
        <f>IF(Table2[[#This Row],[Sold]]&gt;1000,"High Quality","Normal Quality")</f>
        <v>Normal Quality</v>
      </c>
      <c r="H389" s="12">
        <v>45373.429120370369</v>
      </c>
      <c r="I389" t="s">
        <v>509</v>
      </c>
      <c r="J389" t="s">
        <v>505</v>
      </c>
      <c r="K389" t="s">
        <v>118</v>
      </c>
    </row>
    <row r="390" spans="1:11" x14ac:dyDescent="0.35">
      <c r="A390" t="s">
        <v>4</v>
      </c>
      <c r="B390" t="s">
        <v>3</v>
      </c>
      <c r="C390" s="27">
        <v>27.1</v>
      </c>
      <c r="D390">
        <v>10</v>
      </c>
      <c r="E390">
        <v>28</v>
      </c>
      <c r="F390" s="4">
        <f t="shared" si="6"/>
        <v>758.80000000000007</v>
      </c>
      <c r="G390" t="str">
        <f>IF(Table2[[#This Row],[Sold]]&gt;1000,"High Quality","Normal Quality")</f>
        <v>Normal Quality</v>
      </c>
      <c r="H390" s="12">
        <v>45373.432280092595</v>
      </c>
      <c r="I390" t="s">
        <v>325</v>
      </c>
      <c r="J390" t="s">
        <v>266</v>
      </c>
      <c r="K390" t="s">
        <v>118</v>
      </c>
    </row>
    <row r="391" spans="1:11" x14ac:dyDescent="0.35">
      <c r="A391" t="s">
        <v>21</v>
      </c>
      <c r="B391" t="s">
        <v>3</v>
      </c>
      <c r="C391" s="27">
        <v>27.94</v>
      </c>
      <c r="D391">
        <v>0</v>
      </c>
      <c r="E391">
        <v>1140</v>
      </c>
      <c r="F391" s="4">
        <f t="shared" si="6"/>
        <v>31851.600000000002</v>
      </c>
      <c r="G391" t="str">
        <f>IF(Table2[[#This Row],[Sold]]&gt;1000,"High Quality","Normal Quality")</f>
        <v>High Quality</v>
      </c>
      <c r="H391" s="12">
        <v>45373.461736111109</v>
      </c>
      <c r="I391" t="s">
        <v>290</v>
      </c>
      <c r="J391" t="s">
        <v>506</v>
      </c>
      <c r="K391" t="s">
        <v>118</v>
      </c>
    </row>
    <row r="392" spans="1:11" x14ac:dyDescent="0.35">
      <c r="A392" t="s">
        <v>70</v>
      </c>
      <c r="B392" t="s">
        <v>1</v>
      </c>
      <c r="C392" s="27">
        <v>11.99</v>
      </c>
      <c r="D392">
        <v>0</v>
      </c>
      <c r="E392">
        <v>39</v>
      </c>
      <c r="F392" s="4">
        <f t="shared" si="6"/>
        <v>467.61</v>
      </c>
      <c r="G392" t="str">
        <f>IF(Table2[[#This Row],[Sold]]&gt;1000,"High Quality","Normal Quality")</f>
        <v>Normal Quality</v>
      </c>
      <c r="H392" s="12">
        <v>45373.472708333335</v>
      </c>
      <c r="I392" t="s">
        <v>429</v>
      </c>
      <c r="J392" t="s">
        <v>286</v>
      </c>
      <c r="K392" t="s">
        <v>118</v>
      </c>
    </row>
    <row r="393" spans="1:11" x14ac:dyDescent="0.35">
      <c r="A393" t="s">
        <v>5</v>
      </c>
      <c r="B393" t="s">
        <v>1</v>
      </c>
      <c r="C393" s="27">
        <v>25.99</v>
      </c>
      <c r="D393">
        <v>10</v>
      </c>
      <c r="E393">
        <v>71</v>
      </c>
      <c r="F393" s="4">
        <f t="shared" si="6"/>
        <v>1845.29</v>
      </c>
      <c r="G393" t="str">
        <f>IF(Table2[[#This Row],[Sold]]&gt;1000,"High Quality","Normal Quality")</f>
        <v>Normal Quality</v>
      </c>
      <c r="H393" s="12">
        <v>45373.475706018522</v>
      </c>
      <c r="I393" t="s">
        <v>369</v>
      </c>
      <c r="J393" t="s">
        <v>506</v>
      </c>
      <c r="K393" t="s">
        <v>118</v>
      </c>
    </row>
    <row r="394" spans="1:11" x14ac:dyDescent="0.35">
      <c r="A394" t="s">
        <v>10</v>
      </c>
      <c r="B394" t="s">
        <v>1</v>
      </c>
      <c r="C394" s="27">
        <v>124.99</v>
      </c>
      <c r="D394">
        <v>5</v>
      </c>
      <c r="E394">
        <v>13</v>
      </c>
      <c r="F394" s="4">
        <f t="shared" si="6"/>
        <v>1624.87</v>
      </c>
      <c r="G394" t="str">
        <f>IF(Table2[[#This Row],[Sold]]&gt;1000,"High Quality","Normal Quality")</f>
        <v>Normal Quality</v>
      </c>
      <c r="H394" s="12">
        <v>45373.48332175926</v>
      </c>
      <c r="I394" t="s">
        <v>424</v>
      </c>
      <c r="J394" t="s">
        <v>505</v>
      </c>
      <c r="K394" t="s">
        <v>118</v>
      </c>
    </row>
    <row r="395" spans="1:11" x14ac:dyDescent="0.35">
      <c r="A395" t="s">
        <v>13</v>
      </c>
      <c r="B395" t="s">
        <v>3</v>
      </c>
      <c r="C395" s="27">
        <v>28.93</v>
      </c>
      <c r="D395">
        <v>10</v>
      </c>
      <c r="E395">
        <v>4764</v>
      </c>
      <c r="F395" s="4">
        <f t="shared" si="6"/>
        <v>137822.51999999999</v>
      </c>
      <c r="G395" t="str">
        <f>IF(Table2[[#This Row],[Sold]]&gt;1000,"High Quality","Normal Quality")</f>
        <v>High Quality</v>
      </c>
      <c r="H395" s="12">
        <v>45373.484247685185</v>
      </c>
      <c r="I395" t="s">
        <v>291</v>
      </c>
      <c r="J395" t="s">
        <v>274</v>
      </c>
      <c r="K395" t="s">
        <v>118</v>
      </c>
    </row>
    <row r="396" spans="1:11" x14ac:dyDescent="0.35">
      <c r="A396" t="s">
        <v>13</v>
      </c>
      <c r="B396" t="s">
        <v>3</v>
      </c>
      <c r="C396" s="27">
        <v>46</v>
      </c>
      <c r="D396">
        <v>10</v>
      </c>
      <c r="E396">
        <v>1207</v>
      </c>
      <c r="F396" s="4">
        <f t="shared" si="6"/>
        <v>55522</v>
      </c>
      <c r="G396" t="str">
        <f>IF(Table2[[#This Row],[Sold]]&gt;1000,"High Quality","Normal Quality")</f>
        <v>High Quality</v>
      </c>
      <c r="H396" s="12">
        <v>45373.484375</v>
      </c>
      <c r="I396" t="s">
        <v>291</v>
      </c>
      <c r="J396" t="s">
        <v>274</v>
      </c>
      <c r="K396" t="s">
        <v>118</v>
      </c>
    </row>
    <row r="397" spans="1:11" x14ac:dyDescent="0.35">
      <c r="A397" t="s">
        <v>72</v>
      </c>
      <c r="B397" t="s">
        <v>1</v>
      </c>
      <c r="C397" s="27">
        <v>27.25</v>
      </c>
      <c r="D397">
        <v>3</v>
      </c>
      <c r="E397">
        <v>24</v>
      </c>
      <c r="F397" s="4">
        <f t="shared" si="6"/>
        <v>654</v>
      </c>
      <c r="G397" t="str">
        <f>IF(Table2[[#This Row],[Sold]]&gt;1000,"High Quality","Normal Quality")</f>
        <v>Normal Quality</v>
      </c>
      <c r="H397" s="12">
        <v>45373.493460648147</v>
      </c>
      <c r="I397" t="s">
        <v>509</v>
      </c>
      <c r="J397" t="s">
        <v>505</v>
      </c>
      <c r="K397" t="s">
        <v>118</v>
      </c>
    </row>
    <row r="398" spans="1:11" x14ac:dyDescent="0.35">
      <c r="A398" t="s">
        <v>10</v>
      </c>
      <c r="B398" t="s">
        <v>1</v>
      </c>
      <c r="C398" s="27">
        <v>55.45</v>
      </c>
      <c r="D398">
        <v>54</v>
      </c>
      <c r="E398">
        <v>11</v>
      </c>
      <c r="F398" s="4">
        <f t="shared" si="6"/>
        <v>609.95000000000005</v>
      </c>
      <c r="G398" t="str">
        <f>IF(Table2[[#This Row],[Sold]]&gt;1000,"High Quality","Normal Quality")</f>
        <v>Normal Quality</v>
      </c>
      <c r="H398" s="12">
        <v>45373.493518518517</v>
      </c>
      <c r="I398" t="s">
        <v>509</v>
      </c>
      <c r="J398" t="s">
        <v>505</v>
      </c>
      <c r="K398" t="s">
        <v>118</v>
      </c>
    </row>
    <row r="399" spans="1:11" x14ac:dyDescent="0.35">
      <c r="A399" t="s">
        <v>193</v>
      </c>
      <c r="B399" t="s">
        <v>3</v>
      </c>
      <c r="C399" s="27">
        <v>99.98</v>
      </c>
      <c r="D399">
        <v>10</v>
      </c>
      <c r="E399">
        <v>740</v>
      </c>
      <c r="F399" s="4">
        <f t="shared" si="6"/>
        <v>73985.2</v>
      </c>
      <c r="G399" t="str">
        <f>IF(Table2[[#This Row],[Sold]]&gt;1000,"High Quality","Normal Quality")</f>
        <v>Normal Quality</v>
      </c>
      <c r="H399" s="12">
        <v>45373.494953703703</v>
      </c>
      <c r="I399" t="s">
        <v>290</v>
      </c>
      <c r="J399" t="s">
        <v>506</v>
      </c>
      <c r="K399" t="s">
        <v>118</v>
      </c>
    </row>
    <row r="400" spans="1:11" x14ac:dyDescent="0.35">
      <c r="A400" t="s">
        <v>13</v>
      </c>
      <c r="B400" t="s">
        <v>3</v>
      </c>
      <c r="C400" s="27">
        <v>84.6</v>
      </c>
      <c r="D400">
        <v>0</v>
      </c>
      <c r="E400">
        <v>111</v>
      </c>
      <c r="F400" s="4">
        <f t="shared" si="6"/>
        <v>9390.5999999999985</v>
      </c>
      <c r="G400" t="str">
        <f>IF(Table2[[#This Row],[Sold]]&gt;1000,"High Quality","Normal Quality")</f>
        <v>Normal Quality</v>
      </c>
      <c r="H400" s="12">
        <v>45373.495208333334</v>
      </c>
      <c r="I400" t="s">
        <v>290</v>
      </c>
      <c r="J400" t="s">
        <v>506</v>
      </c>
      <c r="K400" t="s">
        <v>118</v>
      </c>
    </row>
    <row r="401" spans="1:11" x14ac:dyDescent="0.35">
      <c r="A401" t="s">
        <v>4</v>
      </c>
      <c r="B401" t="s">
        <v>1</v>
      </c>
      <c r="C401" s="27">
        <v>78.989999999999995</v>
      </c>
      <c r="D401">
        <v>2</v>
      </c>
      <c r="E401">
        <v>743</v>
      </c>
      <c r="F401" s="4">
        <f t="shared" si="6"/>
        <v>58689.57</v>
      </c>
      <c r="G401" t="str">
        <f>IF(Table2[[#This Row],[Sold]]&gt;1000,"High Quality","Normal Quality")</f>
        <v>Normal Quality</v>
      </c>
      <c r="H401" s="12">
        <v>45373.498530092591</v>
      </c>
      <c r="I401" t="s">
        <v>290</v>
      </c>
      <c r="J401" t="s">
        <v>506</v>
      </c>
      <c r="K401" t="s">
        <v>118</v>
      </c>
    </row>
    <row r="402" spans="1:11" x14ac:dyDescent="0.35">
      <c r="A402" t="s">
        <v>101</v>
      </c>
      <c r="B402" t="s">
        <v>3</v>
      </c>
      <c r="C402" s="27">
        <v>13.89</v>
      </c>
      <c r="D402">
        <v>13</v>
      </c>
      <c r="E402">
        <v>48</v>
      </c>
      <c r="F402" s="4">
        <f t="shared" si="6"/>
        <v>666.72</v>
      </c>
      <c r="G402" t="str">
        <f>IF(Table2[[#This Row],[Sold]]&gt;1000,"High Quality","Normal Quality")</f>
        <v>Normal Quality</v>
      </c>
      <c r="H402" s="12">
        <v>45373.498530092591</v>
      </c>
      <c r="I402" t="s">
        <v>290</v>
      </c>
      <c r="J402" t="s">
        <v>506</v>
      </c>
      <c r="K402" t="s">
        <v>118</v>
      </c>
    </row>
    <row r="403" spans="1:11" x14ac:dyDescent="0.35">
      <c r="A403" t="s">
        <v>5</v>
      </c>
      <c r="B403" t="s">
        <v>1</v>
      </c>
      <c r="C403" s="27">
        <v>17.18</v>
      </c>
      <c r="D403">
        <v>8</v>
      </c>
      <c r="E403">
        <v>65</v>
      </c>
      <c r="F403" s="4">
        <f t="shared" si="6"/>
        <v>1116.7</v>
      </c>
      <c r="G403" t="str">
        <f>IF(Table2[[#This Row],[Sold]]&gt;1000,"High Quality","Normal Quality")</f>
        <v>Normal Quality</v>
      </c>
      <c r="H403" s="12">
        <v>45373.498541666668</v>
      </c>
      <c r="I403" t="s">
        <v>290</v>
      </c>
      <c r="J403" t="s">
        <v>506</v>
      </c>
      <c r="K403" t="s">
        <v>118</v>
      </c>
    </row>
    <row r="404" spans="1:11" x14ac:dyDescent="0.35">
      <c r="A404" t="s">
        <v>63</v>
      </c>
      <c r="B404" t="s">
        <v>1</v>
      </c>
      <c r="C404" s="27">
        <v>62.09</v>
      </c>
      <c r="D404">
        <v>10</v>
      </c>
      <c r="E404">
        <v>125</v>
      </c>
      <c r="F404" s="4">
        <f t="shared" si="6"/>
        <v>7761.25</v>
      </c>
      <c r="G404" t="str">
        <f>IF(Table2[[#This Row],[Sold]]&gt;1000,"High Quality","Normal Quality")</f>
        <v>Normal Quality</v>
      </c>
      <c r="H404" s="12">
        <v>45373.501643518517</v>
      </c>
      <c r="I404" t="s">
        <v>301</v>
      </c>
      <c r="J404" t="s">
        <v>506</v>
      </c>
      <c r="K404" t="s">
        <v>118</v>
      </c>
    </row>
    <row r="405" spans="1:11" x14ac:dyDescent="0.35">
      <c r="A405" t="s">
        <v>5</v>
      </c>
      <c r="B405" t="s">
        <v>1</v>
      </c>
      <c r="C405" s="27">
        <v>18.989999999999998</v>
      </c>
      <c r="D405">
        <v>10</v>
      </c>
      <c r="E405">
        <v>139</v>
      </c>
      <c r="F405" s="4">
        <f t="shared" si="6"/>
        <v>2639.6099999999997</v>
      </c>
      <c r="G405" t="str">
        <f>IF(Table2[[#This Row],[Sold]]&gt;1000,"High Quality","Normal Quality")</f>
        <v>Normal Quality</v>
      </c>
      <c r="H405" s="12">
        <v>45373.522048611114</v>
      </c>
      <c r="I405" t="s">
        <v>373</v>
      </c>
      <c r="J405" t="s">
        <v>315</v>
      </c>
      <c r="K405" t="s">
        <v>118</v>
      </c>
    </row>
    <row r="406" spans="1:11" x14ac:dyDescent="0.35">
      <c r="A406" t="s">
        <v>108</v>
      </c>
      <c r="B406" t="s">
        <v>3</v>
      </c>
      <c r="C406" s="27">
        <v>24.25</v>
      </c>
      <c r="D406">
        <v>0</v>
      </c>
      <c r="E406">
        <v>177</v>
      </c>
      <c r="F406" s="4">
        <f t="shared" si="6"/>
        <v>4292.25</v>
      </c>
      <c r="G406" t="str">
        <f>IF(Table2[[#This Row],[Sold]]&gt;1000,"High Quality","Normal Quality")</f>
        <v>Normal Quality</v>
      </c>
      <c r="H406" s="12">
        <v>45373.529756944445</v>
      </c>
      <c r="I406" t="s">
        <v>369</v>
      </c>
      <c r="J406" t="s">
        <v>506</v>
      </c>
      <c r="K406" t="s">
        <v>118</v>
      </c>
    </row>
    <row r="407" spans="1:11" x14ac:dyDescent="0.35">
      <c r="A407" t="s">
        <v>4</v>
      </c>
      <c r="B407" t="s">
        <v>3</v>
      </c>
      <c r="C407" s="27">
        <v>27.5</v>
      </c>
      <c r="D407">
        <v>10</v>
      </c>
      <c r="E407">
        <v>18</v>
      </c>
      <c r="F407" s="4">
        <f t="shared" si="6"/>
        <v>495</v>
      </c>
      <c r="G407" t="str">
        <f>IF(Table2[[#This Row],[Sold]]&gt;1000,"High Quality","Normal Quality")</f>
        <v>Normal Quality</v>
      </c>
      <c r="H407" s="12">
        <v>45373.532071759262</v>
      </c>
      <c r="I407" t="s">
        <v>280</v>
      </c>
      <c r="J407" t="s">
        <v>266</v>
      </c>
      <c r="K407" t="s">
        <v>118</v>
      </c>
    </row>
    <row r="408" spans="1:11" x14ac:dyDescent="0.35">
      <c r="A408" t="s">
        <v>244</v>
      </c>
      <c r="B408" t="s">
        <v>3</v>
      </c>
      <c r="C408" s="27">
        <v>16.04</v>
      </c>
      <c r="D408">
        <v>8</v>
      </c>
      <c r="E408">
        <v>2817</v>
      </c>
      <c r="F408" s="4">
        <f t="shared" si="6"/>
        <v>45184.68</v>
      </c>
      <c r="G408" t="str">
        <f>IF(Table2[[#This Row],[Sold]]&gt;1000,"High Quality","Normal Quality")</f>
        <v>High Quality</v>
      </c>
      <c r="H408" s="12">
        <v>45373.534872685188</v>
      </c>
      <c r="I408" t="s">
        <v>291</v>
      </c>
      <c r="J408" t="s">
        <v>274</v>
      </c>
      <c r="K408" t="s">
        <v>118</v>
      </c>
    </row>
    <row r="409" spans="1:11" x14ac:dyDescent="0.35">
      <c r="A409" t="s">
        <v>250</v>
      </c>
      <c r="B409" t="s">
        <v>3</v>
      </c>
      <c r="C409" s="27">
        <v>31.95</v>
      </c>
      <c r="D409">
        <v>10</v>
      </c>
      <c r="E409">
        <v>8</v>
      </c>
      <c r="F409" s="4">
        <f t="shared" si="6"/>
        <v>255.6</v>
      </c>
      <c r="G409" t="str">
        <f>IF(Table2[[#This Row],[Sold]]&gt;1000,"High Quality","Normal Quality")</f>
        <v>Normal Quality</v>
      </c>
      <c r="H409" s="12">
        <v>45373.539780092593</v>
      </c>
      <c r="I409" t="s">
        <v>509</v>
      </c>
      <c r="J409" t="s">
        <v>505</v>
      </c>
      <c r="K409" t="s">
        <v>118</v>
      </c>
    </row>
    <row r="410" spans="1:11" x14ac:dyDescent="0.35">
      <c r="A410" t="s">
        <v>13</v>
      </c>
      <c r="B410" t="s">
        <v>1</v>
      </c>
      <c r="C410" s="27">
        <v>17.98</v>
      </c>
      <c r="D410">
        <v>10</v>
      </c>
      <c r="E410">
        <v>50</v>
      </c>
      <c r="F410" s="4">
        <f t="shared" si="6"/>
        <v>899</v>
      </c>
      <c r="G410" t="str">
        <f>IF(Table2[[#This Row],[Sold]]&gt;1000,"High Quality","Normal Quality")</f>
        <v>Normal Quality</v>
      </c>
      <c r="H410" s="12">
        <v>45373.548587962963</v>
      </c>
      <c r="I410" t="s">
        <v>385</v>
      </c>
      <c r="J410" t="s">
        <v>269</v>
      </c>
      <c r="K410" t="s">
        <v>118</v>
      </c>
    </row>
    <row r="411" spans="1:11" x14ac:dyDescent="0.35">
      <c r="A411" t="s">
        <v>63</v>
      </c>
      <c r="B411" t="s">
        <v>1</v>
      </c>
      <c r="C411" s="27">
        <v>35.619999999999997</v>
      </c>
      <c r="D411">
        <v>0</v>
      </c>
      <c r="E411">
        <v>454</v>
      </c>
      <c r="F411" s="4">
        <f t="shared" si="6"/>
        <v>16171.48</v>
      </c>
      <c r="G411" t="str">
        <f>IF(Table2[[#This Row],[Sold]]&gt;1000,"High Quality","Normal Quality")</f>
        <v>Normal Quality</v>
      </c>
      <c r="H411" s="12">
        <v>45373.552106481482</v>
      </c>
      <c r="I411" t="s">
        <v>291</v>
      </c>
      <c r="J411" t="s">
        <v>274</v>
      </c>
      <c r="K411" t="s">
        <v>118</v>
      </c>
    </row>
    <row r="412" spans="1:11" x14ac:dyDescent="0.35">
      <c r="A412" t="s">
        <v>10</v>
      </c>
      <c r="B412" t="s">
        <v>3</v>
      </c>
      <c r="C412" s="27">
        <v>99.99</v>
      </c>
      <c r="D412">
        <v>10</v>
      </c>
      <c r="E412">
        <v>17</v>
      </c>
      <c r="F412" s="4">
        <f t="shared" si="6"/>
        <v>1699.83</v>
      </c>
      <c r="G412" t="str">
        <f>IF(Table2[[#This Row],[Sold]]&gt;1000,"High Quality","Normal Quality")</f>
        <v>Normal Quality</v>
      </c>
      <c r="H412" s="12">
        <v>45373.555972222224</v>
      </c>
      <c r="I412" t="s">
        <v>424</v>
      </c>
      <c r="J412" t="s">
        <v>505</v>
      </c>
      <c r="K412" t="s">
        <v>118</v>
      </c>
    </row>
    <row r="413" spans="1:11" x14ac:dyDescent="0.35">
      <c r="A413" t="s">
        <v>74</v>
      </c>
      <c r="B413" t="s">
        <v>1</v>
      </c>
      <c r="C413" s="27">
        <v>23.49</v>
      </c>
      <c r="D413">
        <v>0</v>
      </c>
      <c r="E413">
        <v>29</v>
      </c>
      <c r="F413" s="4">
        <f t="shared" si="6"/>
        <v>681.20999999999992</v>
      </c>
      <c r="G413" t="str">
        <f>IF(Table2[[#This Row],[Sold]]&gt;1000,"High Quality","Normal Quality")</f>
        <v>Normal Quality</v>
      </c>
      <c r="H413" s="12">
        <v>45373.560520833336</v>
      </c>
      <c r="I413" t="s">
        <v>509</v>
      </c>
      <c r="J413" t="s">
        <v>505</v>
      </c>
      <c r="K413" t="s">
        <v>118</v>
      </c>
    </row>
    <row r="414" spans="1:11" x14ac:dyDescent="0.35">
      <c r="A414" t="s">
        <v>70</v>
      </c>
      <c r="B414" t="s">
        <v>1</v>
      </c>
      <c r="C414" s="27">
        <v>38.99</v>
      </c>
      <c r="D414">
        <v>10</v>
      </c>
      <c r="E414">
        <v>20</v>
      </c>
      <c r="F414" s="4">
        <f t="shared" si="6"/>
        <v>779.80000000000007</v>
      </c>
      <c r="G414" t="str">
        <f>IF(Table2[[#This Row],[Sold]]&gt;1000,"High Quality","Normal Quality")</f>
        <v>Normal Quality</v>
      </c>
      <c r="H414" s="12">
        <v>45373.585451388892</v>
      </c>
      <c r="I414" t="s">
        <v>509</v>
      </c>
      <c r="J414" t="s">
        <v>505</v>
      </c>
      <c r="K414" t="s">
        <v>118</v>
      </c>
    </row>
    <row r="415" spans="1:11" x14ac:dyDescent="0.35">
      <c r="A415" t="s">
        <v>2</v>
      </c>
      <c r="B415" t="s">
        <v>1</v>
      </c>
      <c r="C415" s="27">
        <v>15.99</v>
      </c>
      <c r="D415">
        <v>3</v>
      </c>
      <c r="E415">
        <v>65</v>
      </c>
      <c r="F415" s="4">
        <f t="shared" si="6"/>
        <v>1039.3499999999999</v>
      </c>
      <c r="G415" t="str">
        <f>IF(Table2[[#This Row],[Sold]]&gt;1000,"High Quality","Normal Quality")</f>
        <v>Normal Quality</v>
      </c>
      <c r="H415" s="12">
        <v>45373.58929398148</v>
      </c>
      <c r="I415" t="s">
        <v>273</v>
      </c>
      <c r="J415" t="s">
        <v>274</v>
      </c>
      <c r="K415" t="s">
        <v>118</v>
      </c>
    </row>
    <row r="416" spans="1:11" x14ac:dyDescent="0.35">
      <c r="A416" t="s">
        <v>50</v>
      </c>
      <c r="B416" t="s">
        <v>3</v>
      </c>
      <c r="C416" s="27">
        <v>55.99</v>
      </c>
      <c r="D416">
        <v>10</v>
      </c>
      <c r="E416">
        <v>368</v>
      </c>
      <c r="F416" s="4">
        <f t="shared" si="6"/>
        <v>20604.32</v>
      </c>
      <c r="G416" t="str">
        <f>IF(Table2[[#This Row],[Sold]]&gt;1000,"High Quality","Normal Quality")</f>
        <v>Normal Quality</v>
      </c>
      <c r="H416" s="12">
        <v>45373.601226851853</v>
      </c>
      <c r="I416" t="s">
        <v>511</v>
      </c>
      <c r="J416" t="s">
        <v>274</v>
      </c>
      <c r="K416" t="s">
        <v>118</v>
      </c>
    </row>
    <row r="417" spans="1:11" x14ac:dyDescent="0.35">
      <c r="A417" t="s">
        <v>0</v>
      </c>
      <c r="B417" t="s">
        <v>3</v>
      </c>
      <c r="C417" s="27">
        <v>83.95</v>
      </c>
      <c r="D417">
        <v>4</v>
      </c>
      <c r="E417">
        <v>22</v>
      </c>
      <c r="F417" s="4">
        <f t="shared" si="6"/>
        <v>1846.9</v>
      </c>
      <c r="G417" t="str">
        <f>IF(Table2[[#This Row],[Sold]]&gt;1000,"High Quality","Normal Quality")</f>
        <v>Normal Quality</v>
      </c>
      <c r="H417" s="12">
        <v>45373.605497685188</v>
      </c>
      <c r="I417" t="s">
        <v>289</v>
      </c>
      <c r="J417" t="s">
        <v>505</v>
      </c>
      <c r="K417" t="s">
        <v>118</v>
      </c>
    </row>
    <row r="418" spans="1:11" x14ac:dyDescent="0.35">
      <c r="A418" t="s">
        <v>144</v>
      </c>
      <c r="B418" t="s">
        <v>3</v>
      </c>
      <c r="C418" s="27">
        <v>68</v>
      </c>
      <c r="D418">
        <v>10</v>
      </c>
      <c r="E418">
        <v>33</v>
      </c>
      <c r="F418" s="4">
        <f t="shared" si="6"/>
        <v>2244</v>
      </c>
      <c r="G418" t="str">
        <f>IF(Table2[[#This Row],[Sold]]&gt;1000,"High Quality","Normal Quality")</f>
        <v>Normal Quality</v>
      </c>
      <c r="H418" s="12">
        <v>45373.620358796295</v>
      </c>
      <c r="I418" t="s">
        <v>349</v>
      </c>
      <c r="J418" t="s">
        <v>286</v>
      </c>
      <c r="K418" t="s">
        <v>118</v>
      </c>
    </row>
    <row r="419" spans="1:11" x14ac:dyDescent="0.35">
      <c r="A419" t="s">
        <v>255</v>
      </c>
      <c r="B419" t="s">
        <v>3</v>
      </c>
      <c r="C419" s="27">
        <v>40.130000000000003</v>
      </c>
      <c r="D419">
        <v>19</v>
      </c>
      <c r="E419">
        <v>2703</v>
      </c>
      <c r="F419" s="4">
        <f t="shared" si="6"/>
        <v>108471.39000000001</v>
      </c>
      <c r="G419" t="str">
        <f>IF(Table2[[#This Row],[Sold]]&gt;1000,"High Quality","Normal Quality")</f>
        <v>High Quality</v>
      </c>
      <c r="H419" s="12">
        <v>45373.628865740742</v>
      </c>
      <c r="I419" t="s">
        <v>290</v>
      </c>
      <c r="J419" t="s">
        <v>506</v>
      </c>
      <c r="K419" t="s">
        <v>118</v>
      </c>
    </row>
    <row r="420" spans="1:11" x14ac:dyDescent="0.35">
      <c r="A420" t="s">
        <v>10</v>
      </c>
      <c r="B420" t="s">
        <v>1</v>
      </c>
      <c r="C420" s="27">
        <v>119.99</v>
      </c>
      <c r="D420">
        <v>10</v>
      </c>
      <c r="E420">
        <v>21</v>
      </c>
      <c r="F420" s="4">
        <f t="shared" si="6"/>
        <v>2519.79</v>
      </c>
      <c r="G420" t="str">
        <f>IF(Table2[[#This Row],[Sold]]&gt;1000,"High Quality","Normal Quality")</f>
        <v>Normal Quality</v>
      </c>
      <c r="H420" s="12">
        <v>45373.658703703702</v>
      </c>
      <c r="I420" t="s">
        <v>424</v>
      </c>
      <c r="J420" t="s">
        <v>505</v>
      </c>
      <c r="K420" t="s">
        <v>118</v>
      </c>
    </row>
    <row r="421" spans="1:11" x14ac:dyDescent="0.35">
      <c r="A421" t="s">
        <v>22</v>
      </c>
      <c r="B421" t="s">
        <v>1</v>
      </c>
      <c r="C421" s="27">
        <v>71.489999999999995</v>
      </c>
      <c r="D421">
        <v>3</v>
      </c>
      <c r="E421">
        <v>31</v>
      </c>
      <c r="F421" s="4">
        <f t="shared" si="6"/>
        <v>2216.19</v>
      </c>
      <c r="G421" t="str">
        <f>IF(Table2[[#This Row],[Sold]]&gt;1000,"High Quality","Normal Quality")</f>
        <v>Normal Quality</v>
      </c>
      <c r="H421" s="12">
        <v>45373.689004629632</v>
      </c>
      <c r="I421" t="s">
        <v>329</v>
      </c>
      <c r="J421" t="s">
        <v>274</v>
      </c>
      <c r="K421" t="s">
        <v>118</v>
      </c>
    </row>
    <row r="422" spans="1:11" x14ac:dyDescent="0.35">
      <c r="A422" t="s">
        <v>203</v>
      </c>
      <c r="B422" t="s">
        <v>3</v>
      </c>
      <c r="C422" s="27">
        <v>33.5</v>
      </c>
      <c r="D422">
        <v>0</v>
      </c>
      <c r="E422">
        <v>1511</v>
      </c>
      <c r="F422" s="4">
        <f t="shared" si="6"/>
        <v>50618.5</v>
      </c>
      <c r="G422" t="str">
        <f>IF(Table2[[#This Row],[Sold]]&gt;1000,"High Quality","Normal Quality")</f>
        <v>High Quality</v>
      </c>
      <c r="H422" s="12">
        <v>45373.68953703704</v>
      </c>
      <c r="I422" t="s">
        <v>509</v>
      </c>
      <c r="J422" t="s">
        <v>505</v>
      </c>
      <c r="K422" t="s">
        <v>118</v>
      </c>
    </row>
    <row r="423" spans="1:11" x14ac:dyDescent="0.35">
      <c r="A423" t="s">
        <v>231</v>
      </c>
      <c r="B423" t="s">
        <v>3</v>
      </c>
      <c r="C423" s="27">
        <v>178.99</v>
      </c>
      <c r="D423">
        <v>0</v>
      </c>
      <c r="E423">
        <v>77</v>
      </c>
      <c r="F423" s="4">
        <f t="shared" si="6"/>
        <v>13782.230000000001</v>
      </c>
      <c r="G423" t="str">
        <f>IF(Table2[[#This Row],[Sold]]&gt;1000,"High Quality","Normal Quality")</f>
        <v>Normal Quality</v>
      </c>
      <c r="H423" s="12">
        <v>45373.692523148151</v>
      </c>
      <c r="I423" t="s">
        <v>334</v>
      </c>
      <c r="J423" t="s">
        <v>274</v>
      </c>
      <c r="K423" t="s">
        <v>118</v>
      </c>
    </row>
    <row r="424" spans="1:11" x14ac:dyDescent="0.35">
      <c r="A424" t="s">
        <v>13</v>
      </c>
      <c r="B424" t="s">
        <v>1</v>
      </c>
      <c r="C424" s="27">
        <v>104.99</v>
      </c>
      <c r="D424">
        <v>16</v>
      </c>
      <c r="E424">
        <v>38</v>
      </c>
      <c r="F424" s="4">
        <f t="shared" si="6"/>
        <v>3989.62</v>
      </c>
      <c r="G424" t="str">
        <f>IF(Table2[[#This Row],[Sold]]&gt;1000,"High Quality","Normal Quality")</f>
        <v>Normal Quality</v>
      </c>
      <c r="H424" s="12">
        <v>45373.700578703705</v>
      </c>
      <c r="I424" t="s">
        <v>424</v>
      </c>
      <c r="J424" t="s">
        <v>505</v>
      </c>
      <c r="K424" t="s">
        <v>118</v>
      </c>
    </row>
    <row r="425" spans="1:11" x14ac:dyDescent="0.35">
      <c r="A425" t="s">
        <v>243</v>
      </c>
      <c r="B425" t="s">
        <v>1</v>
      </c>
      <c r="C425" s="27">
        <v>85.2</v>
      </c>
      <c r="D425">
        <v>10</v>
      </c>
      <c r="E425">
        <v>73</v>
      </c>
      <c r="F425" s="4">
        <f t="shared" si="6"/>
        <v>6219.6</v>
      </c>
      <c r="G425" t="str">
        <f>IF(Table2[[#This Row],[Sold]]&gt;1000,"High Quality","Normal Quality")</f>
        <v>Normal Quality</v>
      </c>
      <c r="H425" s="12">
        <v>45373.703541666669</v>
      </c>
      <c r="I425" t="s">
        <v>285</v>
      </c>
      <c r="J425" t="s">
        <v>286</v>
      </c>
      <c r="K425" t="s">
        <v>118</v>
      </c>
    </row>
    <row r="426" spans="1:11" x14ac:dyDescent="0.35">
      <c r="A426" t="s">
        <v>23</v>
      </c>
      <c r="B426" t="s">
        <v>3</v>
      </c>
      <c r="C426" s="27">
        <v>103.98</v>
      </c>
      <c r="D426">
        <v>0</v>
      </c>
      <c r="E426">
        <v>350</v>
      </c>
      <c r="F426" s="4">
        <f t="shared" si="6"/>
        <v>36393</v>
      </c>
      <c r="G426" t="str">
        <f>IF(Table2[[#This Row],[Sold]]&gt;1000,"High Quality","Normal Quality")</f>
        <v>Normal Quality</v>
      </c>
      <c r="H426" s="12">
        <v>45373.706018518518</v>
      </c>
      <c r="I426" t="s">
        <v>290</v>
      </c>
      <c r="J426" t="s">
        <v>506</v>
      </c>
      <c r="K426" t="s">
        <v>118</v>
      </c>
    </row>
    <row r="427" spans="1:11" x14ac:dyDescent="0.35">
      <c r="A427" t="s">
        <v>222</v>
      </c>
      <c r="B427" t="s">
        <v>1</v>
      </c>
      <c r="C427" s="27">
        <v>9.99</v>
      </c>
      <c r="D427">
        <v>8</v>
      </c>
      <c r="E427">
        <v>32</v>
      </c>
      <c r="F427" s="4">
        <f t="shared" si="6"/>
        <v>319.68</v>
      </c>
      <c r="G427" t="str">
        <f>IF(Table2[[#This Row],[Sold]]&gt;1000,"High Quality","Normal Quality")</f>
        <v>Normal Quality</v>
      </c>
      <c r="H427" s="12">
        <v>45373.709432870368</v>
      </c>
      <c r="I427" t="s">
        <v>496</v>
      </c>
      <c r="J427" t="s">
        <v>267</v>
      </c>
      <c r="K427" t="s">
        <v>118</v>
      </c>
    </row>
    <row r="428" spans="1:11" x14ac:dyDescent="0.35">
      <c r="A428" t="s">
        <v>73</v>
      </c>
      <c r="B428" t="s">
        <v>3</v>
      </c>
      <c r="C428" s="27">
        <v>18.32</v>
      </c>
      <c r="D428">
        <v>10</v>
      </c>
      <c r="E428">
        <v>211</v>
      </c>
      <c r="F428" s="4">
        <f t="shared" si="6"/>
        <v>3865.52</v>
      </c>
      <c r="G428" t="str">
        <f>IF(Table2[[#This Row],[Sold]]&gt;1000,"High Quality","Normal Quality")</f>
        <v>Normal Quality</v>
      </c>
      <c r="H428" s="12">
        <v>45373.7187037037</v>
      </c>
      <c r="I428" t="s">
        <v>290</v>
      </c>
      <c r="J428" t="s">
        <v>506</v>
      </c>
      <c r="K428" t="s">
        <v>118</v>
      </c>
    </row>
    <row r="429" spans="1:11" x14ac:dyDescent="0.35">
      <c r="A429" t="s">
        <v>39</v>
      </c>
      <c r="B429" t="s">
        <v>3</v>
      </c>
      <c r="C429" s="27">
        <v>49.99</v>
      </c>
      <c r="D429">
        <v>10</v>
      </c>
      <c r="E429">
        <v>24</v>
      </c>
      <c r="F429" s="4">
        <f t="shared" si="6"/>
        <v>1199.76</v>
      </c>
      <c r="G429" t="str">
        <f>IF(Table2[[#This Row],[Sold]]&gt;1000,"High Quality","Normal Quality")</f>
        <v>Normal Quality</v>
      </c>
      <c r="H429" s="12">
        <v>45373.727650462963</v>
      </c>
      <c r="I429" t="s">
        <v>364</v>
      </c>
      <c r="J429" t="s">
        <v>283</v>
      </c>
      <c r="K429" t="s">
        <v>333</v>
      </c>
    </row>
    <row r="430" spans="1:11" x14ac:dyDescent="0.35">
      <c r="A430" t="s">
        <v>9</v>
      </c>
      <c r="B430" t="s">
        <v>3</v>
      </c>
      <c r="C430" s="27">
        <v>38.57</v>
      </c>
      <c r="D430">
        <v>10</v>
      </c>
      <c r="E430">
        <v>1503</v>
      </c>
      <c r="F430" s="4">
        <f t="shared" si="6"/>
        <v>57970.71</v>
      </c>
      <c r="G430" t="str">
        <f>IF(Table2[[#This Row],[Sold]]&gt;1000,"High Quality","Normal Quality")</f>
        <v>High Quality</v>
      </c>
      <c r="H430" s="12">
        <v>45373.730254629627</v>
      </c>
      <c r="I430" t="s">
        <v>291</v>
      </c>
      <c r="J430" t="s">
        <v>274</v>
      </c>
      <c r="K430" t="s">
        <v>118</v>
      </c>
    </row>
    <row r="431" spans="1:11" x14ac:dyDescent="0.35">
      <c r="A431" t="s">
        <v>39</v>
      </c>
      <c r="B431" t="s">
        <v>3</v>
      </c>
      <c r="C431" s="27">
        <v>52.99</v>
      </c>
      <c r="D431">
        <v>10</v>
      </c>
      <c r="E431">
        <v>34</v>
      </c>
      <c r="F431" s="4">
        <f t="shared" si="6"/>
        <v>1801.66</v>
      </c>
      <c r="G431" t="str">
        <f>IF(Table2[[#This Row],[Sold]]&gt;1000,"High Quality","Normal Quality")</f>
        <v>Normal Quality</v>
      </c>
      <c r="H431" s="12">
        <v>45373.735567129632</v>
      </c>
      <c r="I431" t="s">
        <v>544</v>
      </c>
      <c r="J431" t="s">
        <v>317</v>
      </c>
      <c r="K431" t="s">
        <v>333</v>
      </c>
    </row>
    <row r="432" spans="1:11" x14ac:dyDescent="0.35">
      <c r="A432" t="s">
        <v>195</v>
      </c>
      <c r="B432" t="s">
        <v>1</v>
      </c>
      <c r="C432" s="27">
        <v>119.99</v>
      </c>
      <c r="D432">
        <v>10</v>
      </c>
      <c r="E432">
        <v>13</v>
      </c>
      <c r="F432" s="4">
        <f t="shared" si="6"/>
        <v>1559.87</v>
      </c>
      <c r="G432" t="str">
        <f>IF(Table2[[#This Row],[Sold]]&gt;1000,"High Quality","Normal Quality")</f>
        <v>Normal Quality</v>
      </c>
      <c r="H432" s="12">
        <v>45373.747928240744</v>
      </c>
      <c r="I432" t="s">
        <v>546</v>
      </c>
      <c r="J432" t="s">
        <v>318</v>
      </c>
      <c r="K432" t="s">
        <v>333</v>
      </c>
    </row>
    <row r="433" spans="1:11" x14ac:dyDescent="0.35">
      <c r="A433" t="s">
        <v>23</v>
      </c>
      <c r="B433" t="s">
        <v>3</v>
      </c>
      <c r="C433" s="27">
        <v>59.99</v>
      </c>
      <c r="D433">
        <v>10</v>
      </c>
      <c r="E433">
        <v>3</v>
      </c>
      <c r="F433" s="4">
        <f t="shared" si="6"/>
        <v>179.97</v>
      </c>
      <c r="G433" t="str">
        <f>IF(Table2[[#This Row],[Sold]]&gt;1000,"High Quality","Normal Quality")</f>
        <v>Normal Quality</v>
      </c>
      <c r="H433" s="12">
        <v>45373.748298611114</v>
      </c>
      <c r="I433" t="s">
        <v>506</v>
      </c>
      <c r="J433" t="s">
        <v>505</v>
      </c>
      <c r="K433" t="s">
        <v>379</v>
      </c>
    </row>
    <row r="434" spans="1:11" x14ac:dyDescent="0.35">
      <c r="A434" t="s">
        <v>27</v>
      </c>
      <c r="B434" t="s">
        <v>3</v>
      </c>
      <c r="C434" s="27">
        <v>24.5</v>
      </c>
      <c r="D434">
        <v>116</v>
      </c>
      <c r="E434">
        <v>4</v>
      </c>
      <c r="F434" s="4">
        <f t="shared" si="6"/>
        <v>98</v>
      </c>
      <c r="G434" t="str">
        <f>IF(Table2[[#This Row],[Sold]]&gt;1000,"High Quality","Normal Quality")</f>
        <v>Normal Quality</v>
      </c>
      <c r="H434" s="12">
        <v>45373.762291666666</v>
      </c>
      <c r="I434" t="s">
        <v>314</v>
      </c>
      <c r="J434" t="s">
        <v>315</v>
      </c>
      <c r="K434" t="s">
        <v>118</v>
      </c>
    </row>
    <row r="435" spans="1:11" x14ac:dyDescent="0.35">
      <c r="A435" t="s">
        <v>9</v>
      </c>
      <c r="B435" t="s">
        <v>3</v>
      </c>
      <c r="C435" s="27">
        <v>26.5</v>
      </c>
      <c r="D435">
        <v>10</v>
      </c>
      <c r="E435">
        <v>3</v>
      </c>
      <c r="F435" s="4">
        <f t="shared" si="6"/>
        <v>79.5</v>
      </c>
      <c r="G435" t="str">
        <f>IF(Table2[[#This Row],[Sold]]&gt;1000,"High Quality","Normal Quality")</f>
        <v>Normal Quality</v>
      </c>
      <c r="H435" s="12">
        <v>45373.76253472222</v>
      </c>
      <c r="I435" t="s">
        <v>314</v>
      </c>
      <c r="J435" t="s">
        <v>315</v>
      </c>
      <c r="K435" t="s">
        <v>118</v>
      </c>
    </row>
    <row r="436" spans="1:11" x14ac:dyDescent="0.35">
      <c r="A436" t="s">
        <v>57</v>
      </c>
      <c r="B436" t="s">
        <v>3</v>
      </c>
      <c r="C436" s="27">
        <v>25.1</v>
      </c>
      <c r="D436">
        <v>0</v>
      </c>
      <c r="E436">
        <v>5076</v>
      </c>
      <c r="F436" s="4">
        <f t="shared" si="6"/>
        <v>127407.6</v>
      </c>
      <c r="G436" t="str">
        <f>IF(Table2[[#This Row],[Sold]]&gt;1000,"High Quality","Normal Quality")</f>
        <v>High Quality</v>
      </c>
      <c r="H436" s="12">
        <v>45373.763877314814</v>
      </c>
      <c r="I436" t="s">
        <v>290</v>
      </c>
      <c r="J436" t="s">
        <v>506</v>
      </c>
      <c r="K436" t="s">
        <v>118</v>
      </c>
    </row>
    <row r="437" spans="1:11" x14ac:dyDescent="0.35">
      <c r="A437" t="s">
        <v>231</v>
      </c>
      <c r="B437" t="s">
        <v>1</v>
      </c>
      <c r="C437" s="27">
        <v>25.95</v>
      </c>
      <c r="D437">
        <v>0</v>
      </c>
      <c r="E437">
        <v>2</v>
      </c>
      <c r="F437" s="4">
        <f t="shared" si="6"/>
        <v>51.9</v>
      </c>
      <c r="G437" t="str">
        <f>IF(Table2[[#This Row],[Sold]]&gt;1000,"High Quality","Normal Quality")</f>
        <v>Normal Quality</v>
      </c>
      <c r="H437" s="12">
        <v>45373.766157407408</v>
      </c>
      <c r="I437" t="s">
        <v>420</v>
      </c>
      <c r="J437" t="s">
        <v>396</v>
      </c>
      <c r="K437" t="s">
        <v>118</v>
      </c>
    </row>
    <row r="438" spans="1:11" x14ac:dyDescent="0.35">
      <c r="A438" t="s">
        <v>39</v>
      </c>
      <c r="B438" t="s">
        <v>1</v>
      </c>
      <c r="C438" s="27">
        <v>49.99</v>
      </c>
      <c r="D438">
        <v>5</v>
      </c>
      <c r="E438">
        <v>43</v>
      </c>
      <c r="F438" s="4">
        <f t="shared" si="6"/>
        <v>2149.5700000000002</v>
      </c>
      <c r="G438" t="str">
        <f>IF(Table2[[#This Row],[Sold]]&gt;1000,"High Quality","Normal Quality")</f>
        <v>Normal Quality</v>
      </c>
      <c r="H438" s="12">
        <v>45373.766238425924</v>
      </c>
      <c r="I438" t="s">
        <v>544</v>
      </c>
      <c r="J438" t="s">
        <v>317</v>
      </c>
      <c r="K438" t="s">
        <v>333</v>
      </c>
    </row>
    <row r="439" spans="1:11" x14ac:dyDescent="0.35">
      <c r="A439" t="s">
        <v>2</v>
      </c>
      <c r="B439" t="s">
        <v>1</v>
      </c>
      <c r="C439" s="27">
        <v>16.989999999999998</v>
      </c>
      <c r="D439">
        <v>10</v>
      </c>
      <c r="E439">
        <v>22</v>
      </c>
      <c r="F439" s="4">
        <f t="shared" si="6"/>
        <v>373.78</v>
      </c>
      <c r="G439" t="str">
        <f>IF(Table2[[#This Row],[Sold]]&gt;1000,"High Quality","Normal Quality")</f>
        <v>Normal Quality</v>
      </c>
      <c r="H439" s="12">
        <v>45373.776701388888</v>
      </c>
      <c r="I439" t="s">
        <v>344</v>
      </c>
      <c r="J439" t="s">
        <v>277</v>
      </c>
      <c r="K439" t="s">
        <v>118</v>
      </c>
    </row>
    <row r="440" spans="1:11" x14ac:dyDescent="0.35">
      <c r="A440" t="s">
        <v>60</v>
      </c>
      <c r="B440" t="s">
        <v>1</v>
      </c>
      <c r="C440" s="27">
        <v>13.15</v>
      </c>
      <c r="D440">
        <v>6</v>
      </c>
      <c r="E440">
        <v>7</v>
      </c>
      <c r="F440" s="4">
        <f t="shared" si="6"/>
        <v>92.05</v>
      </c>
      <c r="G440" t="str">
        <f>IF(Table2[[#This Row],[Sold]]&gt;1000,"High Quality","Normal Quality")</f>
        <v>Normal Quality</v>
      </c>
      <c r="H440" s="12">
        <v>45373.776782407411</v>
      </c>
      <c r="I440" t="s">
        <v>509</v>
      </c>
      <c r="J440" t="s">
        <v>505</v>
      </c>
      <c r="K440" t="s">
        <v>118</v>
      </c>
    </row>
    <row r="441" spans="1:11" x14ac:dyDescent="0.35">
      <c r="A441" t="s">
        <v>44</v>
      </c>
      <c r="B441" t="s">
        <v>45</v>
      </c>
      <c r="C441" s="27">
        <v>36.68</v>
      </c>
      <c r="D441">
        <v>10</v>
      </c>
      <c r="E441">
        <v>9</v>
      </c>
      <c r="F441" s="4">
        <f t="shared" si="6"/>
        <v>330.12</v>
      </c>
      <c r="G441" t="str">
        <f>IF(Table2[[#This Row],[Sold]]&gt;1000,"High Quality","Normal Quality")</f>
        <v>Normal Quality</v>
      </c>
      <c r="H441" s="12">
        <v>45373.784004629626</v>
      </c>
      <c r="I441" t="s">
        <v>334</v>
      </c>
      <c r="J441" t="s">
        <v>274</v>
      </c>
      <c r="K441" t="s">
        <v>118</v>
      </c>
    </row>
    <row r="442" spans="1:11" x14ac:dyDescent="0.35">
      <c r="A442" t="s">
        <v>231</v>
      </c>
      <c r="B442" t="s">
        <v>1</v>
      </c>
      <c r="C442" s="27">
        <v>65.680000000000007</v>
      </c>
      <c r="D442">
        <v>10</v>
      </c>
      <c r="E442">
        <v>11</v>
      </c>
      <c r="F442" s="4">
        <f t="shared" si="6"/>
        <v>722.48</v>
      </c>
      <c r="G442" t="str">
        <f>IF(Table2[[#This Row],[Sold]]&gt;1000,"High Quality","Normal Quality")</f>
        <v>Normal Quality</v>
      </c>
      <c r="H442" s="12">
        <v>45373.784525462965</v>
      </c>
      <c r="I442" t="s">
        <v>310</v>
      </c>
      <c r="J442" t="s">
        <v>282</v>
      </c>
      <c r="K442" t="s">
        <v>118</v>
      </c>
    </row>
    <row r="443" spans="1:11" x14ac:dyDescent="0.35">
      <c r="A443" t="s">
        <v>16</v>
      </c>
      <c r="B443" t="s">
        <v>3</v>
      </c>
      <c r="C443" s="27">
        <v>54.99</v>
      </c>
      <c r="D443">
        <v>3</v>
      </c>
      <c r="E443">
        <v>780</v>
      </c>
      <c r="F443" s="4">
        <f t="shared" si="6"/>
        <v>42892.200000000004</v>
      </c>
      <c r="G443" t="str">
        <f>IF(Table2[[#This Row],[Sold]]&gt;1000,"High Quality","Normal Quality")</f>
        <v>Normal Quality</v>
      </c>
      <c r="H443" s="12">
        <v>45373.785405092596</v>
      </c>
      <c r="I443" t="s">
        <v>511</v>
      </c>
      <c r="J443" t="s">
        <v>274</v>
      </c>
      <c r="K443" t="s">
        <v>118</v>
      </c>
    </row>
    <row r="444" spans="1:11" x14ac:dyDescent="0.35">
      <c r="A444" t="s">
        <v>2</v>
      </c>
      <c r="B444" t="s">
        <v>1</v>
      </c>
      <c r="C444" s="27">
        <v>15.99</v>
      </c>
      <c r="D444">
        <v>0</v>
      </c>
      <c r="E444">
        <v>7</v>
      </c>
      <c r="F444" s="4">
        <f t="shared" si="6"/>
        <v>111.93</v>
      </c>
      <c r="G444" t="str">
        <f>IF(Table2[[#This Row],[Sold]]&gt;1000,"High Quality","Normal Quality")</f>
        <v>Normal Quality</v>
      </c>
      <c r="H444" s="12">
        <v>45373.792592592596</v>
      </c>
      <c r="I444" t="s">
        <v>273</v>
      </c>
      <c r="J444" t="s">
        <v>274</v>
      </c>
      <c r="K444" t="s">
        <v>118</v>
      </c>
    </row>
    <row r="445" spans="1:11" x14ac:dyDescent="0.35">
      <c r="A445" t="s">
        <v>89</v>
      </c>
      <c r="B445" t="s">
        <v>1</v>
      </c>
      <c r="C445" s="27">
        <v>69.989999999999995</v>
      </c>
      <c r="D445">
        <v>3</v>
      </c>
      <c r="E445">
        <v>6</v>
      </c>
      <c r="F445" s="4">
        <f t="shared" si="6"/>
        <v>419.93999999999994</v>
      </c>
      <c r="G445" t="str">
        <f>IF(Table2[[#This Row],[Sold]]&gt;1000,"High Quality","Normal Quality")</f>
        <v>Normal Quality</v>
      </c>
      <c r="H445" s="12">
        <v>45373.792592592596</v>
      </c>
      <c r="I445" t="s">
        <v>433</v>
      </c>
      <c r="J445" t="s">
        <v>283</v>
      </c>
      <c r="K445" t="s">
        <v>536</v>
      </c>
    </row>
    <row r="446" spans="1:11" x14ac:dyDescent="0.35">
      <c r="A446" t="s">
        <v>148</v>
      </c>
      <c r="B446" t="s">
        <v>1</v>
      </c>
      <c r="C446" s="27">
        <v>99.86</v>
      </c>
      <c r="D446">
        <v>10</v>
      </c>
      <c r="E446">
        <v>4</v>
      </c>
      <c r="F446" s="4">
        <f t="shared" si="6"/>
        <v>399.44</v>
      </c>
      <c r="G446" t="str">
        <f>IF(Table2[[#This Row],[Sold]]&gt;1000,"High Quality","Normal Quality")</f>
        <v>Normal Quality</v>
      </c>
      <c r="H446" s="12">
        <v>45373.79278935185</v>
      </c>
      <c r="I446" t="s">
        <v>509</v>
      </c>
      <c r="J446" t="s">
        <v>505</v>
      </c>
      <c r="K446" t="s">
        <v>118</v>
      </c>
    </row>
    <row r="447" spans="1:11" x14ac:dyDescent="0.35">
      <c r="A447" t="s">
        <v>189</v>
      </c>
      <c r="B447" t="s">
        <v>3</v>
      </c>
      <c r="C447" s="27">
        <v>54.99</v>
      </c>
      <c r="D447">
        <v>5</v>
      </c>
      <c r="E447">
        <v>8</v>
      </c>
      <c r="F447" s="4">
        <f t="shared" si="6"/>
        <v>439.92</v>
      </c>
      <c r="G447" t="str">
        <f>IF(Table2[[#This Row],[Sold]]&gt;1000,"High Quality","Normal Quality")</f>
        <v>Normal Quality</v>
      </c>
      <c r="H447" s="12">
        <v>45373.793668981481</v>
      </c>
      <c r="I447" t="s">
        <v>300</v>
      </c>
      <c r="J447" t="s">
        <v>505</v>
      </c>
      <c r="K447" t="s">
        <v>118</v>
      </c>
    </row>
    <row r="448" spans="1:11" x14ac:dyDescent="0.35">
      <c r="A448" t="s">
        <v>233</v>
      </c>
      <c r="B448" t="s">
        <v>1</v>
      </c>
      <c r="C448" s="27">
        <v>82.99</v>
      </c>
      <c r="D448">
        <v>10</v>
      </c>
      <c r="E448">
        <v>5</v>
      </c>
      <c r="F448" s="4">
        <f t="shared" si="6"/>
        <v>414.95</v>
      </c>
      <c r="G448" t="str">
        <f>IF(Table2[[#This Row],[Sold]]&gt;1000,"High Quality","Normal Quality")</f>
        <v>Normal Quality</v>
      </c>
      <c r="H448" s="12">
        <v>45373.803101851852</v>
      </c>
      <c r="I448" t="s">
        <v>293</v>
      </c>
      <c r="J448" t="s">
        <v>505</v>
      </c>
      <c r="K448" t="s">
        <v>118</v>
      </c>
    </row>
    <row r="449" spans="1:11" x14ac:dyDescent="0.35">
      <c r="A449" t="s">
        <v>241</v>
      </c>
      <c r="B449" t="s">
        <v>1</v>
      </c>
      <c r="C449" s="27">
        <v>23.49</v>
      </c>
      <c r="D449">
        <v>0</v>
      </c>
      <c r="E449">
        <v>6</v>
      </c>
      <c r="F449" s="4">
        <f t="shared" si="6"/>
        <v>140.94</v>
      </c>
      <c r="G449" t="str">
        <f>IF(Table2[[#This Row],[Sold]]&gt;1000,"High Quality","Normal Quality")</f>
        <v>Normal Quality</v>
      </c>
      <c r="H449" s="12">
        <v>45373.806064814817</v>
      </c>
      <c r="I449" t="s">
        <v>509</v>
      </c>
      <c r="J449" t="s">
        <v>505</v>
      </c>
      <c r="K449" t="s">
        <v>118</v>
      </c>
    </row>
    <row r="450" spans="1:11" x14ac:dyDescent="0.35">
      <c r="A450" t="s">
        <v>53</v>
      </c>
      <c r="B450" t="s">
        <v>45</v>
      </c>
      <c r="C450" s="27">
        <v>45.68</v>
      </c>
      <c r="D450">
        <v>10</v>
      </c>
      <c r="E450">
        <v>5</v>
      </c>
      <c r="F450" s="4">
        <f t="shared" ref="F450:F513" si="7">C:C*E:E</f>
        <v>228.4</v>
      </c>
      <c r="G450" t="str">
        <f>IF(Table2[[#This Row],[Sold]]&gt;1000,"High Quality","Normal Quality")</f>
        <v>Normal Quality</v>
      </c>
      <c r="H450" s="12">
        <v>45373.819988425923</v>
      </c>
      <c r="I450" t="s">
        <v>310</v>
      </c>
      <c r="J450" t="s">
        <v>282</v>
      </c>
      <c r="K450" t="s">
        <v>118</v>
      </c>
    </row>
    <row r="451" spans="1:11" x14ac:dyDescent="0.35">
      <c r="A451" t="s">
        <v>151</v>
      </c>
      <c r="B451" t="s">
        <v>3</v>
      </c>
      <c r="C451" s="27">
        <v>15.39</v>
      </c>
      <c r="D451">
        <v>10</v>
      </c>
      <c r="E451">
        <v>1</v>
      </c>
      <c r="F451" s="4">
        <f t="shared" si="7"/>
        <v>15.39</v>
      </c>
      <c r="G451" t="str">
        <f>IF(Table2[[#This Row],[Sold]]&gt;1000,"High Quality","Normal Quality")</f>
        <v>Normal Quality</v>
      </c>
      <c r="H451" s="12">
        <v>45373.821099537039</v>
      </c>
      <c r="I451" t="s">
        <v>273</v>
      </c>
      <c r="J451" t="s">
        <v>274</v>
      </c>
      <c r="K451" t="s">
        <v>118</v>
      </c>
    </row>
    <row r="452" spans="1:11" x14ac:dyDescent="0.35">
      <c r="A452" t="s">
        <v>9</v>
      </c>
      <c r="B452" t="s">
        <v>3</v>
      </c>
      <c r="C452" s="27">
        <v>32.979999999999997</v>
      </c>
      <c r="D452">
        <v>5</v>
      </c>
      <c r="E452">
        <v>507</v>
      </c>
      <c r="F452" s="4">
        <f t="shared" si="7"/>
        <v>16720.859999999997</v>
      </c>
      <c r="G452" t="str">
        <f>IF(Table2[[#This Row],[Sold]]&gt;1000,"High Quality","Normal Quality")</f>
        <v>Normal Quality</v>
      </c>
      <c r="H452" s="12">
        <v>45373.825358796297</v>
      </c>
      <c r="I452" t="s">
        <v>290</v>
      </c>
      <c r="J452" t="s">
        <v>506</v>
      </c>
      <c r="K452" t="s">
        <v>118</v>
      </c>
    </row>
    <row r="453" spans="1:11" x14ac:dyDescent="0.35">
      <c r="A453" t="s">
        <v>13</v>
      </c>
      <c r="B453" t="s">
        <v>1</v>
      </c>
      <c r="C453" s="27">
        <v>86.99</v>
      </c>
      <c r="D453">
        <v>3</v>
      </c>
      <c r="E453">
        <v>28</v>
      </c>
      <c r="F453" s="4">
        <f t="shared" si="7"/>
        <v>2435.7199999999998</v>
      </c>
      <c r="G453" t="str">
        <f>IF(Table2[[#This Row],[Sold]]&gt;1000,"High Quality","Normal Quality")</f>
        <v>Normal Quality</v>
      </c>
      <c r="H453" s="12">
        <v>45373.846493055556</v>
      </c>
      <c r="I453" t="s">
        <v>329</v>
      </c>
      <c r="J453" t="s">
        <v>274</v>
      </c>
      <c r="K453" t="s">
        <v>118</v>
      </c>
    </row>
    <row r="454" spans="1:11" x14ac:dyDescent="0.35">
      <c r="A454" t="s">
        <v>23</v>
      </c>
      <c r="B454" t="s">
        <v>3</v>
      </c>
      <c r="C454" s="27">
        <v>36.99</v>
      </c>
      <c r="D454">
        <v>0</v>
      </c>
      <c r="E454">
        <v>32</v>
      </c>
      <c r="F454" s="4">
        <f t="shared" si="7"/>
        <v>1183.68</v>
      </c>
      <c r="G454" t="str">
        <f>IF(Table2[[#This Row],[Sold]]&gt;1000,"High Quality","Normal Quality")</f>
        <v>Normal Quality</v>
      </c>
      <c r="H454" s="12">
        <v>45373.859432870369</v>
      </c>
      <c r="I454" t="s">
        <v>335</v>
      </c>
      <c r="J454" t="s">
        <v>282</v>
      </c>
      <c r="K454" t="s">
        <v>118</v>
      </c>
    </row>
    <row r="455" spans="1:11" x14ac:dyDescent="0.35">
      <c r="A455" t="s">
        <v>107</v>
      </c>
      <c r="B455" t="s">
        <v>3</v>
      </c>
      <c r="C455" s="27">
        <v>49.81</v>
      </c>
      <c r="D455">
        <v>4</v>
      </c>
      <c r="E455">
        <v>15</v>
      </c>
      <c r="F455" s="4">
        <f t="shared" si="7"/>
        <v>747.15000000000009</v>
      </c>
      <c r="G455" t="str">
        <f>IF(Table2[[#This Row],[Sold]]&gt;1000,"High Quality","Normal Quality")</f>
        <v>Normal Quality</v>
      </c>
      <c r="H455" s="12">
        <v>45373.87263888889</v>
      </c>
      <c r="I455" t="s">
        <v>509</v>
      </c>
      <c r="J455" t="s">
        <v>505</v>
      </c>
      <c r="K455" t="s">
        <v>118</v>
      </c>
    </row>
    <row r="456" spans="1:11" x14ac:dyDescent="0.35">
      <c r="A456" t="s">
        <v>75</v>
      </c>
      <c r="B456" t="s">
        <v>1</v>
      </c>
      <c r="C456" s="27">
        <v>28.65</v>
      </c>
      <c r="D456">
        <v>5</v>
      </c>
      <c r="E456">
        <v>9</v>
      </c>
      <c r="F456" s="4">
        <f t="shared" si="7"/>
        <v>257.84999999999997</v>
      </c>
      <c r="G456" t="str">
        <f>IF(Table2[[#This Row],[Sold]]&gt;1000,"High Quality","Normal Quality")</f>
        <v>Normal Quality</v>
      </c>
      <c r="H456" s="12">
        <v>45373.893622685187</v>
      </c>
      <c r="I456" t="s">
        <v>509</v>
      </c>
      <c r="J456" t="s">
        <v>505</v>
      </c>
      <c r="K456" t="s">
        <v>118</v>
      </c>
    </row>
    <row r="457" spans="1:11" x14ac:dyDescent="0.35">
      <c r="A457" t="s">
        <v>138</v>
      </c>
      <c r="B457" t="s">
        <v>37</v>
      </c>
      <c r="C457" s="27">
        <v>20.48</v>
      </c>
      <c r="D457">
        <v>0</v>
      </c>
      <c r="E457">
        <v>2624</v>
      </c>
      <c r="F457" s="4">
        <f t="shared" si="7"/>
        <v>53739.520000000004</v>
      </c>
      <c r="G457" t="str">
        <f>IF(Table2[[#This Row],[Sold]]&gt;1000,"High Quality","Normal Quality")</f>
        <v>High Quality</v>
      </c>
      <c r="H457" s="12">
        <v>45373.90357638889</v>
      </c>
      <c r="I457" t="s">
        <v>290</v>
      </c>
      <c r="J457" t="s">
        <v>506</v>
      </c>
      <c r="K457" t="s">
        <v>118</v>
      </c>
    </row>
    <row r="458" spans="1:11" x14ac:dyDescent="0.35">
      <c r="A458" t="s">
        <v>2</v>
      </c>
      <c r="B458" t="s">
        <v>3</v>
      </c>
      <c r="C458" s="27">
        <v>100</v>
      </c>
      <c r="D458">
        <v>9</v>
      </c>
      <c r="E458">
        <v>27</v>
      </c>
      <c r="F458" s="4">
        <f t="shared" si="7"/>
        <v>2700</v>
      </c>
      <c r="G458" t="str">
        <f>IF(Table2[[#This Row],[Sold]]&gt;1000,"High Quality","Normal Quality")</f>
        <v>Normal Quality</v>
      </c>
      <c r="H458" s="12">
        <v>45373.91369212963</v>
      </c>
      <c r="I458" t="s">
        <v>271</v>
      </c>
      <c r="J458" t="s">
        <v>266</v>
      </c>
      <c r="K458" t="s">
        <v>118</v>
      </c>
    </row>
    <row r="459" spans="1:11" x14ac:dyDescent="0.35">
      <c r="A459" t="s">
        <v>2</v>
      </c>
      <c r="B459" t="s">
        <v>1</v>
      </c>
      <c r="C459" s="27">
        <v>15.89</v>
      </c>
      <c r="D459">
        <v>2</v>
      </c>
      <c r="E459">
        <v>8</v>
      </c>
      <c r="F459" s="4">
        <f t="shared" si="7"/>
        <v>127.12</v>
      </c>
      <c r="G459" t="str">
        <f>IF(Table2[[#This Row],[Sold]]&gt;1000,"High Quality","Normal Quality")</f>
        <v>Normal Quality</v>
      </c>
      <c r="H459" s="12">
        <v>45373.940462962964</v>
      </c>
      <c r="I459" t="s">
        <v>541</v>
      </c>
      <c r="J459" t="s">
        <v>277</v>
      </c>
      <c r="K459" t="s">
        <v>333</v>
      </c>
    </row>
    <row r="460" spans="1:11" x14ac:dyDescent="0.35">
      <c r="A460" t="s">
        <v>107</v>
      </c>
      <c r="B460" t="s">
        <v>3</v>
      </c>
      <c r="C460" s="27">
        <v>37.99</v>
      </c>
      <c r="D460">
        <v>10</v>
      </c>
      <c r="E460">
        <v>2</v>
      </c>
      <c r="F460" s="4">
        <f t="shared" si="7"/>
        <v>75.98</v>
      </c>
      <c r="G460" t="str">
        <f>IF(Table2[[#This Row],[Sold]]&gt;1000,"High Quality","Normal Quality")</f>
        <v>Normal Quality</v>
      </c>
      <c r="H460" s="12">
        <v>45373.942395833335</v>
      </c>
      <c r="I460" t="s">
        <v>369</v>
      </c>
      <c r="J460" t="s">
        <v>506</v>
      </c>
      <c r="K460" t="s">
        <v>118</v>
      </c>
    </row>
    <row r="461" spans="1:11" x14ac:dyDescent="0.35">
      <c r="A461" t="s">
        <v>21</v>
      </c>
      <c r="B461" t="s">
        <v>3</v>
      </c>
      <c r="C461" s="27">
        <v>24.45</v>
      </c>
      <c r="D461">
        <v>8</v>
      </c>
      <c r="E461">
        <v>1691</v>
      </c>
      <c r="F461" s="4">
        <f t="shared" si="7"/>
        <v>41344.949999999997</v>
      </c>
      <c r="G461" t="str">
        <f>IF(Table2[[#This Row],[Sold]]&gt;1000,"High Quality","Normal Quality")</f>
        <v>High Quality</v>
      </c>
      <c r="H461" s="12">
        <v>45373.949363425927</v>
      </c>
      <c r="I461" t="s">
        <v>291</v>
      </c>
      <c r="J461" t="s">
        <v>274</v>
      </c>
      <c r="K461" t="s">
        <v>118</v>
      </c>
    </row>
    <row r="462" spans="1:11" x14ac:dyDescent="0.35">
      <c r="A462" t="s">
        <v>21</v>
      </c>
      <c r="B462" t="s">
        <v>1</v>
      </c>
      <c r="C462" s="27">
        <v>93.91</v>
      </c>
      <c r="D462">
        <v>0</v>
      </c>
      <c r="E462">
        <v>111</v>
      </c>
      <c r="F462" s="4">
        <f t="shared" si="7"/>
        <v>10424.01</v>
      </c>
      <c r="G462" t="str">
        <f>IF(Table2[[#This Row],[Sold]]&gt;1000,"High Quality","Normal Quality")</f>
        <v>Normal Quality</v>
      </c>
      <c r="H462" s="12">
        <v>45373.958506944444</v>
      </c>
      <c r="I462" t="s">
        <v>290</v>
      </c>
      <c r="J462" t="s">
        <v>506</v>
      </c>
      <c r="K462" t="s">
        <v>118</v>
      </c>
    </row>
    <row r="463" spans="1:11" x14ac:dyDescent="0.35">
      <c r="A463" t="s">
        <v>205</v>
      </c>
      <c r="B463" t="s">
        <v>37</v>
      </c>
      <c r="C463" s="27">
        <v>69.97</v>
      </c>
      <c r="D463">
        <v>10</v>
      </c>
      <c r="E463">
        <v>244</v>
      </c>
      <c r="F463" s="4">
        <f t="shared" si="7"/>
        <v>17072.68</v>
      </c>
      <c r="G463" t="str">
        <f>IF(Table2[[#This Row],[Sold]]&gt;1000,"High Quality","Normal Quality")</f>
        <v>Normal Quality</v>
      </c>
      <c r="H463" s="12">
        <v>45373.974189814813</v>
      </c>
      <c r="I463" t="s">
        <v>290</v>
      </c>
      <c r="J463" t="s">
        <v>506</v>
      </c>
      <c r="K463" t="s">
        <v>118</v>
      </c>
    </row>
    <row r="464" spans="1:11" x14ac:dyDescent="0.35">
      <c r="A464" t="s">
        <v>2</v>
      </c>
      <c r="B464" t="s">
        <v>1</v>
      </c>
      <c r="C464" s="27">
        <v>14.6</v>
      </c>
      <c r="D464">
        <v>4</v>
      </c>
      <c r="E464">
        <v>94</v>
      </c>
      <c r="F464" s="4">
        <f t="shared" si="7"/>
        <v>1372.3999999999999</v>
      </c>
      <c r="G464" t="str">
        <f>IF(Table2[[#This Row],[Sold]]&gt;1000,"High Quality","Normal Quality")</f>
        <v>Normal Quality</v>
      </c>
      <c r="H464" s="12">
        <v>45373.979270833333</v>
      </c>
      <c r="I464" t="s">
        <v>365</v>
      </c>
      <c r="J464" t="s">
        <v>383</v>
      </c>
      <c r="K464" t="s">
        <v>537</v>
      </c>
    </row>
    <row r="465" spans="1:11" x14ac:dyDescent="0.35">
      <c r="A465" t="s">
        <v>15</v>
      </c>
      <c r="B465" t="s">
        <v>105</v>
      </c>
      <c r="C465" s="27">
        <v>62.99</v>
      </c>
      <c r="D465">
        <v>74</v>
      </c>
      <c r="E465">
        <v>61</v>
      </c>
      <c r="F465" s="4">
        <f t="shared" si="7"/>
        <v>3842.3900000000003</v>
      </c>
      <c r="G465" t="str">
        <f>IF(Table2[[#This Row],[Sold]]&gt;1000,"High Quality","Normal Quality")</f>
        <v>Normal Quality</v>
      </c>
      <c r="H465" s="12">
        <v>45374.002928240741</v>
      </c>
      <c r="I465" t="s">
        <v>329</v>
      </c>
      <c r="J465" t="s">
        <v>274</v>
      </c>
      <c r="K465" t="s">
        <v>118</v>
      </c>
    </row>
    <row r="466" spans="1:11" x14ac:dyDescent="0.35">
      <c r="A466" t="s">
        <v>10</v>
      </c>
      <c r="B466" t="s">
        <v>3</v>
      </c>
      <c r="C466" s="27">
        <v>36.99</v>
      </c>
      <c r="D466">
        <v>4</v>
      </c>
      <c r="E466">
        <v>98</v>
      </c>
      <c r="F466" s="4">
        <f t="shared" si="7"/>
        <v>3625.02</v>
      </c>
      <c r="G466" t="str">
        <f>IF(Table2[[#This Row],[Sold]]&gt;1000,"High Quality","Normal Quality")</f>
        <v>Normal Quality</v>
      </c>
      <c r="H466" s="12">
        <v>45374.012592592589</v>
      </c>
      <c r="I466" t="s">
        <v>293</v>
      </c>
      <c r="J466" t="s">
        <v>505</v>
      </c>
      <c r="K466" t="s">
        <v>118</v>
      </c>
    </row>
    <row r="467" spans="1:11" x14ac:dyDescent="0.35">
      <c r="A467" t="s">
        <v>32</v>
      </c>
      <c r="B467" t="s">
        <v>3</v>
      </c>
      <c r="C467" s="27">
        <v>24.7</v>
      </c>
      <c r="D467">
        <v>484</v>
      </c>
      <c r="E467">
        <v>12865</v>
      </c>
      <c r="F467" s="4">
        <f t="shared" si="7"/>
        <v>317765.5</v>
      </c>
      <c r="G467" t="str">
        <f>IF(Table2[[#This Row],[Sold]]&gt;1000,"High Quality","Normal Quality")</f>
        <v>High Quality</v>
      </c>
      <c r="H467" s="12">
        <v>45374.01734953704</v>
      </c>
      <c r="I467" t="s">
        <v>291</v>
      </c>
      <c r="J467" t="s">
        <v>274</v>
      </c>
      <c r="K467" t="s">
        <v>118</v>
      </c>
    </row>
    <row r="468" spans="1:11" x14ac:dyDescent="0.35">
      <c r="A468" t="s">
        <v>37</v>
      </c>
      <c r="B468" t="s">
        <v>3</v>
      </c>
      <c r="C468" s="27">
        <v>28.99</v>
      </c>
      <c r="D468">
        <v>10</v>
      </c>
      <c r="E468">
        <v>111</v>
      </c>
      <c r="F468" s="4">
        <f t="shared" si="7"/>
        <v>3217.89</v>
      </c>
      <c r="G468" t="str">
        <f>IF(Table2[[#This Row],[Sold]]&gt;1000,"High Quality","Normal Quality")</f>
        <v>Normal Quality</v>
      </c>
      <c r="H468" s="12">
        <v>45374.029143518521</v>
      </c>
      <c r="I468" t="s">
        <v>287</v>
      </c>
      <c r="J468" t="s">
        <v>266</v>
      </c>
      <c r="K468" t="s">
        <v>118</v>
      </c>
    </row>
    <row r="469" spans="1:11" x14ac:dyDescent="0.35">
      <c r="A469" t="s">
        <v>26</v>
      </c>
      <c r="B469" t="s">
        <v>3</v>
      </c>
      <c r="C469" s="27">
        <v>28.02</v>
      </c>
      <c r="D469">
        <v>0</v>
      </c>
      <c r="E469">
        <v>5377</v>
      </c>
      <c r="F469" s="4">
        <f t="shared" si="7"/>
        <v>150663.54</v>
      </c>
      <c r="G469" t="str">
        <f>IF(Table2[[#This Row],[Sold]]&gt;1000,"High Quality","Normal Quality")</f>
        <v>High Quality</v>
      </c>
      <c r="H469" s="12">
        <v>45374.033263888887</v>
      </c>
      <c r="I469" t="s">
        <v>290</v>
      </c>
      <c r="J469" t="s">
        <v>506</v>
      </c>
      <c r="K469" t="s">
        <v>118</v>
      </c>
    </row>
    <row r="470" spans="1:11" x14ac:dyDescent="0.35">
      <c r="A470" t="s">
        <v>15</v>
      </c>
      <c r="B470" t="s">
        <v>1</v>
      </c>
      <c r="C470" s="27">
        <v>29.03</v>
      </c>
      <c r="D470">
        <v>10</v>
      </c>
      <c r="E470">
        <v>11</v>
      </c>
      <c r="F470" s="4">
        <f t="shared" si="7"/>
        <v>319.33000000000004</v>
      </c>
      <c r="G470" t="str">
        <f>IF(Table2[[#This Row],[Sold]]&gt;1000,"High Quality","Normal Quality")</f>
        <v>Normal Quality</v>
      </c>
      <c r="H470" s="12">
        <v>45374.046539351853</v>
      </c>
      <c r="I470" t="s">
        <v>290</v>
      </c>
      <c r="J470" t="s">
        <v>506</v>
      </c>
      <c r="K470" t="s">
        <v>118</v>
      </c>
    </row>
    <row r="471" spans="1:11" x14ac:dyDescent="0.35">
      <c r="A471" t="s">
        <v>15</v>
      </c>
      <c r="B471" t="s">
        <v>1</v>
      </c>
      <c r="C471" s="27">
        <v>45.35</v>
      </c>
      <c r="D471">
        <v>5</v>
      </c>
      <c r="E471">
        <v>1</v>
      </c>
      <c r="F471" s="4">
        <f t="shared" si="7"/>
        <v>45.35</v>
      </c>
      <c r="G471" t="str">
        <f>IF(Table2[[#This Row],[Sold]]&gt;1000,"High Quality","Normal Quality")</f>
        <v>Normal Quality</v>
      </c>
      <c r="H471" s="12">
        <v>45374.069814814815</v>
      </c>
      <c r="I471" t="s">
        <v>557</v>
      </c>
      <c r="J471" t="s">
        <v>486</v>
      </c>
      <c r="K471" t="s">
        <v>538</v>
      </c>
    </row>
    <row r="472" spans="1:11" x14ac:dyDescent="0.35">
      <c r="A472" t="s">
        <v>250</v>
      </c>
      <c r="B472" t="s">
        <v>3</v>
      </c>
      <c r="C472" s="27">
        <v>68.72</v>
      </c>
      <c r="D472">
        <v>10</v>
      </c>
      <c r="E472">
        <v>55</v>
      </c>
      <c r="F472" s="4">
        <f t="shared" si="7"/>
        <v>3779.6</v>
      </c>
      <c r="G472" t="str">
        <f>IF(Table2[[#This Row],[Sold]]&gt;1000,"High Quality","Normal Quality")</f>
        <v>Normal Quality</v>
      </c>
      <c r="H472" s="12">
        <v>45374.091423611113</v>
      </c>
      <c r="I472" t="s">
        <v>492</v>
      </c>
      <c r="J472" t="s">
        <v>266</v>
      </c>
      <c r="K472" t="s">
        <v>118</v>
      </c>
    </row>
    <row r="473" spans="1:11" x14ac:dyDescent="0.35">
      <c r="A473" t="s">
        <v>4</v>
      </c>
      <c r="B473" t="s">
        <v>37</v>
      </c>
      <c r="C473" s="27">
        <v>129.99</v>
      </c>
      <c r="D473">
        <v>0</v>
      </c>
      <c r="E473">
        <v>14</v>
      </c>
      <c r="F473" s="4">
        <f t="shared" si="7"/>
        <v>1819.8600000000001</v>
      </c>
      <c r="G473" t="str">
        <f>IF(Table2[[#This Row],[Sold]]&gt;1000,"High Quality","Normal Quality")</f>
        <v>Normal Quality</v>
      </c>
      <c r="H473" s="12">
        <v>45374.101064814815</v>
      </c>
      <c r="I473" t="s">
        <v>548</v>
      </c>
      <c r="J473" t="s">
        <v>283</v>
      </c>
      <c r="K473" t="s">
        <v>333</v>
      </c>
    </row>
    <row r="474" spans="1:11" x14ac:dyDescent="0.35">
      <c r="A474" t="s">
        <v>13</v>
      </c>
      <c r="B474" t="s">
        <v>1</v>
      </c>
      <c r="C474" s="27">
        <v>74.989999999999995</v>
      </c>
      <c r="D474">
        <v>12</v>
      </c>
      <c r="E474">
        <v>60</v>
      </c>
      <c r="F474" s="4">
        <f t="shared" si="7"/>
        <v>4499.3999999999996</v>
      </c>
      <c r="G474" t="str">
        <f>IF(Table2[[#This Row],[Sold]]&gt;1000,"High Quality","Normal Quality")</f>
        <v>Normal Quality</v>
      </c>
      <c r="H474" s="12">
        <v>45374.101354166669</v>
      </c>
      <c r="I474" t="s">
        <v>548</v>
      </c>
      <c r="J474" t="s">
        <v>283</v>
      </c>
      <c r="K474" t="s">
        <v>536</v>
      </c>
    </row>
    <row r="475" spans="1:11" x14ac:dyDescent="0.35">
      <c r="A475" t="s">
        <v>234</v>
      </c>
      <c r="B475" t="s">
        <v>3</v>
      </c>
      <c r="C475" s="27">
        <v>52.99</v>
      </c>
      <c r="D475">
        <v>3</v>
      </c>
      <c r="E475">
        <v>60</v>
      </c>
      <c r="F475" s="4">
        <f t="shared" si="7"/>
        <v>3179.4</v>
      </c>
      <c r="G475" t="str">
        <f>IF(Table2[[#This Row],[Sold]]&gt;1000,"High Quality","Normal Quality")</f>
        <v>Normal Quality</v>
      </c>
      <c r="H475" s="12">
        <v>45374.110219907408</v>
      </c>
      <c r="I475" t="s">
        <v>505</v>
      </c>
      <c r="J475" t="s">
        <v>283</v>
      </c>
      <c r="K475" t="s">
        <v>118</v>
      </c>
    </row>
    <row r="476" spans="1:11" x14ac:dyDescent="0.35">
      <c r="A476" t="s">
        <v>133</v>
      </c>
      <c r="B476" t="s">
        <v>3</v>
      </c>
      <c r="C476" s="27">
        <v>29.78</v>
      </c>
      <c r="D476">
        <v>0</v>
      </c>
      <c r="E476">
        <v>604</v>
      </c>
      <c r="F476" s="4">
        <f t="shared" si="7"/>
        <v>17987.12</v>
      </c>
      <c r="G476" t="str">
        <f>IF(Table2[[#This Row],[Sold]]&gt;1000,"High Quality","Normal Quality")</f>
        <v>Normal Quality</v>
      </c>
      <c r="H476" s="12">
        <v>45374.125104166669</v>
      </c>
      <c r="I476" t="s">
        <v>291</v>
      </c>
      <c r="J476" t="s">
        <v>274</v>
      </c>
      <c r="K476" t="s">
        <v>118</v>
      </c>
    </row>
    <row r="477" spans="1:11" x14ac:dyDescent="0.35">
      <c r="A477" t="s">
        <v>11</v>
      </c>
      <c r="B477" t="s">
        <v>1</v>
      </c>
      <c r="C477" s="27">
        <v>59.99</v>
      </c>
      <c r="D477">
        <v>2</v>
      </c>
      <c r="E477">
        <v>63</v>
      </c>
      <c r="F477" s="4">
        <f t="shared" si="7"/>
        <v>3779.3700000000003</v>
      </c>
      <c r="G477" t="str">
        <f>IF(Table2[[#This Row],[Sold]]&gt;1000,"High Quality","Normal Quality")</f>
        <v>Normal Quality</v>
      </c>
      <c r="H477" s="12">
        <v>45374.13076388889</v>
      </c>
      <c r="I477" t="s">
        <v>510</v>
      </c>
      <c r="J477" t="s">
        <v>505</v>
      </c>
      <c r="K477" t="s">
        <v>333</v>
      </c>
    </row>
    <row r="478" spans="1:11" x14ac:dyDescent="0.35">
      <c r="A478" t="s">
        <v>93</v>
      </c>
      <c r="B478" t="s">
        <v>3</v>
      </c>
      <c r="C478" s="27">
        <v>45.9</v>
      </c>
      <c r="D478">
        <v>10</v>
      </c>
      <c r="E478">
        <v>74</v>
      </c>
      <c r="F478" s="4">
        <f t="shared" si="7"/>
        <v>3396.6</v>
      </c>
      <c r="G478" t="str">
        <f>IF(Table2[[#This Row],[Sold]]&gt;1000,"High Quality","Normal Quality")</f>
        <v>Normal Quality</v>
      </c>
      <c r="H478" s="12">
        <v>45374.13077546296</v>
      </c>
      <c r="I478" t="s">
        <v>444</v>
      </c>
      <c r="J478" t="s">
        <v>445</v>
      </c>
      <c r="K478" t="s">
        <v>118</v>
      </c>
    </row>
    <row r="479" spans="1:11" x14ac:dyDescent="0.35">
      <c r="A479" t="s">
        <v>30</v>
      </c>
      <c r="B479" t="s">
        <v>3</v>
      </c>
      <c r="C479" s="27">
        <v>33.450000000000003</v>
      </c>
      <c r="D479">
        <v>7</v>
      </c>
      <c r="E479">
        <v>1391</v>
      </c>
      <c r="F479" s="4">
        <f t="shared" si="7"/>
        <v>46528.950000000004</v>
      </c>
      <c r="G479" t="str">
        <f>IF(Table2[[#This Row],[Sold]]&gt;1000,"High Quality","Normal Quality")</f>
        <v>High Quality</v>
      </c>
      <c r="H479" s="12">
        <v>45374.142766203702</v>
      </c>
      <c r="I479" t="s">
        <v>291</v>
      </c>
      <c r="J479" t="s">
        <v>274</v>
      </c>
      <c r="K479" t="s">
        <v>118</v>
      </c>
    </row>
    <row r="480" spans="1:11" x14ac:dyDescent="0.35">
      <c r="A480" t="s">
        <v>26</v>
      </c>
      <c r="B480" t="s">
        <v>3</v>
      </c>
      <c r="C480" s="27">
        <v>19.989999999999998</v>
      </c>
      <c r="D480">
        <v>8</v>
      </c>
      <c r="E480">
        <v>4</v>
      </c>
      <c r="F480" s="4">
        <f t="shared" si="7"/>
        <v>79.959999999999994</v>
      </c>
      <c r="G480" t="str">
        <f>IF(Table2[[#This Row],[Sold]]&gt;1000,"High Quality","Normal Quality")</f>
        <v>Normal Quality</v>
      </c>
      <c r="H480" s="12">
        <v>45374.165821759256</v>
      </c>
      <c r="I480" t="s">
        <v>308</v>
      </c>
      <c r="J480" t="s">
        <v>309</v>
      </c>
      <c r="K480" t="s">
        <v>118</v>
      </c>
    </row>
    <row r="481" spans="1:11" x14ac:dyDescent="0.35">
      <c r="A481" t="s">
        <v>21</v>
      </c>
      <c r="B481" t="s">
        <v>1</v>
      </c>
      <c r="C481" s="27">
        <v>93.05</v>
      </c>
      <c r="D481">
        <v>3</v>
      </c>
      <c r="E481">
        <v>21</v>
      </c>
      <c r="F481" s="4">
        <f t="shared" si="7"/>
        <v>1954.05</v>
      </c>
      <c r="G481" t="str">
        <f>IF(Table2[[#This Row],[Sold]]&gt;1000,"High Quality","Normal Quality")</f>
        <v>Normal Quality</v>
      </c>
      <c r="H481" s="12">
        <v>45374.168668981481</v>
      </c>
      <c r="I481" t="s">
        <v>509</v>
      </c>
      <c r="J481" t="s">
        <v>505</v>
      </c>
      <c r="K481" t="s">
        <v>118</v>
      </c>
    </row>
    <row r="482" spans="1:11" x14ac:dyDescent="0.35">
      <c r="A482" t="s">
        <v>116</v>
      </c>
      <c r="B482" t="s">
        <v>1</v>
      </c>
      <c r="C482" s="27">
        <v>45.7</v>
      </c>
      <c r="D482">
        <v>3</v>
      </c>
      <c r="E482">
        <v>420</v>
      </c>
      <c r="F482" s="4">
        <f t="shared" si="7"/>
        <v>19194</v>
      </c>
      <c r="G482" t="str">
        <f>IF(Table2[[#This Row],[Sold]]&gt;1000,"High Quality","Normal Quality")</f>
        <v>Normal Quality</v>
      </c>
      <c r="H482" s="12">
        <v>45374.180578703701</v>
      </c>
      <c r="I482" t="s">
        <v>291</v>
      </c>
      <c r="J482" t="s">
        <v>274</v>
      </c>
      <c r="K482" t="s">
        <v>118</v>
      </c>
    </row>
    <row r="483" spans="1:11" x14ac:dyDescent="0.35">
      <c r="A483" t="s">
        <v>9</v>
      </c>
      <c r="B483" t="s">
        <v>3</v>
      </c>
      <c r="C483" s="27">
        <v>72.56</v>
      </c>
      <c r="D483">
        <v>10</v>
      </c>
      <c r="E483">
        <v>3171</v>
      </c>
      <c r="F483" s="4">
        <f t="shared" si="7"/>
        <v>230087.76</v>
      </c>
      <c r="G483" t="str">
        <f>IF(Table2[[#This Row],[Sold]]&gt;1000,"High Quality","Normal Quality")</f>
        <v>High Quality</v>
      </c>
      <c r="H483" s="12">
        <v>45374.193206018521</v>
      </c>
      <c r="I483" t="s">
        <v>290</v>
      </c>
      <c r="J483" t="s">
        <v>506</v>
      </c>
      <c r="K483" t="s">
        <v>118</v>
      </c>
    </row>
    <row r="484" spans="1:11" x14ac:dyDescent="0.35">
      <c r="A484" t="s">
        <v>4</v>
      </c>
      <c r="B484" t="s">
        <v>1</v>
      </c>
      <c r="C484" s="27">
        <v>110.08</v>
      </c>
      <c r="D484">
        <v>0</v>
      </c>
      <c r="E484">
        <v>684</v>
      </c>
      <c r="F484" s="4">
        <f t="shared" si="7"/>
        <v>75294.720000000001</v>
      </c>
      <c r="G484" t="str">
        <f>IF(Table2[[#This Row],[Sold]]&gt;1000,"High Quality","Normal Quality")</f>
        <v>Normal Quality</v>
      </c>
      <c r="H484" s="12">
        <v>45374.193229166667</v>
      </c>
      <c r="I484" t="s">
        <v>290</v>
      </c>
      <c r="J484" t="s">
        <v>506</v>
      </c>
      <c r="K484" t="s">
        <v>118</v>
      </c>
    </row>
    <row r="485" spans="1:11" x14ac:dyDescent="0.35">
      <c r="A485" t="s">
        <v>27</v>
      </c>
      <c r="B485" t="s">
        <v>3</v>
      </c>
      <c r="C485" s="27">
        <v>38.99</v>
      </c>
      <c r="D485">
        <v>3</v>
      </c>
      <c r="E485">
        <v>41</v>
      </c>
      <c r="F485" s="4">
        <f t="shared" si="7"/>
        <v>1598.5900000000001</v>
      </c>
      <c r="G485" t="str">
        <f>IF(Table2[[#This Row],[Sold]]&gt;1000,"High Quality","Normal Quality")</f>
        <v>Normal Quality</v>
      </c>
      <c r="H485" s="12">
        <v>45374.198587962965</v>
      </c>
      <c r="I485" t="s">
        <v>450</v>
      </c>
      <c r="J485" t="s">
        <v>347</v>
      </c>
      <c r="K485" t="s">
        <v>118</v>
      </c>
    </row>
    <row r="486" spans="1:11" x14ac:dyDescent="0.35">
      <c r="A486" t="s">
        <v>232</v>
      </c>
      <c r="B486" t="s">
        <v>3</v>
      </c>
      <c r="C486" s="27">
        <v>39.25</v>
      </c>
      <c r="D486">
        <v>10</v>
      </c>
      <c r="E486">
        <v>30</v>
      </c>
      <c r="F486" s="4">
        <f t="shared" si="7"/>
        <v>1177.5</v>
      </c>
      <c r="G486" t="str">
        <f>IF(Table2[[#This Row],[Sold]]&gt;1000,"High Quality","Normal Quality")</f>
        <v>Normal Quality</v>
      </c>
      <c r="H486" s="12">
        <v>45374.222511574073</v>
      </c>
      <c r="I486" t="s">
        <v>291</v>
      </c>
      <c r="J486" t="s">
        <v>274</v>
      </c>
      <c r="K486" t="s">
        <v>118</v>
      </c>
    </row>
    <row r="487" spans="1:11" x14ac:dyDescent="0.35">
      <c r="A487" t="s">
        <v>20</v>
      </c>
      <c r="B487" t="s">
        <v>1</v>
      </c>
      <c r="C487" s="27">
        <v>19.73</v>
      </c>
      <c r="D487">
        <v>3</v>
      </c>
      <c r="E487">
        <v>5</v>
      </c>
      <c r="F487" s="4">
        <f t="shared" si="7"/>
        <v>98.65</v>
      </c>
      <c r="G487" t="str">
        <f>IF(Table2[[#This Row],[Sold]]&gt;1000,"High Quality","Normal Quality")</f>
        <v>Normal Quality</v>
      </c>
      <c r="H487" s="12">
        <v>45374.227094907408</v>
      </c>
      <c r="I487" t="s">
        <v>509</v>
      </c>
      <c r="J487" t="s">
        <v>505</v>
      </c>
      <c r="K487" t="s">
        <v>118</v>
      </c>
    </row>
    <row r="488" spans="1:11" x14ac:dyDescent="0.35">
      <c r="A488" t="s">
        <v>21</v>
      </c>
      <c r="B488" t="s">
        <v>1</v>
      </c>
      <c r="C488" s="27">
        <v>44</v>
      </c>
      <c r="D488">
        <v>10</v>
      </c>
      <c r="E488">
        <v>83</v>
      </c>
      <c r="F488" s="4">
        <f t="shared" si="7"/>
        <v>3652</v>
      </c>
      <c r="G488" t="str">
        <f>IF(Table2[[#This Row],[Sold]]&gt;1000,"High Quality","Normal Quality")</f>
        <v>Normal Quality</v>
      </c>
      <c r="H488" s="12">
        <v>45374.227361111109</v>
      </c>
      <c r="I488" t="s">
        <v>511</v>
      </c>
      <c r="J488" t="s">
        <v>274</v>
      </c>
      <c r="K488" t="s">
        <v>118</v>
      </c>
    </row>
    <row r="489" spans="1:11" x14ac:dyDescent="0.35">
      <c r="A489" t="s">
        <v>27</v>
      </c>
      <c r="B489" t="s">
        <v>3</v>
      </c>
      <c r="C489" s="27">
        <v>33</v>
      </c>
      <c r="D489">
        <v>2</v>
      </c>
      <c r="E489">
        <v>401</v>
      </c>
      <c r="F489" s="4">
        <f t="shared" si="7"/>
        <v>13233</v>
      </c>
      <c r="G489" t="str">
        <f>IF(Table2[[#This Row],[Sold]]&gt;1000,"High Quality","Normal Quality")</f>
        <v>Normal Quality</v>
      </c>
      <c r="H489" s="12">
        <v>45374.228703703702</v>
      </c>
      <c r="I489" t="s">
        <v>504</v>
      </c>
      <c r="J489" t="s">
        <v>282</v>
      </c>
      <c r="K489" t="s">
        <v>118</v>
      </c>
    </row>
    <row r="490" spans="1:11" x14ac:dyDescent="0.35">
      <c r="A490" t="s">
        <v>89</v>
      </c>
      <c r="B490" t="s">
        <v>1</v>
      </c>
      <c r="C490" s="27">
        <v>74.989999999999995</v>
      </c>
      <c r="D490">
        <v>10</v>
      </c>
      <c r="E490">
        <v>82</v>
      </c>
      <c r="F490" s="4">
        <f t="shared" si="7"/>
        <v>6149.1799999999994</v>
      </c>
      <c r="G490" t="str">
        <f>IF(Table2[[#This Row],[Sold]]&gt;1000,"High Quality","Normal Quality")</f>
        <v>Normal Quality</v>
      </c>
      <c r="H490" s="12">
        <v>45374.235995370371</v>
      </c>
      <c r="I490" t="s">
        <v>511</v>
      </c>
      <c r="J490" t="s">
        <v>274</v>
      </c>
      <c r="K490" t="s">
        <v>118</v>
      </c>
    </row>
    <row r="491" spans="1:11" x14ac:dyDescent="0.35">
      <c r="A491" t="s">
        <v>13</v>
      </c>
      <c r="B491" t="s">
        <v>3</v>
      </c>
      <c r="C491" s="27">
        <v>49.96</v>
      </c>
      <c r="D491">
        <v>10</v>
      </c>
      <c r="E491">
        <v>19</v>
      </c>
      <c r="F491" s="4">
        <f t="shared" si="7"/>
        <v>949.24</v>
      </c>
      <c r="G491" t="str">
        <f>IF(Table2[[#This Row],[Sold]]&gt;1000,"High Quality","Normal Quality")</f>
        <v>Normal Quality</v>
      </c>
      <c r="H491" s="12">
        <v>45374.238541666666</v>
      </c>
      <c r="I491" t="s">
        <v>280</v>
      </c>
      <c r="J491" t="s">
        <v>266</v>
      </c>
      <c r="K491" t="s">
        <v>118</v>
      </c>
    </row>
    <row r="492" spans="1:11" x14ac:dyDescent="0.35">
      <c r="A492" t="s">
        <v>231</v>
      </c>
      <c r="B492" t="s">
        <v>1</v>
      </c>
      <c r="C492" s="27">
        <v>59.99</v>
      </c>
      <c r="D492">
        <v>2</v>
      </c>
      <c r="E492">
        <v>20</v>
      </c>
      <c r="F492" s="4">
        <f t="shared" si="7"/>
        <v>1199.8</v>
      </c>
      <c r="G492" t="str">
        <f>IF(Table2[[#This Row],[Sold]]&gt;1000,"High Quality","Normal Quality")</f>
        <v>Normal Quality</v>
      </c>
      <c r="H492" s="12">
        <v>45374.241898148146</v>
      </c>
      <c r="I492" t="s">
        <v>336</v>
      </c>
      <c r="J492" t="s">
        <v>274</v>
      </c>
      <c r="K492" t="s">
        <v>118</v>
      </c>
    </row>
    <row r="493" spans="1:11" x14ac:dyDescent="0.35">
      <c r="A493" t="s">
        <v>20</v>
      </c>
      <c r="B493" t="s">
        <v>1</v>
      </c>
      <c r="C493" s="27">
        <v>22.15</v>
      </c>
      <c r="D493">
        <v>0</v>
      </c>
      <c r="E493">
        <v>196</v>
      </c>
      <c r="F493" s="4">
        <f t="shared" si="7"/>
        <v>4341.3999999999996</v>
      </c>
      <c r="G493" t="str">
        <f>IF(Table2[[#This Row],[Sold]]&gt;1000,"High Quality","Normal Quality")</f>
        <v>Normal Quality</v>
      </c>
      <c r="H493" s="12">
        <v>45374.2815162037</v>
      </c>
      <c r="I493" t="s">
        <v>291</v>
      </c>
      <c r="J493" t="s">
        <v>274</v>
      </c>
      <c r="K493" t="s">
        <v>118</v>
      </c>
    </row>
    <row r="494" spans="1:11" x14ac:dyDescent="0.35">
      <c r="A494" t="s">
        <v>6</v>
      </c>
      <c r="B494" t="s">
        <v>1</v>
      </c>
      <c r="C494" s="27">
        <v>14.99</v>
      </c>
      <c r="D494">
        <v>10</v>
      </c>
      <c r="E494">
        <v>79</v>
      </c>
      <c r="F494" s="4">
        <f t="shared" si="7"/>
        <v>1184.21</v>
      </c>
      <c r="G494" t="str">
        <f>IF(Table2[[#This Row],[Sold]]&gt;1000,"High Quality","Normal Quality")</f>
        <v>Normal Quality</v>
      </c>
      <c r="H494" s="12">
        <v>45374.29005787037</v>
      </c>
      <c r="I494" t="s">
        <v>273</v>
      </c>
      <c r="J494" t="s">
        <v>274</v>
      </c>
      <c r="K494" t="s">
        <v>118</v>
      </c>
    </row>
    <row r="495" spans="1:11" x14ac:dyDescent="0.35">
      <c r="A495" t="s">
        <v>13</v>
      </c>
      <c r="B495" t="s">
        <v>3</v>
      </c>
      <c r="C495" s="27">
        <v>49.99</v>
      </c>
      <c r="D495">
        <v>10</v>
      </c>
      <c r="E495">
        <v>170</v>
      </c>
      <c r="F495" s="4">
        <f t="shared" si="7"/>
        <v>8498.3000000000011</v>
      </c>
      <c r="G495" t="str">
        <f>IF(Table2[[#This Row],[Sold]]&gt;1000,"High Quality","Normal Quality")</f>
        <v>Normal Quality</v>
      </c>
      <c r="H495" s="12">
        <v>45374.29415509259</v>
      </c>
      <c r="I495" t="s">
        <v>297</v>
      </c>
      <c r="J495" t="s">
        <v>266</v>
      </c>
      <c r="K495" t="s">
        <v>118</v>
      </c>
    </row>
    <row r="496" spans="1:11" x14ac:dyDescent="0.35">
      <c r="A496" t="s">
        <v>9</v>
      </c>
      <c r="B496" t="s">
        <v>3</v>
      </c>
      <c r="C496" s="27">
        <v>31.99</v>
      </c>
      <c r="D496">
        <v>3</v>
      </c>
      <c r="E496">
        <v>56</v>
      </c>
      <c r="F496" s="4">
        <f t="shared" si="7"/>
        <v>1791.4399999999998</v>
      </c>
      <c r="G496" t="str">
        <f>IF(Table2[[#This Row],[Sold]]&gt;1000,"High Quality","Normal Quality")</f>
        <v>Normal Quality</v>
      </c>
      <c r="H496" s="12">
        <v>45374.30300925926</v>
      </c>
      <c r="I496" t="s">
        <v>279</v>
      </c>
      <c r="J496" t="s">
        <v>266</v>
      </c>
      <c r="K496" t="s">
        <v>118</v>
      </c>
    </row>
    <row r="497" spans="1:11" x14ac:dyDescent="0.35">
      <c r="A497" t="s">
        <v>193</v>
      </c>
      <c r="B497" t="s">
        <v>37</v>
      </c>
      <c r="C497" s="27">
        <v>62.62</v>
      </c>
      <c r="D497">
        <v>4</v>
      </c>
      <c r="E497">
        <v>335</v>
      </c>
      <c r="F497" s="4">
        <f t="shared" si="7"/>
        <v>20977.7</v>
      </c>
      <c r="G497" t="str">
        <f>IF(Table2[[#This Row],[Sold]]&gt;1000,"High Quality","Normal Quality")</f>
        <v>Normal Quality</v>
      </c>
      <c r="H497" s="12">
        <v>45374.30363425926</v>
      </c>
      <c r="I497" t="s">
        <v>290</v>
      </c>
      <c r="J497" t="s">
        <v>506</v>
      </c>
      <c r="K497" t="s">
        <v>118</v>
      </c>
    </row>
    <row r="498" spans="1:11" x14ac:dyDescent="0.35">
      <c r="A498" t="s">
        <v>8</v>
      </c>
      <c r="B498" t="s">
        <v>1</v>
      </c>
      <c r="C498" s="27">
        <v>49.99</v>
      </c>
      <c r="D498">
        <v>4</v>
      </c>
      <c r="E498">
        <v>68</v>
      </c>
      <c r="F498" s="4">
        <f t="shared" si="7"/>
        <v>3399.32</v>
      </c>
      <c r="G498" t="str">
        <f>IF(Table2[[#This Row],[Sold]]&gt;1000,"High Quality","Normal Quality")</f>
        <v>Normal Quality</v>
      </c>
      <c r="H498" s="12">
        <v>45374.306516203702</v>
      </c>
      <c r="I498" t="s">
        <v>278</v>
      </c>
      <c r="J498" t="s">
        <v>266</v>
      </c>
      <c r="K498" t="s">
        <v>118</v>
      </c>
    </row>
    <row r="499" spans="1:11" x14ac:dyDescent="0.35">
      <c r="A499" t="s">
        <v>4</v>
      </c>
      <c r="B499" t="s">
        <v>3</v>
      </c>
      <c r="C499" s="27">
        <v>38.25</v>
      </c>
      <c r="D499">
        <v>2</v>
      </c>
      <c r="E499">
        <v>363</v>
      </c>
      <c r="F499" s="4">
        <f t="shared" si="7"/>
        <v>13884.75</v>
      </c>
      <c r="G499" t="str">
        <f>IF(Table2[[#This Row],[Sold]]&gt;1000,"High Quality","Normal Quality")</f>
        <v>Normal Quality</v>
      </c>
      <c r="H499" s="12">
        <v>45374.319074074076</v>
      </c>
      <c r="I499" t="s">
        <v>279</v>
      </c>
      <c r="J499" t="s">
        <v>266</v>
      </c>
      <c r="K499" t="s">
        <v>118</v>
      </c>
    </row>
    <row r="500" spans="1:11" x14ac:dyDescent="0.35">
      <c r="A500" t="s">
        <v>4</v>
      </c>
      <c r="B500" t="s">
        <v>3</v>
      </c>
      <c r="C500" s="27">
        <v>38.25</v>
      </c>
      <c r="D500">
        <v>2</v>
      </c>
      <c r="E500">
        <v>8</v>
      </c>
      <c r="F500" s="4">
        <f t="shared" si="7"/>
        <v>306</v>
      </c>
      <c r="G500" t="str">
        <f>IF(Table2[[#This Row],[Sold]]&gt;1000,"High Quality","Normal Quality")</f>
        <v>Normal Quality</v>
      </c>
      <c r="H500" s="12">
        <v>45374.325555555559</v>
      </c>
      <c r="I500" t="s">
        <v>414</v>
      </c>
      <c r="J500" t="s">
        <v>266</v>
      </c>
      <c r="K500" t="s">
        <v>118</v>
      </c>
    </row>
    <row r="501" spans="1:11" x14ac:dyDescent="0.35">
      <c r="A501" t="s">
        <v>8</v>
      </c>
      <c r="B501" t="s">
        <v>3</v>
      </c>
      <c r="C501" s="27">
        <v>58.46</v>
      </c>
      <c r="D501">
        <v>0</v>
      </c>
      <c r="E501">
        <v>5227</v>
      </c>
      <c r="F501" s="4">
        <f t="shared" si="7"/>
        <v>305570.42</v>
      </c>
      <c r="G501" t="str">
        <f>IF(Table2[[#This Row],[Sold]]&gt;1000,"High Quality","Normal Quality")</f>
        <v>High Quality</v>
      </c>
      <c r="H501" s="12">
        <v>45374.327384259261</v>
      </c>
      <c r="I501" t="s">
        <v>290</v>
      </c>
      <c r="J501" t="s">
        <v>506</v>
      </c>
      <c r="K501" t="s">
        <v>118</v>
      </c>
    </row>
    <row r="502" spans="1:11" x14ac:dyDescent="0.35">
      <c r="A502" t="s">
        <v>97</v>
      </c>
      <c r="B502" t="s">
        <v>1</v>
      </c>
      <c r="C502" s="27">
        <v>160.27000000000001</v>
      </c>
      <c r="D502">
        <v>6</v>
      </c>
      <c r="E502">
        <v>47</v>
      </c>
      <c r="F502" s="4">
        <f t="shared" si="7"/>
        <v>7532.6900000000005</v>
      </c>
      <c r="G502" t="str">
        <f>IF(Table2[[#This Row],[Sold]]&gt;1000,"High Quality","Normal Quality")</f>
        <v>Normal Quality</v>
      </c>
      <c r="H502" s="12">
        <v>45374.334270833337</v>
      </c>
      <c r="I502" t="s">
        <v>301</v>
      </c>
      <c r="J502" t="s">
        <v>506</v>
      </c>
      <c r="K502" t="s">
        <v>118</v>
      </c>
    </row>
    <row r="503" spans="1:11" x14ac:dyDescent="0.35">
      <c r="A503" t="s">
        <v>4</v>
      </c>
      <c r="B503" t="s">
        <v>3</v>
      </c>
      <c r="C503" s="27">
        <v>48.95</v>
      </c>
      <c r="D503">
        <v>10</v>
      </c>
      <c r="E503">
        <v>969</v>
      </c>
      <c r="F503" s="4">
        <f t="shared" si="7"/>
        <v>47432.55</v>
      </c>
      <c r="G503" t="str">
        <f>IF(Table2[[#This Row],[Sold]]&gt;1000,"High Quality","Normal Quality")</f>
        <v>Normal Quality</v>
      </c>
      <c r="H503" s="12">
        <v>45374.338472222225</v>
      </c>
      <c r="I503" t="s">
        <v>325</v>
      </c>
      <c r="J503" t="s">
        <v>266</v>
      </c>
      <c r="K503" t="s">
        <v>118</v>
      </c>
    </row>
    <row r="504" spans="1:11" x14ac:dyDescent="0.35">
      <c r="A504" t="s">
        <v>16</v>
      </c>
      <c r="B504" t="s">
        <v>3</v>
      </c>
      <c r="C504" s="27">
        <v>39.99</v>
      </c>
      <c r="D504">
        <v>0</v>
      </c>
      <c r="E504">
        <v>207</v>
      </c>
      <c r="F504" s="4">
        <f t="shared" si="7"/>
        <v>8277.93</v>
      </c>
      <c r="G504" t="str">
        <f>IF(Table2[[#This Row],[Sold]]&gt;1000,"High Quality","Normal Quality")</f>
        <v>Normal Quality</v>
      </c>
      <c r="H504" s="12">
        <v>45374.338564814818</v>
      </c>
      <c r="I504" t="s">
        <v>416</v>
      </c>
      <c r="J504" t="s">
        <v>266</v>
      </c>
      <c r="K504" t="s">
        <v>118</v>
      </c>
    </row>
    <row r="505" spans="1:11" x14ac:dyDescent="0.35">
      <c r="A505" t="s">
        <v>4</v>
      </c>
      <c r="B505" t="s">
        <v>1</v>
      </c>
      <c r="C505" s="27">
        <v>192</v>
      </c>
      <c r="D505">
        <v>3</v>
      </c>
      <c r="E505">
        <v>37</v>
      </c>
      <c r="F505" s="4">
        <f t="shared" si="7"/>
        <v>7104</v>
      </c>
      <c r="G505" t="str">
        <f>IF(Table2[[#This Row],[Sold]]&gt;1000,"High Quality","Normal Quality")</f>
        <v>Normal Quality</v>
      </c>
      <c r="H505" s="12">
        <v>45374.338692129626</v>
      </c>
      <c r="I505" t="s">
        <v>441</v>
      </c>
      <c r="J505" t="s">
        <v>442</v>
      </c>
      <c r="K505" t="s">
        <v>118</v>
      </c>
    </row>
    <row r="506" spans="1:11" x14ac:dyDescent="0.35">
      <c r="A506" t="s">
        <v>36</v>
      </c>
      <c r="B506" t="s">
        <v>37</v>
      </c>
      <c r="C506" s="27">
        <v>49.49</v>
      </c>
      <c r="D506">
        <v>5</v>
      </c>
      <c r="E506">
        <v>463</v>
      </c>
      <c r="F506" s="4">
        <f t="shared" si="7"/>
        <v>22913.870000000003</v>
      </c>
      <c r="G506" t="str">
        <f>IF(Table2[[#This Row],[Sold]]&gt;1000,"High Quality","Normal Quality")</f>
        <v>Normal Quality</v>
      </c>
      <c r="H506" s="12">
        <v>45374.33871527778</v>
      </c>
      <c r="I506" t="s">
        <v>325</v>
      </c>
      <c r="J506" t="s">
        <v>266</v>
      </c>
      <c r="K506" t="s">
        <v>118</v>
      </c>
    </row>
    <row r="507" spans="1:11" x14ac:dyDescent="0.35">
      <c r="A507" t="s">
        <v>4</v>
      </c>
      <c r="B507" t="s">
        <v>1</v>
      </c>
      <c r="C507" s="27">
        <v>84.99</v>
      </c>
      <c r="D507">
        <v>10</v>
      </c>
      <c r="E507">
        <v>8</v>
      </c>
      <c r="F507" s="4">
        <f t="shared" si="7"/>
        <v>679.92</v>
      </c>
      <c r="G507" t="str">
        <f>IF(Table2[[#This Row],[Sold]]&gt;1000,"High Quality","Normal Quality")</f>
        <v>Normal Quality</v>
      </c>
      <c r="H507" s="12">
        <v>45374.339467592596</v>
      </c>
      <c r="I507" t="s">
        <v>325</v>
      </c>
      <c r="J507" t="s">
        <v>266</v>
      </c>
      <c r="K507" t="s">
        <v>118</v>
      </c>
    </row>
    <row r="508" spans="1:11" x14ac:dyDescent="0.35">
      <c r="A508" t="s">
        <v>9</v>
      </c>
      <c r="B508" t="s">
        <v>3</v>
      </c>
      <c r="C508" s="27">
        <v>54.52</v>
      </c>
      <c r="D508">
        <v>66</v>
      </c>
      <c r="E508">
        <v>143</v>
      </c>
      <c r="F508" s="4">
        <f t="shared" si="7"/>
        <v>7796.3600000000006</v>
      </c>
      <c r="G508" t="str">
        <f>IF(Table2[[#This Row],[Sold]]&gt;1000,"High Quality","Normal Quality")</f>
        <v>Normal Quality</v>
      </c>
      <c r="H508" s="12">
        <v>45374.348749999997</v>
      </c>
      <c r="I508" t="s">
        <v>291</v>
      </c>
      <c r="J508" t="s">
        <v>274</v>
      </c>
      <c r="K508" t="s">
        <v>118</v>
      </c>
    </row>
    <row r="509" spans="1:11" x14ac:dyDescent="0.35">
      <c r="A509" t="s">
        <v>12</v>
      </c>
      <c r="B509" t="s">
        <v>3</v>
      </c>
      <c r="C509" s="27">
        <v>8.32</v>
      </c>
      <c r="D509">
        <v>9</v>
      </c>
      <c r="E509">
        <v>417</v>
      </c>
      <c r="F509" s="4">
        <f t="shared" si="7"/>
        <v>3469.44</v>
      </c>
      <c r="G509" t="str">
        <f>IF(Table2[[#This Row],[Sold]]&gt;1000,"High Quality","Normal Quality")</f>
        <v>Normal Quality</v>
      </c>
      <c r="H509" s="12">
        <v>45374.34883101852</v>
      </c>
      <c r="I509" t="s">
        <v>291</v>
      </c>
      <c r="J509" t="s">
        <v>274</v>
      </c>
      <c r="K509" t="s">
        <v>118</v>
      </c>
    </row>
    <row r="510" spans="1:11" x14ac:dyDescent="0.35">
      <c r="A510" t="s">
        <v>13</v>
      </c>
      <c r="B510" t="s">
        <v>3</v>
      </c>
      <c r="C510" s="27">
        <v>39.99</v>
      </c>
      <c r="D510">
        <v>10</v>
      </c>
      <c r="E510">
        <v>16</v>
      </c>
      <c r="F510" s="4">
        <f t="shared" si="7"/>
        <v>639.84</v>
      </c>
      <c r="G510" t="str">
        <f>IF(Table2[[#This Row],[Sold]]&gt;1000,"High Quality","Normal Quality")</f>
        <v>Normal Quality</v>
      </c>
      <c r="H510" s="12">
        <v>45374.359386574077</v>
      </c>
      <c r="I510" t="s">
        <v>279</v>
      </c>
      <c r="J510" t="s">
        <v>266</v>
      </c>
      <c r="K510" t="s">
        <v>118</v>
      </c>
    </row>
    <row r="511" spans="1:11" x14ac:dyDescent="0.35">
      <c r="A511" t="s">
        <v>10</v>
      </c>
      <c r="B511" t="s">
        <v>3</v>
      </c>
      <c r="C511" s="27">
        <v>29.95</v>
      </c>
      <c r="D511">
        <v>3</v>
      </c>
      <c r="E511">
        <v>458</v>
      </c>
      <c r="F511" s="4">
        <f t="shared" si="7"/>
        <v>13717.1</v>
      </c>
      <c r="G511" t="str">
        <f>IF(Table2[[#This Row],[Sold]]&gt;1000,"High Quality","Normal Quality")</f>
        <v>Normal Quality</v>
      </c>
      <c r="H511" s="12">
        <v>45374.359594907408</v>
      </c>
      <c r="I511" t="s">
        <v>280</v>
      </c>
      <c r="J511" t="s">
        <v>266</v>
      </c>
      <c r="K511" t="s">
        <v>118</v>
      </c>
    </row>
    <row r="512" spans="1:11" x14ac:dyDescent="0.35">
      <c r="A512" t="s">
        <v>26</v>
      </c>
      <c r="B512" t="s">
        <v>1</v>
      </c>
      <c r="C512" s="27">
        <v>21.27</v>
      </c>
      <c r="D512">
        <v>10</v>
      </c>
      <c r="E512">
        <v>112</v>
      </c>
      <c r="F512" s="4">
        <f t="shared" si="7"/>
        <v>2382.2399999999998</v>
      </c>
      <c r="G512" t="str">
        <f>IF(Table2[[#This Row],[Sold]]&gt;1000,"High Quality","Normal Quality")</f>
        <v>Normal Quality</v>
      </c>
      <c r="H512" s="12">
        <v>45374.36074074074</v>
      </c>
      <c r="I512" t="s">
        <v>118</v>
      </c>
      <c r="J512" t="s">
        <v>356</v>
      </c>
      <c r="K512" t="s">
        <v>118</v>
      </c>
    </row>
    <row r="513" spans="1:11" x14ac:dyDescent="0.35">
      <c r="A513" t="s">
        <v>15</v>
      </c>
      <c r="B513" t="s">
        <v>3</v>
      </c>
      <c r="C513" s="27">
        <v>30.58</v>
      </c>
      <c r="D513">
        <v>0</v>
      </c>
      <c r="E513">
        <v>31</v>
      </c>
      <c r="F513" s="4">
        <f t="shared" si="7"/>
        <v>947.9799999999999</v>
      </c>
      <c r="G513" t="str">
        <f>IF(Table2[[#This Row],[Sold]]&gt;1000,"High Quality","Normal Quality")</f>
        <v>Normal Quality</v>
      </c>
      <c r="H513" s="12">
        <v>45374.360763888886</v>
      </c>
      <c r="I513" t="s">
        <v>118</v>
      </c>
      <c r="J513" t="s">
        <v>274</v>
      </c>
      <c r="K513" t="s">
        <v>118</v>
      </c>
    </row>
    <row r="514" spans="1:11" x14ac:dyDescent="0.35">
      <c r="A514" t="s">
        <v>15</v>
      </c>
      <c r="B514" t="s">
        <v>3</v>
      </c>
      <c r="C514" s="27">
        <v>30.31</v>
      </c>
      <c r="D514">
        <v>10</v>
      </c>
      <c r="E514">
        <v>17</v>
      </c>
      <c r="F514" s="4">
        <f t="shared" ref="F514:F577" si="8">C:C*E:E</f>
        <v>515.27</v>
      </c>
      <c r="G514" t="str">
        <f>IF(Table2[[#This Row],[Sold]]&gt;1000,"High Quality","Normal Quality")</f>
        <v>Normal Quality</v>
      </c>
      <c r="H514" s="12">
        <v>45374.360775462963</v>
      </c>
      <c r="I514" t="s">
        <v>118</v>
      </c>
      <c r="J514" t="s">
        <v>274</v>
      </c>
      <c r="K514" t="s">
        <v>118</v>
      </c>
    </row>
    <row r="515" spans="1:11" x14ac:dyDescent="0.35">
      <c r="A515" t="s">
        <v>4</v>
      </c>
      <c r="B515" t="s">
        <v>3</v>
      </c>
      <c r="C515" s="27">
        <v>48.95</v>
      </c>
      <c r="D515">
        <v>44</v>
      </c>
      <c r="E515">
        <v>121</v>
      </c>
      <c r="F515" s="4">
        <f t="shared" si="8"/>
        <v>5922.9500000000007</v>
      </c>
      <c r="G515" t="str">
        <f>IF(Table2[[#This Row],[Sold]]&gt;1000,"High Quality","Normal Quality")</f>
        <v>Normal Quality</v>
      </c>
      <c r="H515" s="12">
        <v>45374.363958333335</v>
      </c>
      <c r="I515" t="s">
        <v>345</v>
      </c>
      <c r="J515" t="s">
        <v>266</v>
      </c>
      <c r="K515" t="s">
        <v>118</v>
      </c>
    </row>
    <row r="516" spans="1:11" x14ac:dyDescent="0.35">
      <c r="A516" t="s">
        <v>26</v>
      </c>
      <c r="B516" t="s">
        <v>3</v>
      </c>
      <c r="C516" s="27">
        <v>23.56</v>
      </c>
      <c r="D516">
        <v>10</v>
      </c>
      <c r="E516">
        <v>24048</v>
      </c>
      <c r="F516" s="4">
        <f t="shared" si="8"/>
        <v>566570.88</v>
      </c>
      <c r="G516" t="str">
        <f>IF(Table2[[#This Row],[Sold]]&gt;1000,"High Quality","Normal Quality")</f>
        <v>High Quality</v>
      </c>
      <c r="H516" s="12">
        <v>45374.365636574075</v>
      </c>
      <c r="I516" t="s">
        <v>291</v>
      </c>
      <c r="J516" t="s">
        <v>274</v>
      </c>
      <c r="K516" t="s">
        <v>118</v>
      </c>
    </row>
    <row r="517" spans="1:11" x14ac:dyDescent="0.35">
      <c r="A517" t="s">
        <v>17</v>
      </c>
      <c r="B517" t="s">
        <v>1</v>
      </c>
      <c r="C517" s="27">
        <v>46.15</v>
      </c>
      <c r="D517">
        <v>0</v>
      </c>
      <c r="E517">
        <v>494</v>
      </c>
      <c r="F517" s="4">
        <f t="shared" si="8"/>
        <v>22798.1</v>
      </c>
      <c r="G517" t="str">
        <f>IF(Table2[[#This Row],[Sold]]&gt;1000,"High Quality","Normal Quality")</f>
        <v>Normal Quality</v>
      </c>
      <c r="H517" s="12">
        <v>45374.365648148145</v>
      </c>
      <c r="I517" t="s">
        <v>291</v>
      </c>
      <c r="J517" t="s">
        <v>274</v>
      </c>
      <c r="K517" t="s">
        <v>118</v>
      </c>
    </row>
    <row r="518" spans="1:11" x14ac:dyDescent="0.35">
      <c r="A518" t="s">
        <v>16</v>
      </c>
      <c r="B518" t="s">
        <v>3</v>
      </c>
      <c r="C518" s="27">
        <v>39.99</v>
      </c>
      <c r="D518">
        <v>10</v>
      </c>
      <c r="E518">
        <v>236</v>
      </c>
      <c r="F518" s="4">
        <f t="shared" si="8"/>
        <v>9437.6400000000012</v>
      </c>
      <c r="G518" t="str">
        <f>IF(Table2[[#This Row],[Sold]]&gt;1000,"High Quality","Normal Quality")</f>
        <v>Normal Quality</v>
      </c>
      <c r="H518" s="12">
        <v>45374.3669212963</v>
      </c>
      <c r="I518" t="s">
        <v>288</v>
      </c>
      <c r="J518" t="s">
        <v>508</v>
      </c>
      <c r="K518" t="s">
        <v>118</v>
      </c>
    </row>
    <row r="519" spans="1:11" x14ac:dyDescent="0.35">
      <c r="A519" t="s">
        <v>164</v>
      </c>
      <c r="B519" t="s">
        <v>45</v>
      </c>
      <c r="C519" s="27">
        <v>41.87</v>
      </c>
      <c r="D519">
        <v>10</v>
      </c>
      <c r="E519">
        <v>21</v>
      </c>
      <c r="F519" s="4">
        <f t="shared" si="8"/>
        <v>879.27</v>
      </c>
      <c r="G519" t="str">
        <f>IF(Table2[[#This Row],[Sold]]&gt;1000,"High Quality","Normal Quality")</f>
        <v>Normal Quality</v>
      </c>
      <c r="H519" s="12">
        <v>45374.372939814813</v>
      </c>
      <c r="I519" t="s">
        <v>301</v>
      </c>
      <c r="J519" t="s">
        <v>506</v>
      </c>
      <c r="K519" t="s">
        <v>118</v>
      </c>
    </row>
    <row r="520" spans="1:11" x14ac:dyDescent="0.35">
      <c r="A520" t="s">
        <v>62</v>
      </c>
      <c r="B520" t="s">
        <v>45</v>
      </c>
      <c r="C520" s="27">
        <v>76.650000000000006</v>
      </c>
      <c r="D520">
        <v>10</v>
      </c>
      <c r="E520">
        <v>30</v>
      </c>
      <c r="F520" s="4">
        <f t="shared" si="8"/>
        <v>2299.5</v>
      </c>
      <c r="G520" t="str">
        <f>IF(Table2[[#This Row],[Sold]]&gt;1000,"High Quality","Normal Quality")</f>
        <v>Normal Quality</v>
      </c>
      <c r="H520" s="12">
        <v>45374.374178240738</v>
      </c>
      <c r="I520" t="s">
        <v>301</v>
      </c>
      <c r="J520" t="s">
        <v>506</v>
      </c>
      <c r="K520" t="s">
        <v>118</v>
      </c>
    </row>
    <row r="521" spans="1:11" x14ac:dyDescent="0.35">
      <c r="A521" t="s">
        <v>12</v>
      </c>
      <c r="B521" t="s">
        <v>3</v>
      </c>
      <c r="C521" s="27">
        <v>8.84</v>
      </c>
      <c r="D521">
        <v>4</v>
      </c>
      <c r="E521">
        <v>9410</v>
      </c>
      <c r="F521" s="4">
        <f t="shared" si="8"/>
        <v>83184.399999999994</v>
      </c>
      <c r="G521" t="str">
        <f>IF(Table2[[#This Row],[Sold]]&gt;1000,"High Quality","Normal Quality")</f>
        <v>High Quality</v>
      </c>
      <c r="H521" s="12">
        <v>45374.379733796297</v>
      </c>
      <c r="I521" t="s">
        <v>290</v>
      </c>
      <c r="J521" t="s">
        <v>506</v>
      </c>
      <c r="K521" t="s">
        <v>118</v>
      </c>
    </row>
    <row r="522" spans="1:11" x14ac:dyDescent="0.35">
      <c r="A522" t="s">
        <v>16</v>
      </c>
      <c r="B522" t="s">
        <v>3</v>
      </c>
      <c r="C522" s="27">
        <v>39.99</v>
      </c>
      <c r="D522">
        <v>4</v>
      </c>
      <c r="E522">
        <v>25</v>
      </c>
      <c r="F522" s="4">
        <f t="shared" si="8"/>
        <v>999.75</v>
      </c>
      <c r="G522" t="str">
        <f>IF(Table2[[#This Row],[Sold]]&gt;1000,"High Quality","Normal Quality")</f>
        <v>Normal Quality</v>
      </c>
      <c r="H522" s="12">
        <v>45374.380798611113</v>
      </c>
      <c r="I522" t="s">
        <v>325</v>
      </c>
      <c r="J522" t="s">
        <v>266</v>
      </c>
      <c r="K522" t="s">
        <v>118</v>
      </c>
    </row>
    <row r="523" spans="1:11" x14ac:dyDescent="0.35">
      <c r="A523" t="s">
        <v>20</v>
      </c>
      <c r="B523" t="s">
        <v>1</v>
      </c>
      <c r="C523" s="27">
        <v>24.43</v>
      </c>
      <c r="D523">
        <v>3</v>
      </c>
      <c r="E523">
        <v>16</v>
      </c>
      <c r="F523" s="4">
        <f t="shared" si="8"/>
        <v>390.88</v>
      </c>
      <c r="G523" t="str">
        <f>IF(Table2[[#This Row],[Sold]]&gt;1000,"High Quality","Normal Quality")</f>
        <v>Normal Quality</v>
      </c>
      <c r="H523" s="12">
        <v>45374.381145833337</v>
      </c>
      <c r="I523" t="s">
        <v>509</v>
      </c>
      <c r="J523" t="s">
        <v>505</v>
      </c>
      <c r="K523" t="s">
        <v>118</v>
      </c>
    </row>
    <row r="524" spans="1:11" x14ac:dyDescent="0.35">
      <c r="A524" t="s">
        <v>37</v>
      </c>
      <c r="B524" t="s">
        <v>1</v>
      </c>
      <c r="C524" s="27">
        <v>67.5</v>
      </c>
      <c r="D524">
        <v>10</v>
      </c>
      <c r="E524">
        <v>3</v>
      </c>
      <c r="F524" s="4">
        <f t="shared" si="8"/>
        <v>202.5</v>
      </c>
      <c r="G524" t="str">
        <f>IF(Table2[[#This Row],[Sold]]&gt;1000,"High Quality","Normal Quality")</f>
        <v>Normal Quality</v>
      </c>
      <c r="H524" s="12">
        <v>45374.381307870368</v>
      </c>
      <c r="I524" t="s">
        <v>437</v>
      </c>
      <c r="J524" t="s">
        <v>506</v>
      </c>
      <c r="K524" t="s">
        <v>118</v>
      </c>
    </row>
    <row r="525" spans="1:11" x14ac:dyDescent="0.35">
      <c r="A525" t="s">
        <v>231</v>
      </c>
      <c r="B525" t="s">
        <v>1</v>
      </c>
      <c r="C525" s="27">
        <v>94.93</v>
      </c>
      <c r="D525">
        <v>10</v>
      </c>
      <c r="E525">
        <v>15</v>
      </c>
      <c r="F525" s="4">
        <f t="shared" si="8"/>
        <v>1423.95</v>
      </c>
      <c r="G525" t="str">
        <f>IF(Table2[[#This Row],[Sold]]&gt;1000,"High Quality","Normal Quality")</f>
        <v>Normal Quality</v>
      </c>
      <c r="H525" s="12">
        <v>45374.389502314814</v>
      </c>
      <c r="I525" t="s">
        <v>509</v>
      </c>
      <c r="J525" t="s">
        <v>505</v>
      </c>
      <c r="K525" t="s">
        <v>118</v>
      </c>
    </row>
    <row r="526" spans="1:11" x14ac:dyDescent="0.35">
      <c r="A526" t="s">
        <v>4</v>
      </c>
      <c r="B526" t="s">
        <v>3</v>
      </c>
      <c r="C526" s="27">
        <v>37.799999999999997</v>
      </c>
      <c r="D526">
        <v>10</v>
      </c>
      <c r="E526">
        <v>300</v>
      </c>
      <c r="F526" s="4">
        <f t="shared" si="8"/>
        <v>11340</v>
      </c>
      <c r="G526" t="str">
        <f>IF(Table2[[#This Row],[Sold]]&gt;1000,"High Quality","Normal Quality")</f>
        <v>Normal Quality</v>
      </c>
      <c r="H526" s="12">
        <v>45374.391076388885</v>
      </c>
      <c r="I526" t="s">
        <v>313</v>
      </c>
      <c r="J526" t="s">
        <v>506</v>
      </c>
      <c r="K526" t="s">
        <v>118</v>
      </c>
    </row>
    <row r="527" spans="1:11" x14ac:dyDescent="0.35">
      <c r="A527" t="s">
        <v>1</v>
      </c>
      <c r="B527" t="s">
        <v>1</v>
      </c>
      <c r="C527" s="27">
        <v>3.5</v>
      </c>
      <c r="D527">
        <v>0</v>
      </c>
      <c r="E527">
        <v>3009</v>
      </c>
      <c r="F527" s="4">
        <f t="shared" si="8"/>
        <v>10531.5</v>
      </c>
      <c r="G527" t="str">
        <f>IF(Table2[[#This Row],[Sold]]&gt;1000,"High Quality","Normal Quality")</f>
        <v>High Quality</v>
      </c>
      <c r="H527" s="12">
        <v>45374.391701388886</v>
      </c>
      <c r="I527" t="s">
        <v>358</v>
      </c>
      <c r="J527" t="s">
        <v>274</v>
      </c>
      <c r="K527" t="s">
        <v>118</v>
      </c>
    </row>
    <row r="528" spans="1:11" x14ac:dyDescent="0.35">
      <c r="A528" t="s">
        <v>36</v>
      </c>
      <c r="B528" t="s">
        <v>37</v>
      </c>
      <c r="C528" s="27">
        <v>29.99</v>
      </c>
      <c r="D528">
        <v>10</v>
      </c>
      <c r="E528">
        <v>87</v>
      </c>
      <c r="F528" s="4">
        <f t="shared" si="8"/>
        <v>2609.1299999999997</v>
      </c>
      <c r="G528" t="str">
        <f>IF(Table2[[#This Row],[Sold]]&gt;1000,"High Quality","Normal Quality")</f>
        <v>Normal Quality</v>
      </c>
      <c r="H528" s="12">
        <v>45374.393437500003</v>
      </c>
      <c r="I528" t="s">
        <v>298</v>
      </c>
      <c r="J528" t="s">
        <v>299</v>
      </c>
      <c r="K528" t="s">
        <v>118</v>
      </c>
    </row>
    <row r="529" spans="1:11" x14ac:dyDescent="0.35">
      <c r="A529" t="s">
        <v>4</v>
      </c>
      <c r="B529" t="s">
        <v>1</v>
      </c>
      <c r="C529" s="27">
        <v>79.89</v>
      </c>
      <c r="D529">
        <v>0</v>
      </c>
      <c r="E529">
        <v>15</v>
      </c>
      <c r="F529" s="4">
        <f t="shared" si="8"/>
        <v>1198.3499999999999</v>
      </c>
      <c r="G529" t="str">
        <f>IF(Table2[[#This Row],[Sold]]&gt;1000,"High Quality","Normal Quality")</f>
        <v>Normal Quality</v>
      </c>
      <c r="H529" s="12">
        <v>45374.393587962964</v>
      </c>
      <c r="I529" t="s">
        <v>509</v>
      </c>
      <c r="J529" t="s">
        <v>505</v>
      </c>
      <c r="K529" t="s">
        <v>118</v>
      </c>
    </row>
    <row r="530" spans="1:11" x14ac:dyDescent="0.35">
      <c r="A530" t="s">
        <v>237</v>
      </c>
      <c r="B530" t="s">
        <v>37</v>
      </c>
      <c r="C530" s="27">
        <v>32.619999999999997</v>
      </c>
      <c r="D530">
        <v>3</v>
      </c>
      <c r="E530">
        <v>242</v>
      </c>
      <c r="F530" s="4">
        <f t="shared" si="8"/>
        <v>7894.0399999999991</v>
      </c>
      <c r="G530" t="str">
        <f>IF(Table2[[#This Row],[Sold]]&gt;1000,"High Quality","Normal Quality")</f>
        <v>Normal Quality</v>
      </c>
      <c r="H530" s="12">
        <v>45374.394074074073</v>
      </c>
      <c r="I530" t="s">
        <v>290</v>
      </c>
      <c r="J530" t="s">
        <v>506</v>
      </c>
      <c r="K530" t="s">
        <v>118</v>
      </c>
    </row>
    <row r="531" spans="1:11" x14ac:dyDescent="0.35">
      <c r="A531" t="s">
        <v>74</v>
      </c>
      <c r="B531" t="s">
        <v>1</v>
      </c>
      <c r="C531" s="27">
        <v>38.53</v>
      </c>
      <c r="D531">
        <v>10</v>
      </c>
      <c r="E531">
        <v>33</v>
      </c>
      <c r="F531" s="4">
        <f t="shared" si="8"/>
        <v>1271.49</v>
      </c>
      <c r="G531" t="str">
        <f>IF(Table2[[#This Row],[Sold]]&gt;1000,"High Quality","Normal Quality")</f>
        <v>Normal Quality</v>
      </c>
      <c r="H531" s="12">
        <v>45374.397777777776</v>
      </c>
      <c r="I531" t="s">
        <v>509</v>
      </c>
      <c r="J531" t="s">
        <v>505</v>
      </c>
      <c r="K531" t="s">
        <v>118</v>
      </c>
    </row>
    <row r="532" spans="1:11" x14ac:dyDescent="0.35">
      <c r="A532" t="s">
        <v>4</v>
      </c>
      <c r="B532" t="s">
        <v>3</v>
      </c>
      <c r="C532" s="27">
        <v>29.99</v>
      </c>
      <c r="D532">
        <v>10</v>
      </c>
      <c r="E532">
        <v>233</v>
      </c>
      <c r="F532" s="4">
        <f t="shared" si="8"/>
        <v>6987.67</v>
      </c>
      <c r="G532" t="str">
        <f>IF(Table2[[#This Row],[Sold]]&gt;1000,"High Quality","Normal Quality")</f>
        <v>Normal Quality</v>
      </c>
      <c r="H532" s="12">
        <v>45374.402974537035</v>
      </c>
      <c r="I532" t="s">
        <v>357</v>
      </c>
      <c r="J532" t="s">
        <v>266</v>
      </c>
      <c r="K532" t="s">
        <v>118</v>
      </c>
    </row>
    <row r="533" spans="1:11" x14ac:dyDescent="0.35">
      <c r="A533" t="s">
        <v>94</v>
      </c>
      <c r="B533" t="s">
        <v>1</v>
      </c>
      <c r="C533" s="27">
        <v>112.49</v>
      </c>
      <c r="D533">
        <v>0</v>
      </c>
      <c r="E533">
        <v>15</v>
      </c>
      <c r="F533" s="4">
        <f t="shared" si="8"/>
        <v>1687.35</v>
      </c>
      <c r="G533" t="str">
        <f>IF(Table2[[#This Row],[Sold]]&gt;1000,"High Quality","Normal Quality")</f>
        <v>Normal Quality</v>
      </c>
      <c r="H533" s="12">
        <v>45374.403414351851</v>
      </c>
      <c r="I533" t="s">
        <v>391</v>
      </c>
      <c r="J533" t="s">
        <v>356</v>
      </c>
      <c r="K533" t="s">
        <v>118</v>
      </c>
    </row>
    <row r="534" spans="1:11" x14ac:dyDescent="0.35">
      <c r="A534" t="s">
        <v>9</v>
      </c>
      <c r="B534" t="s">
        <v>3</v>
      </c>
      <c r="C534" s="27">
        <v>36.99</v>
      </c>
      <c r="D534">
        <v>8</v>
      </c>
      <c r="E534">
        <v>7</v>
      </c>
      <c r="F534" s="4">
        <f t="shared" si="8"/>
        <v>258.93</v>
      </c>
      <c r="G534" t="str">
        <f>IF(Table2[[#This Row],[Sold]]&gt;1000,"High Quality","Normal Quality")</f>
        <v>Normal Quality</v>
      </c>
      <c r="H534" s="12">
        <v>45374.406539351854</v>
      </c>
      <c r="I534" t="s">
        <v>287</v>
      </c>
      <c r="J534" t="s">
        <v>266</v>
      </c>
      <c r="K534" t="s">
        <v>118</v>
      </c>
    </row>
    <row r="535" spans="1:11" x14ac:dyDescent="0.35">
      <c r="A535" t="s">
        <v>13</v>
      </c>
      <c r="B535" t="s">
        <v>3</v>
      </c>
      <c r="C535" s="27">
        <v>36.65</v>
      </c>
      <c r="D535">
        <v>3</v>
      </c>
      <c r="E535">
        <v>11</v>
      </c>
      <c r="F535" s="4">
        <f t="shared" si="8"/>
        <v>403.15</v>
      </c>
      <c r="G535" t="str">
        <f>IF(Table2[[#This Row],[Sold]]&gt;1000,"High Quality","Normal Quality")</f>
        <v>Normal Quality</v>
      </c>
      <c r="H535" s="12">
        <v>45374.431168981479</v>
      </c>
      <c r="I535" t="s">
        <v>509</v>
      </c>
      <c r="J535" t="s">
        <v>505</v>
      </c>
      <c r="K535" t="s">
        <v>118</v>
      </c>
    </row>
    <row r="536" spans="1:11" x14ac:dyDescent="0.35">
      <c r="A536" t="s">
        <v>30</v>
      </c>
      <c r="B536" t="s">
        <v>3</v>
      </c>
      <c r="C536" s="27">
        <v>14.99</v>
      </c>
      <c r="D536">
        <v>2</v>
      </c>
      <c r="E536">
        <v>291</v>
      </c>
      <c r="F536" s="4">
        <f t="shared" si="8"/>
        <v>4362.09</v>
      </c>
      <c r="G536" t="str">
        <f>IF(Table2[[#This Row],[Sold]]&gt;1000,"High Quality","Normal Quality")</f>
        <v>Normal Quality</v>
      </c>
      <c r="H536" s="12">
        <v>45374.431435185186</v>
      </c>
      <c r="I536" t="s">
        <v>302</v>
      </c>
      <c r="J536" t="s">
        <v>266</v>
      </c>
      <c r="K536" t="s">
        <v>118</v>
      </c>
    </row>
    <row r="537" spans="1:11" x14ac:dyDescent="0.35">
      <c r="A537" t="s">
        <v>13</v>
      </c>
      <c r="B537" t="s">
        <v>1</v>
      </c>
      <c r="C537" s="27">
        <v>108</v>
      </c>
      <c r="D537">
        <v>0</v>
      </c>
      <c r="E537">
        <v>10</v>
      </c>
      <c r="F537" s="4">
        <f t="shared" si="8"/>
        <v>1080</v>
      </c>
      <c r="G537" t="str">
        <f>IF(Table2[[#This Row],[Sold]]&gt;1000,"High Quality","Normal Quality")</f>
        <v>Normal Quality</v>
      </c>
      <c r="H537" s="12">
        <v>45374.434976851851</v>
      </c>
      <c r="I537" t="s">
        <v>453</v>
      </c>
      <c r="J537" t="s">
        <v>434</v>
      </c>
      <c r="K537" t="s">
        <v>118</v>
      </c>
    </row>
    <row r="538" spans="1:11" x14ac:dyDescent="0.35">
      <c r="A538" t="s">
        <v>27</v>
      </c>
      <c r="B538" t="s">
        <v>3</v>
      </c>
      <c r="C538" s="27">
        <v>34.99</v>
      </c>
      <c r="D538">
        <v>9</v>
      </c>
      <c r="E538">
        <v>17</v>
      </c>
      <c r="F538" s="4">
        <f t="shared" si="8"/>
        <v>594.83000000000004</v>
      </c>
      <c r="G538" t="str">
        <f>IF(Table2[[#This Row],[Sold]]&gt;1000,"High Quality","Normal Quality")</f>
        <v>Normal Quality</v>
      </c>
      <c r="H538" s="12">
        <v>45374.436736111114</v>
      </c>
      <c r="I538" t="s">
        <v>328</v>
      </c>
      <c r="J538" t="s">
        <v>266</v>
      </c>
      <c r="K538" t="s">
        <v>118</v>
      </c>
    </row>
    <row r="539" spans="1:11" x14ac:dyDescent="0.35">
      <c r="A539" t="s">
        <v>8</v>
      </c>
      <c r="B539" t="s">
        <v>1</v>
      </c>
      <c r="C539" s="27">
        <v>74.25</v>
      </c>
      <c r="D539">
        <v>10</v>
      </c>
      <c r="E539">
        <v>16</v>
      </c>
      <c r="F539" s="4">
        <f t="shared" si="8"/>
        <v>1188</v>
      </c>
      <c r="G539" t="str">
        <f>IF(Table2[[#This Row],[Sold]]&gt;1000,"High Quality","Normal Quality")</f>
        <v>Normal Quality</v>
      </c>
      <c r="H539" s="12">
        <v>45374.439398148148</v>
      </c>
      <c r="I539" t="s">
        <v>509</v>
      </c>
      <c r="J539" t="s">
        <v>505</v>
      </c>
      <c r="K539" t="s">
        <v>118</v>
      </c>
    </row>
    <row r="540" spans="1:11" x14ac:dyDescent="0.35">
      <c r="A540" t="s">
        <v>94</v>
      </c>
      <c r="B540" t="s">
        <v>3</v>
      </c>
      <c r="C540" s="27">
        <v>12</v>
      </c>
      <c r="D540">
        <v>4</v>
      </c>
      <c r="E540">
        <v>11</v>
      </c>
      <c r="F540" s="4">
        <f t="shared" si="8"/>
        <v>132</v>
      </c>
      <c r="G540" t="str">
        <f>IF(Table2[[#This Row],[Sold]]&gt;1000,"High Quality","Normal Quality")</f>
        <v>Normal Quality</v>
      </c>
      <c r="H540" s="12">
        <v>45374.443043981482</v>
      </c>
      <c r="I540" t="s">
        <v>448</v>
      </c>
      <c r="J540" t="s">
        <v>282</v>
      </c>
      <c r="K540" t="s">
        <v>118</v>
      </c>
    </row>
    <row r="541" spans="1:11" x14ac:dyDescent="0.35">
      <c r="A541" t="s">
        <v>4</v>
      </c>
      <c r="B541" t="s">
        <v>3</v>
      </c>
      <c r="C541" s="27">
        <v>39.99</v>
      </c>
      <c r="D541">
        <v>129</v>
      </c>
      <c r="E541">
        <v>26</v>
      </c>
      <c r="F541" s="4">
        <f t="shared" si="8"/>
        <v>1039.74</v>
      </c>
      <c r="G541" t="str">
        <f>IF(Table2[[#This Row],[Sold]]&gt;1000,"High Quality","Normal Quality")</f>
        <v>Normal Quality</v>
      </c>
      <c r="H541" s="12">
        <v>45374.444178240738</v>
      </c>
      <c r="I541" t="s">
        <v>413</v>
      </c>
      <c r="J541" t="s">
        <v>347</v>
      </c>
      <c r="K541" t="s">
        <v>118</v>
      </c>
    </row>
    <row r="542" spans="1:11" x14ac:dyDescent="0.35">
      <c r="A542" t="s">
        <v>4</v>
      </c>
      <c r="B542" t="s">
        <v>3</v>
      </c>
      <c r="C542" s="27">
        <v>29.99</v>
      </c>
      <c r="D542">
        <v>10</v>
      </c>
      <c r="E542">
        <v>204</v>
      </c>
      <c r="F542" s="4">
        <f t="shared" si="8"/>
        <v>6117.96</v>
      </c>
      <c r="G542" t="str">
        <f>IF(Table2[[#This Row],[Sold]]&gt;1000,"High Quality","Normal Quality")</f>
        <v>Normal Quality</v>
      </c>
      <c r="H542" s="12">
        <v>45374.448773148149</v>
      </c>
      <c r="I542" t="s">
        <v>351</v>
      </c>
      <c r="J542" t="s">
        <v>266</v>
      </c>
      <c r="K542" t="s">
        <v>118</v>
      </c>
    </row>
    <row r="543" spans="1:11" x14ac:dyDescent="0.35">
      <c r="A543" t="s">
        <v>13</v>
      </c>
      <c r="B543" t="s">
        <v>3</v>
      </c>
      <c r="C543" s="27">
        <v>50.99</v>
      </c>
      <c r="D543">
        <v>13</v>
      </c>
      <c r="E543">
        <v>15</v>
      </c>
      <c r="F543" s="4">
        <f t="shared" si="8"/>
        <v>764.85</v>
      </c>
      <c r="G543" t="str">
        <f>IF(Table2[[#This Row],[Sold]]&gt;1000,"High Quality","Normal Quality")</f>
        <v>Normal Quality</v>
      </c>
      <c r="H543" s="12">
        <v>45374.458935185183</v>
      </c>
      <c r="I543" t="s">
        <v>278</v>
      </c>
      <c r="J543" t="s">
        <v>266</v>
      </c>
      <c r="K543" t="s">
        <v>118</v>
      </c>
    </row>
    <row r="544" spans="1:11" x14ac:dyDescent="0.35">
      <c r="A544" t="s">
        <v>98</v>
      </c>
      <c r="B544" t="s">
        <v>1</v>
      </c>
      <c r="C544" s="27">
        <v>31.98</v>
      </c>
      <c r="D544">
        <v>48</v>
      </c>
      <c r="E544">
        <v>12</v>
      </c>
      <c r="F544" s="4">
        <f t="shared" si="8"/>
        <v>383.76</v>
      </c>
      <c r="G544" t="str">
        <f>IF(Table2[[#This Row],[Sold]]&gt;1000,"High Quality","Normal Quality")</f>
        <v>Normal Quality</v>
      </c>
      <c r="H544" s="12">
        <v>45374.464629629627</v>
      </c>
      <c r="I544" t="s">
        <v>369</v>
      </c>
      <c r="J544" t="s">
        <v>506</v>
      </c>
      <c r="K544" t="s">
        <v>118</v>
      </c>
    </row>
    <row r="545" spans="1:11" x14ac:dyDescent="0.35">
      <c r="A545" t="s">
        <v>127</v>
      </c>
      <c r="B545" t="s">
        <v>1</v>
      </c>
      <c r="C545" s="27">
        <v>16.489999999999998</v>
      </c>
      <c r="D545">
        <v>3</v>
      </c>
      <c r="E545">
        <v>77</v>
      </c>
      <c r="F545" s="4">
        <f t="shared" si="8"/>
        <v>1269.7299999999998</v>
      </c>
      <c r="G545" t="str">
        <f>IF(Table2[[#This Row],[Sold]]&gt;1000,"High Quality","Normal Quality")</f>
        <v>Normal Quality</v>
      </c>
      <c r="H545" s="12">
        <v>45374.475543981483</v>
      </c>
      <c r="I545" t="s">
        <v>285</v>
      </c>
      <c r="J545" t="s">
        <v>286</v>
      </c>
      <c r="K545" t="s">
        <v>118</v>
      </c>
    </row>
    <row r="546" spans="1:11" x14ac:dyDescent="0.35">
      <c r="A546" t="s">
        <v>55</v>
      </c>
      <c r="B546" t="s">
        <v>3</v>
      </c>
      <c r="C546" s="27">
        <v>32.99</v>
      </c>
      <c r="D546">
        <v>456</v>
      </c>
      <c r="E546">
        <v>10</v>
      </c>
      <c r="F546" s="4">
        <f t="shared" si="8"/>
        <v>329.90000000000003</v>
      </c>
      <c r="G546" t="str">
        <f>IF(Table2[[#This Row],[Sold]]&gt;1000,"High Quality","Normal Quality")</f>
        <v>Normal Quality</v>
      </c>
      <c r="H546" s="12">
        <v>45374.478715277779</v>
      </c>
      <c r="I546" t="s">
        <v>301</v>
      </c>
      <c r="J546" t="s">
        <v>506</v>
      </c>
      <c r="K546" t="s">
        <v>118</v>
      </c>
    </row>
    <row r="547" spans="1:11" x14ac:dyDescent="0.35">
      <c r="A547" t="s">
        <v>10</v>
      </c>
      <c r="B547" t="s">
        <v>3</v>
      </c>
      <c r="C547" s="27">
        <v>33.369999999999997</v>
      </c>
      <c r="D547">
        <v>10</v>
      </c>
      <c r="E547">
        <v>400</v>
      </c>
      <c r="F547" s="4">
        <f t="shared" si="8"/>
        <v>13347.999999999998</v>
      </c>
      <c r="G547" t="str">
        <f>IF(Table2[[#This Row],[Sold]]&gt;1000,"High Quality","Normal Quality")</f>
        <v>Normal Quality</v>
      </c>
      <c r="H547" s="12">
        <v>45374.487847222219</v>
      </c>
      <c r="I547" t="s">
        <v>290</v>
      </c>
      <c r="J547" t="s">
        <v>506</v>
      </c>
      <c r="K547" t="s">
        <v>118</v>
      </c>
    </row>
    <row r="548" spans="1:11" x14ac:dyDescent="0.35">
      <c r="A548" t="s">
        <v>16</v>
      </c>
      <c r="B548" t="s">
        <v>1</v>
      </c>
      <c r="C548" s="27">
        <v>88.65</v>
      </c>
      <c r="D548">
        <v>10</v>
      </c>
      <c r="E548">
        <v>40</v>
      </c>
      <c r="F548" s="4">
        <f t="shared" si="8"/>
        <v>3546</v>
      </c>
      <c r="G548" t="str">
        <f>IF(Table2[[#This Row],[Sold]]&gt;1000,"High Quality","Normal Quality")</f>
        <v>Normal Quality</v>
      </c>
      <c r="H548" s="12">
        <v>45374.488402777781</v>
      </c>
      <c r="I548" t="s">
        <v>301</v>
      </c>
      <c r="J548" t="s">
        <v>506</v>
      </c>
      <c r="K548" t="s">
        <v>118</v>
      </c>
    </row>
    <row r="549" spans="1:11" x14ac:dyDescent="0.35">
      <c r="A549" t="s">
        <v>20</v>
      </c>
      <c r="B549" t="s">
        <v>1</v>
      </c>
      <c r="C549" s="27">
        <v>31.95</v>
      </c>
      <c r="D549">
        <v>9</v>
      </c>
      <c r="E549">
        <v>5</v>
      </c>
      <c r="F549" s="4">
        <f t="shared" si="8"/>
        <v>159.75</v>
      </c>
      <c r="G549" t="str">
        <f>IF(Table2[[#This Row],[Sold]]&gt;1000,"High Quality","Normal Quality")</f>
        <v>Normal Quality</v>
      </c>
      <c r="H549" s="12">
        <v>45374.493738425925</v>
      </c>
      <c r="I549" t="s">
        <v>509</v>
      </c>
      <c r="J549" t="s">
        <v>505</v>
      </c>
      <c r="K549" t="s">
        <v>118</v>
      </c>
    </row>
    <row r="550" spans="1:11" x14ac:dyDescent="0.35">
      <c r="A550" t="s">
        <v>12</v>
      </c>
      <c r="B550" t="s">
        <v>3</v>
      </c>
      <c r="C550" s="27">
        <v>23.49</v>
      </c>
      <c r="D550">
        <v>5</v>
      </c>
      <c r="E550">
        <v>25</v>
      </c>
      <c r="F550" s="4">
        <f t="shared" si="8"/>
        <v>587.25</v>
      </c>
      <c r="G550" t="str">
        <f>IF(Table2[[#This Row],[Sold]]&gt;1000,"High Quality","Normal Quality")</f>
        <v>Normal Quality</v>
      </c>
      <c r="H550" s="12">
        <v>45374.506215277775</v>
      </c>
      <c r="I550" t="s">
        <v>509</v>
      </c>
      <c r="J550" t="s">
        <v>505</v>
      </c>
      <c r="K550" t="s">
        <v>118</v>
      </c>
    </row>
    <row r="551" spans="1:11" x14ac:dyDescent="0.35">
      <c r="A551" t="s">
        <v>250</v>
      </c>
      <c r="B551" t="s">
        <v>3</v>
      </c>
      <c r="C551" s="27">
        <v>16.5</v>
      </c>
      <c r="D551">
        <v>10</v>
      </c>
      <c r="E551">
        <v>67</v>
      </c>
      <c r="F551" s="4">
        <f t="shared" si="8"/>
        <v>1105.5</v>
      </c>
      <c r="G551" t="str">
        <f>IF(Table2[[#This Row],[Sold]]&gt;1000,"High Quality","Normal Quality")</f>
        <v>Normal Quality</v>
      </c>
      <c r="H551" s="12">
        <v>45374.506712962961</v>
      </c>
      <c r="I551" t="s">
        <v>491</v>
      </c>
      <c r="J551" t="s">
        <v>282</v>
      </c>
      <c r="K551" t="s">
        <v>118</v>
      </c>
    </row>
    <row r="552" spans="1:11" x14ac:dyDescent="0.35">
      <c r="A552" t="s">
        <v>29</v>
      </c>
      <c r="B552" t="s">
        <v>3</v>
      </c>
      <c r="C552" s="27">
        <v>27.94</v>
      </c>
      <c r="D552">
        <v>9</v>
      </c>
      <c r="E552">
        <v>485</v>
      </c>
      <c r="F552" s="4">
        <f t="shared" si="8"/>
        <v>13550.900000000001</v>
      </c>
      <c r="G552" t="str">
        <f>IF(Table2[[#This Row],[Sold]]&gt;1000,"High Quality","Normal Quality")</f>
        <v>Normal Quality</v>
      </c>
      <c r="H552" s="12">
        <v>45374.529560185183</v>
      </c>
      <c r="I552" t="s">
        <v>291</v>
      </c>
      <c r="J552" t="s">
        <v>274</v>
      </c>
      <c r="K552" t="s">
        <v>118</v>
      </c>
    </row>
    <row r="553" spans="1:11" x14ac:dyDescent="0.35">
      <c r="A553" t="s">
        <v>242</v>
      </c>
      <c r="B553" t="s">
        <v>3</v>
      </c>
      <c r="C553" s="27">
        <v>9.99</v>
      </c>
      <c r="D553">
        <v>0</v>
      </c>
      <c r="E553">
        <v>103</v>
      </c>
      <c r="F553" s="4">
        <f t="shared" si="8"/>
        <v>1028.97</v>
      </c>
      <c r="G553" t="str">
        <f>IF(Table2[[#This Row],[Sold]]&gt;1000,"High Quality","Normal Quality")</f>
        <v>Normal Quality</v>
      </c>
      <c r="H553" s="12">
        <v>45374.531898148147</v>
      </c>
      <c r="I553" t="s">
        <v>433</v>
      </c>
      <c r="J553" t="s">
        <v>267</v>
      </c>
      <c r="K553" t="s">
        <v>118</v>
      </c>
    </row>
    <row r="554" spans="1:11" x14ac:dyDescent="0.35">
      <c r="A554" t="s">
        <v>230</v>
      </c>
      <c r="B554" t="s">
        <v>3</v>
      </c>
      <c r="C554" s="27">
        <v>26.11</v>
      </c>
      <c r="D554">
        <v>50</v>
      </c>
      <c r="E554">
        <v>12184</v>
      </c>
      <c r="F554" s="4">
        <f t="shared" si="8"/>
        <v>318124.24</v>
      </c>
      <c r="G554" t="str">
        <f>IF(Table2[[#This Row],[Sold]]&gt;1000,"High Quality","Normal Quality")</f>
        <v>High Quality</v>
      </c>
      <c r="H554" s="12">
        <v>45374.541747685187</v>
      </c>
      <c r="I554" t="s">
        <v>291</v>
      </c>
      <c r="J554" t="s">
        <v>274</v>
      </c>
      <c r="K554" t="s">
        <v>118</v>
      </c>
    </row>
    <row r="555" spans="1:11" x14ac:dyDescent="0.35">
      <c r="A555" t="s">
        <v>17</v>
      </c>
      <c r="B555" t="s">
        <v>3</v>
      </c>
      <c r="C555" s="27">
        <v>36.36</v>
      </c>
      <c r="D555">
        <v>44</v>
      </c>
      <c r="E555">
        <v>771</v>
      </c>
      <c r="F555" s="4">
        <f t="shared" si="8"/>
        <v>28033.56</v>
      </c>
      <c r="G555" t="str">
        <f>IF(Table2[[#This Row],[Sold]]&gt;1000,"High Quality","Normal Quality")</f>
        <v>Normal Quality</v>
      </c>
      <c r="H555" s="12">
        <v>45374.543252314812</v>
      </c>
      <c r="I555" t="s">
        <v>291</v>
      </c>
      <c r="J555" t="s">
        <v>274</v>
      </c>
      <c r="K555" t="s">
        <v>118</v>
      </c>
    </row>
    <row r="556" spans="1:11" x14ac:dyDescent="0.35">
      <c r="A556" t="s">
        <v>231</v>
      </c>
      <c r="B556" t="s">
        <v>3</v>
      </c>
      <c r="C556" s="27">
        <v>92</v>
      </c>
      <c r="D556">
        <v>0</v>
      </c>
      <c r="E556">
        <v>9</v>
      </c>
      <c r="F556" s="4">
        <f t="shared" si="8"/>
        <v>828</v>
      </c>
      <c r="G556" t="str">
        <f>IF(Table2[[#This Row],[Sold]]&gt;1000,"High Quality","Normal Quality")</f>
        <v>Normal Quality</v>
      </c>
      <c r="H556" s="12">
        <v>45374.554062499999</v>
      </c>
      <c r="I556" t="s">
        <v>448</v>
      </c>
      <c r="J556" t="s">
        <v>282</v>
      </c>
      <c r="K556" t="s">
        <v>118</v>
      </c>
    </row>
    <row r="557" spans="1:11" x14ac:dyDescent="0.35">
      <c r="A557" t="s">
        <v>101</v>
      </c>
      <c r="B557" t="s">
        <v>37</v>
      </c>
      <c r="C557" s="27">
        <v>9.7799999999999994</v>
      </c>
      <c r="D557">
        <v>10</v>
      </c>
      <c r="E557">
        <v>8</v>
      </c>
      <c r="F557" s="4">
        <f t="shared" si="8"/>
        <v>78.239999999999995</v>
      </c>
      <c r="G557" t="str">
        <f>IF(Table2[[#This Row],[Sold]]&gt;1000,"High Quality","Normal Quality")</f>
        <v>Normal Quality</v>
      </c>
      <c r="H557" s="12">
        <v>45374.556516203702</v>
      </c>
      <c r="I557" t="s">
        <v>388</v>
      </c>
      <c r="J557" t="s">
        <v>505</v>
      </c>
      <c r="K557" t="s">
        <v>118</v>
      </c>
    </row>
    <row r="558" spans="1:11" x14ac:dyDescent="0.35">
      <c r="A558" t="s">
        <v>13</v>
      </c>
      <c r="B558" t="s">
        <v>1</v>
      </c>
      <c r="C558" s="27">
        <v>68.61</v>
      </c>
      <c r="D558">
        <v>10</v>
      </c>
      <c r="E558">
        <v>10</v>
      </c>
      <c r="F558" s="4">
        <f t="shared" si="8"/>
        <v>686.1</v>
      </c>
      <c r="G558" t="str">
        <f>IF(Table2[[#This Row],[Sold]]&gt;1000,"High Quality","Normal Quality")</f>
        <v>Normal Quality</v>
      </c>
      <c r="H558" s="12">
        <v>45374.560266203705</v>
      </c>
      <c r="I558" t="s">
        <v>509</v>
      </c>
      <c r="J558" t="s">
        <v>505</v>
      </c>
      <c r="K558" t="s">
        <v>118</v>
      </c>
    </row>
    <row r="559" spans="1:11" x14ac:dyDescent="0.35">
      <c r="A559" t="s">
        <v>239</v>
      </c>
      <c r="B559" t="s">
        <v>239</v>
      </c>
      <c r="C559" s="27">
        <v>16.34</v>
      </c>
      <c r="D559">
        <v>10</v>
      </c>
      <c r="E559">
        <v>103</v>
      </c>
      <c r="F559" s="4">
        <f t="shared" si="8"/>
        <v>1683.02</v>
      </c>
      <c r="G559" t="str">
        <f>IF(Table2[[#This Row],[Sold]]&gt;1000,"High Quality","Normal Quality")</f>
        <v>Normal Quality</v>
      </c>
      <c r="H559" s="12">
        <v>45374.573888888888</v>
      </c>
      <c r="I559" t="s">
        <v>479</v>
      </c>
      <c r="J559" t="s">
        <v>274</v>
      </c>
      <c r="K559" t="s">
        <v>118</v>
      </c>
    </row>
    <row r="560" spans="1:11" x14ac:dyDescent="0.35">
      <c r="A560" t="s">
        <v>70</v>
      </c>
      <c r="B560" t="s">
        <v>1</v>
      </c>
      <c r="C560" s="27">
        <v>9.99</v>
      </c>
      <c r="D560">
        <v>0</v>
      </c>
      <c r="E560">
        <v>141</v>
      </c>
      <c r="F560" s="4">
        <f t="shared" si="8"/>
        <v>1408.59</v>
      </c>
      <c r="G560" t="str">
        <f>IF(Table2[[#This Row],[Sold]]&gt;1000,"High Quality","Normal Quality")</f>
        <v>Normal Quality</v>
      </c>
      <c r="H560" s="12">
        <v>45374.591064814813</v>
      </c>
      <c r="I560" t="s">
        <v>301</v>
      </c>
      <c r="J560" t="s">
        <v>506</v>
      </c>
      <c r="K560" t="s">
        <v>118</v>
      </c>
    </row>
    <row r="561" spans="1:11" x14ac:dyDescent="0.35">
      <c r="A561" t="s">
        <v>233</v>
      </c>
      <c r="B561" t="s">
        <v>1</v>
      </c>
      <c r="C561" s="27">
        <v>91.98</v>
      </c>
      <c r="D561">
        <v>0</v>
      </c>
      <c r="E561">
        <v>7</v>
      </c>
      <c r="F561" s="4">
        <f t="shared" si="8"/>
        <v>643.86</v>
      </c>
      <c r="G561" t="str">
        <f>IF(Table2[[#This Row],[Sold]]&gt;1000,"High Quality","Normal Quality")</f>
        <v>Normal Quality</v>
      </c>
      <c r="H561" s="12">
        <v>45374.596284722225</v>
      </c>
      <c r="I561" t="s">
        <v>458</v>
      </c>
      <c r="J561" t="s">
        <v>282</v>
      </c>
      <c r="K561" t="s">
        <v>118</v>
      </c>
    </row>
    <row r="562" spans="1:11" x14ac:dyDescent="0.35">
      <c r="A562" t="s">
        <v>42</v>
      </c>
      <c r="B562" t="s">
        <v>1</v>
      </c>
      <c r="C562" s="27">
        <v>27.5</v>
      </c>
      <c r="D562">
        <v>0</v>
      </c>
      <c r="E562">
        <v>29</v>
      </c>
      <c r="F562" s="4">
        <f t="shared" si="8"/>
        <v>797.5</v>
      </c>
      <c r="G562" t="str">
        <f>IF(Table2[[#This Row],[Sold]]&gt;1000,"High Quality","Normal Quality")</f>
        <v>Normal Quality</v>
      </c>
      <c r="H562" s="12">
        <v>45374.607581018521</v>
      </c>
      <c r="I562" t="s">
        <v>483</v>
      </c>
      <c r="J562" t="s">
        <v>484</v>
      </c>
      <c r="K562" t="s">
        <v>118</v>
      </c>
    </row>
    <row r="563" spans="1:11" x14ac:dyDescent="0.35">
      <c r="A563" t="s">
        <v>248</v>
      </c>
      <c r="B563" t="s">
        <v>3</v>
      </c>
      <c r="C563" s="27">
        <v>20.25</v>
      </c>
      <c r="D563">
        <v>16</v>
      </c>
      <c r="E563">
        <v>6633</v>
      </c>
      <c r="F563" s="4">
        <f t="shared" si="8"/>
        <v>134318.25</v>
      </c>
      <c r="G563" t="str">
        <f>IF(Table2[[#This Row],[Sold]]&gt;1000,"High Quality","Normal Quality")</f>
        <v>High Quality</v>
      </c>
      <c r="H563" s="12">
        <v>45374.609780092593</v>
      </c>
      <c r="I563" t="s">
        <v>291</v>
      </c>
      <c r="J563" t="s">
        <v>274</v>
      </c>
      <c r="K563" t="s">
        <v>118</v>
      </c>
    </row>
    <row r="564" spans="1:11" x14ac:dyDescent="0.35">
      <c r="A564" t="s">
        <v>2</v>
      </c>
      <c r="B564" t="s">
        <v>1</v>
      </c>
      <c r="C564" s="27">
        <v>15.99</v>
      </c>
      <c r="D564">
        <v>5</v>
      </c>
      <c r="E564">
        <v>136</v>
      </c>
      <c r="F564" s="4">
        <f t="shared" si="8"/>
        <v>2174.64</v>
      </c>
      <c r="G564" t="str">
        <f>IF(Table2[[#This Row],[Sold]]&gt;1000,"High Quality","Normal Quality")</f>
        <v>Normal Quality</v>
      </c>
      <c r="H564" s="12">
        <v>45374.610810185186</v>
      </c>
      <c r="I564" t="s">
        <v>273</v>
      </c>
      <c r="J564" t="s">
        <v>274</v>
      </c>
      <c r="K564" t="s">
        <v>118</v>
      </c>
    </row>
    <row r="565" spans="1:11" x14ac:dyDescent="0.35">
      <c r="A565" t="s">
        <v>231</v>
      </c>
      <c r="B565" t="s">
        <v>1</v>
      </c>
      <c r="C565" s="27">
        <v>24.99</v>
      </c>
      <c r="D565">
        <v>10</v>
      </c>
      <c r="E565">
        <v>6</v>
      </c>
      <c r="F565" s="4">
        <f t="shared" si="8"/>
        <v>149.94</v>
      </c>
      <c r="G565" t="str">
        <f>IF(Table2[[#This Row],[Sold]]&gt;1000,"High Quality","Normal Quality")</f>
        <v>Normal Quality</v>
      </c>
      <c r="H565" s="12">
        <v>45374.631458333337</v>
      </c>
      <c r="I565" t="s">
        <v>395</v>
      </c>
      <c r="J565" t="s">
        <v>396</v>
      </c>
      <c r="K565" t="s">
        <v>118</v>
      </c>
    </row>
    <row r="566" spans="1:11" x14ac:dyDescent="0.35">
      <c r="A566" t="s">
        <v>12</v>
      </c>
      <c r="B566" t="s">
        <v>3</v>
      </c>
      <c r="C566" s="27">
        <v>41.98</v>
      </c>
      <c r="D566">
        <v>3</v>
      </c>
      <c r="E566">
        <v>4234</v>
      </c>
      <c r="F566" s="4">
        <f t="shared" si="8"/>
        <v>177743.31999999998</v>
      </c>
      <c r="G566" t="str">
        <f>IF(Table2[[#This Row],[Sold]]&gt;1000,"High Quality","Normal Quality")</f>
        <v>High Quality</v>
      </c>
      <c r="H566" s="12">
        <v>45374.637696759259</v>
      </c>
      <c r="I566" t="s">
        <v>291</v>
      </c>
      <c r="J566" t="s">
        <v>274</v>
      </c>
      <c r="K566" t="s">
        <v>118</v>
      </c>
    </row>
    <row r="567" spans="1:11" x14ac:dyDescent="0.35">
      <c r="A567" t="s">
        <v>4</v>
      </c>
      <c r="B567" t="s">
        <v>1</v>
      </c>
      <c r="C567" s="27">
        <v>94.43</v>
      </c>
      <c r="D567">
        <v>33</v>
      </c>
      <c r="E567">
        <v>98</v>
      </c>
      <c r="F567" s="4">
        <f t="shared" si="8"/>
        <v>9254.1400000000012</v>
      </c>
      <c r="G567" t="str">
        <f>IF(Table2[[#This Row],[Sold]]&gt;1000,"High Quality","Normal Quality")</f>
        <v>Normal Quality</v>
      </c>
      <c r="H567" s="12">
        <v>45374.638275462959</v>
      </c>
      <c r="I567" t="s">
        <v>301</v>
      </c>
      <c r="J567" t="s">
        <v>506</v>
      </c>
      <c r="K567" t="s">
        <v>118</v>
      </c>
    </row>
    <row r="568" spans="1:11" x14ac:dyDescent="0.35">
      <c r="A568" t="s">
        <v>13</v>
      </c>
      <c r="B568" t="s">
        <v>3</v>
      </c>
      <c r="C568" s="27">
        <v>39.99</v>
      </c>
      <c r="D568">
        <v>0</v>
      </c>
      <c r="E568">
        <v>305</v>
      </c>
      <c r="F568" s="4">
        <f t="shared" si="8"/>
        <v>12196.95</v>
      </c>
      <c r="G568" t="str">
        <f>IF(Table2[[#This Row],[Sold]]&gt;1000,"High Quality","Normal Quality")</f>
        <v>Normal Quality</v>
      </c>
      <c r="H568" s="12">
        <v>45374.643958333334</v>
      </c>
      <c r="I568" t="s">
        <v>432</v>
      </c>
      <c r="J568" t="s">
        <v>505</v>
      </c>
      <c r="K568" t="s">
        <v>118</v>
      </c>
    </row>
    <row r="569" spans="1:11" x14ac:dyDescent="0.35">
      <c r="A569" t="s">
        <v>26</v>
      </c>
      <c r="B569" t="s">
        <v>3</v>
      </c>
      <c r="C569" s="27">
        <v>23.79</v>
      </c>
      <c r="D569">
        <v>3</v>
      </c>
      <c r="E569">
        <v>83</v>
      </c>
      <c r="F569" s="4">
        <f t="shared" si="8"/>
        <v>1974.57</v>
      </c>
      <c r="G569" t="str">
        <f>IF(Table2[[#This Row],[Sold]]&gt;1000,"High Quality","Normal Quality")</f>
        <v>Normal Quality</v>
      </c>
      <c r="H569" s="12">
        <v>45374.656886574077</v>
      </c>
      <c r="I569" t="s">
        <v>301</v>
      </c>
      <c r="J569" t="s">
        <v>506</v>
      </c>
      <c r="K569" t="s">
        <v>118</v>
      </c>
    </row>
    <row r="570" spans="1:11" x14ac:dyDescent="0.35">
      <c r="A570" t="s">
        <v>230</v>
      </c>
      <c r="B570" t="s">
        <v>1</v>
      </c>
      <c r="C570" s="27">
        <v>44.95</v>
      </c>
      <c r="D570">
        <v>0</v>
      </c>
      <c r="E570">
        <v>75</v>
      </c>
      <c r="F570" s="4">
        <f t="shared" si="8"/>
        <v>3371.25</v>
      </c>
      <c r="G570" t="str">
        <f>IF(Table2[[#This Row],[Sold]]&gt;1000,"High Quality","Normal Quality")</f>
        <v>Normal Quality</v>
      </c>
      <c r="H570" s="12">
        <v>45374.658564814818</v>
      </c>
      <c r="I570" t="s">
        <v>433</v>
      </c>
      <c r="J570" t="s">
        <v>267</v>
      </c>
      <c r="K570" t="s">
        <v>118</v>
      </c>
    </row>
    <row r="571" spans="1:11" x14ac:dyDescent="0.35">
      <c r="A571" t="s">
        <v>80</v>
      </c>
      <c r="B571" t="s">
        <v>1</v>
      </c>
      <c r="C571" s="27">
        <v>50</v>
      </c>
      <c r="D571">
        <v>8</v>
      </c>
      <c r="E571">
        <v>19</v>
      </c>
      <c r="F571" s="4">
        <f t="shared" si="8"/>
        <v>950</v>
      </c>
      <c r="G571" t="str">
        <f>IF(Table2[[#This Row],[Sold]]&gt;1000,"High Quality","Normal Quality")</f>
        <v>Normal Quality</v>
      </c>
      <c r="H571" s="12">
        <v>45374.669236111113</v>
      </c>
      <c r="I571" t="s">
        <v>384</v>
      </c>
      <c r="J571" t="s">
        <v>383</v>
      </c>
      <c r="K571" t="s">
        <v>537</v>
      </c>
    </row>
    <row r="572" spans="1:11" x14ac:dyDescent="0.35">
      <c r="A572" t="s">
        <v>125</v>
      </c>
      <c r="B572" t="s">
        <v>37</v>
      </c>
      <c r="C572" s="27">
        <v>9.4499999999999993</v>
      </c>
      <c r="D572">
        <v>2</v>
      </c>
      <c r="E572">
        <v>56</v>
      </c>
      <c r="F572" s="4">
        <f t="shared" si="8"/>
        <v>529.19999999999993</v>
      </c>
      <c r="G572" t="str">
        <f>IF(Table2[[#This Row],[Sold]]&gt;1000,"High Quality","Normal Quality")</f>
        <v>Normal Quality</v>
      </c>
      <c r="H572" s="12">
        <v>45374.674525462964</v>
      </c>
      <c r="I572" t="s">
        <v>531</v>
      </c>
      <c r="J572" t="s">
        <v>286</v>
      </c>
      <c r="K572" t="s">
        <v>118</v>
      </c>
    </row>
    <row r="573" spans="1:11" x14ac:dyDescent="0.35">
      <c r="A573" t="s">
        <v>13</v>
      </c>
      <c r="B573" t="s">
        <v>3</v>
      </c>
      <c r="C573" s="27">
        <v>70.08</v>
      </c>
      <c r="D573">
        <v>0</v>
      </c>
      <c r="E573">
        <v>1165</v>
      </c>
      <c r="F573" s="4">
        <f t="shared" si="8"/>
        <v>81643.199999999997</v>
      </c>
      <c r="G573" t="str">
        <f>IF(Table2[[#This Row],[Sold]]&gt;1000,"High Quality","Normal Quality")</f>
        <v>High Quality</v>
      </c>
      <c r="H573" s="12">
        <v>45374.686180555553</v>
      </c>
      <c r="I573" t="s">
        <v>290</v>
      </c>
      <c r="J573" t="s">
        <v>506</v>
      </c>
      <c r="K573" t="s">
        <v>118</v>
      </c>
    </row>
    <row r="574" spans="1:11" x14ac:dyDescent="0.35">
      <c r="A574" t="s">
        <v>59</v>
      </c>
      <c r="B574" t="s">
        <v>3</v>
      </c>
      <c r="C574" s="27">
        <v>29.99</v>
      </c>
      <c r="D574">
        <v>10</v>
      </c>
      <c r="E574">
        <v>471</v>
      </c>
      <c r="F574" s="4">
        <f t="shared" si="8"/>
        <v>14125.289999999999</v>
      </c>
      <c r="G574" t="str">
        <f>IF(Table2[[#This Row],[Sold]]&gt;1000,"High Quality","Normal Quality")</f>
        <v>Normal Quality</v>
      </c>
      <c r="H574" s="12">
        <v>45374.686944444446</v>
      </c>
      <c r="I574" t="s">
        <v>285</v>
      </c>
      <c r="J574" t="s">
        <v>286</v>
      </c>
      <c r="K574" t="s">
        <v>118</v>
      </c>
    </row>
    <row r="575" spans="1:11" x14ac:dyDescent="0.35">
      <c r="A575" t="s">
        <v>89</v>
      </c>
      <c r="B575" t="s">
        <v>3</v>
      </c>
      <c r="C575" s="27">
        <v>71.900000000000006</v>
      </c>
      <c r="D575">
        <v>3</v>
      </c>
      <c r="E575">
        <v>244</v>
      </c>
      <c r="F575" s="4">
        <f t="shared" si="8"/>
        <v>17543.600000000002</v>
      </c>
      <c r="G575" t="str">
        <f>IF(Table2[[#This Row],[Sold]]&gt;1000,"High Quality","Normal Quality")</f>
        <v>Normal Quality</v>
      </c>
      <c r="H575" s="12">
        <v>45374.687615740739</v>
      </c>
      <c r="I575" t="s">
        <v>511</v>
      </c>
      <c r="J575" t="s">
        <v>274</v>
      </c>
      <c r="K575" t="s">
        <v>118</v>
      </c>
    </row>
    <row r="576" spans="1:11" x14ac:dyDescent="0.35">
      <c r="A576" t="s">
        <v>11</v>
      </c>
      <c r="B576" t="s">
        <v>1</v>
      </c>
      <c r="C576" s="27">
        <v>74.989999999999995</v>
      </c>
      <c r="D576">
        <v>19</v>
      </c>
      <c r="E576">
        <v>4</v>
      </c>
      <c r="F576" s="4">
        <f t="shared" si="8"/>
        <v>299.95999999999998</v>
      </c>
      <c r="G576" t="str">
        <f>IF(Table2[[#This Row],[Sold]]&gt;1000,"High Quality","Normal Quality")</f>
        <v>Normal Quality</v>
      </c>
      <c r="H576" s="12">
        <v>45374.689212962963</v>
      </c>
      <c r="I576" t="s">
        <v>510</v>
      </c>
      <c r="J576" t="s">
        <v>506</v>
      </c>
      <c r="K576" t="s">
        <v>333</v>
      </c>
    </row>
    <row r="577" spans="1:11" x14ac:dyDescent="0.35">
      <c r="A577" t="s">
        <v>50</v>
      </c>
      <c r="B577" t="s">
        <v>3</v>
      </c>
      <c r="C577" s="27">
        <v>136</v>
      </c>
      <c r="D577">
        <v>9</v>
      </c>
      <c r="E577">
        <v>51</v>
      </c>
      <c r="F577" s="4">
        <f t="shared" si="8"/>
        <v>6936</v>
      </c>
      <c r="G577" t="str">
        <f>IF(Table2[[#This Row],[Sold]]&gt;1000,"High Quality","Normal Quality")</f>
        <v>Normal Quality</v>
      </c>
      <c r="H577" s="12">
        <v>45374.690763888888</v>
      </c>
      <c r="I577" t="s">
        <v>285</v>
      </c>
      <c r="J577" t="s">
        <v>286</v>
      </c>
      <c r="K577" t="s">
        <v>118</v>
      </c>
    </row>
    <row r="578" spans="1:11" x14ac:dyDescent="0.35">
      <c r="A578" t="s">
        <v>15</v>
      </c>
      <c r="B578" t="s">
        <v>1</v>
      </c>
      <c r="C578" s="27">
        <v>24.43</v>
      </c>
      <c r="D578">
        <v>323</v>
      </c>
      <c r="E578">
        <v>110</v>
      </c>
      <c r="F578" s="4">
        <f t="shared" ref="F578:F641" si="9">C:C*E:E</f>
        <v>2687.3</v>
      </c>
      <c r="G578" t="str">
        <f>IF(Table2[[#This Row],[Sold]]&gt;1000,"High Quality","Normal Quality")</f>
        <v>Normal Quality</v>
      </c>
      <c r="H578" s="12">
        <v>45374.697789351849</v>
      </c>
      <c r="I578" t="s">
        <v>509</v>
      </c>
      <c r="J578" t="s">
        <v>505</v>
      </c>
      <c r="K578" t="s">
        <v>118</v>
      </c>
    </row>
    <row r="579" spans="1:11" x14ac:dyDescent="0.35">
      <c r="A579" t="s">
        <v>4</v>
      </c>
      <c r="B579" t="s">
        <v>1</v>
      </c>
      <c r="C579" s="27">
        <v>70.989999999999995</v>
      </c>
      <c r="D579">
        <v>11</v>
      </c>
      <c r="E579">
        <v>52</v>
      </c>
      <c r="F579" s="4">
        <f t="shared" si="9"/>
        <v>3691.4799999999996</v>
      </c>
      <c r="G579" t="str">
        <f>IF(Table2[[#This Row],[Sold]]&gt;1000,"High Quality","Normal Quality")</f>
        <v>Normal Quality</v>
      </c>
      <c r="H579" s="12">
        <v>45374.701736111114</v>
      </c>
      <c r="I579" t="s">
        <v>316</v>
      </c>
      <c r="J579" t="s">
        <v>305</v>
      </c>
      <c r="K579" t="s">
        <v>118</v>
      </c>
    </row>
    <row r="580" spans="1:11" x14ac:dyDescent="0.35">
      <c r="A580" t="s">
        <v>2</v>
      </c>
      <c r="B580" t="s">
        <v>1</v>
      </c>
      <c r="C580" s="27">
        <v>17.989999999999998</v>
      </c>
      <c r="D580">
        <v>6</v>
      </c>
      <c r="E580">
        <v>3</v>
      </c>
      <c r="F580" s="4">
        <f t="shared" si="9"/>
        <v>53.97</v>
      </c>
      <c r="G580" t="str">
        <f>IF(Table2[[#This Row],[Sold]]&gt;1000,"High Quality","Normal Quality")</f>
        <v>Normal Quality</v>
      </c>
      <c r="H580" s="12">
        <v>45374.712534722225</v>
      </c>
      <c r="I580" t="s">
        <v>344</v>
      </c>
      <c r="J580" t="s">
        <v>277</v>
      </c>
      <c r="K580" t="s">
        <v>333</v>
      </c>
    </row>
    <row r="581" spans="1:11" x14ac:dyDescent="0.35">
      <c r="A581" t="s">
        <v>20</v>
      </c>
      <c r="B581" t="s">
        <v>1</v>
      </c>
      <c r="C581" s="27">
        <v>32.5</v>
      </c>
      <c r="D581">
        <v>6</v>
      </c>
      <c r="E581">
        <v>372</v>
      </c>
      <c r="F581" s="4">
        <f t="shared" si="9"/>
        <v>12090</v>
      </c>
      <c r="G581" t="str">
        <f>IF(Table2[[#This Row],[Sold]]&gt;1000,"High Quality","Normal Quality")</f>
        <v>Normal Quality</v>
      </c>
      <c r="H581" s="12">
        <v>45374.718657407408</v>
      </c>
      <c r="I581" t="s">
        <v>301</v>
      </c>
      <c r="J581" t="s">
        <v>506</v>
      </c>
      <c r="K581" t="s">
        <v>118</v>
      </c>
    </row>
    <row r="582" spans="1:11" x14ac:dyDescent="0.35">
      <c r="A582" t="s">
        <v>5</v>
      </c>
      <c r="B582" t="s">
        <v>1</v>
      </c>
      <c r="C582" s="27">
        <v>24.4</v>
      </c>
      <c r="D582">
        <v>5</v>
      </c>
      <c r="E582">
        <v>14</v>
      </c>
      <c r="F582" s="4">
        <f t="shared" si="9"/>
        <v>341.59999999999997</v>
      </c>
      <c r="G582" t="str">
        <f>IF(Table2[[#This Row],[Sold]]&gt;1000,"High Quality","Normal Quality")</f>
        <v>Normal Quality</v>
      </c>
      <c r="H582" s="12">
        <v>45374.72351851852</v>
      </c>
      <c r="I582" t="s">
        <v>388</v>
      </c>
      <c r="J582" t="s">
        <v>505</v>
      </c>
      <c r="K582" t="s">
        <v>118</v>
      </c>
    </row>
    <row r="583" spans="1:11" x14ac:dyDescent="0.35">
      <c r="A583" t="s">
        <v>230</v>
      </c>
      <c r="B583" t="s">
        <v>3</v>
      </c>
      <c r="C583" s="27">
        <v>31.99</v>
      </c>
      <c r="D583">
        <v>0</v>
      </c>
      <c r="E583">
        <v>40</v>
      </c>
      <c r="F583" s="4">
        <f t="shared" si="9"/>
        <v>1279.5999999999999</v>
      </c>
      <c r="G583" t="str">
        <f>IF(Table2[[#This Row],[Sold]]&gt;1000,"High Quality","Normal Quality")</f>
        <v>Normal Quality</v>
      </c>
      <c r="H583" s="12">
        <v>45374.726134259261</v>
      </c>
      <c r="I583" t="s">
        <v>290</v>
      </c>
      <c r="J583" t="s">
        <v>506</v>
      </c>
      <c r="K583" t="s">
        <v>118</v>
      </c>
    </row>
    <row r="584" spans="1:11" x14ac:dyDescent="0.35">
      <c r="A584" t="s">
        <v>11</v>
      </c>
      <c r="B584" t="s">
        <v>3</v>
      </c>
      <c r="C584" s="27">
        <v>35.99</v>
      </c>
      <c r="D584">
        <v>51</v>
      </c>
      <c r="E584">
        <v>46</v>
      </c>
      <c r="F584" s="4">
        <f t="shared" si="9"/>
        <v>1655.5400000000002</v>
      </c>
      <c r="G584" t="str">
        <f>IF(Table2[[#This Row],[Sold]]&gt;1000,"High Quality","Normal Quality")</f>
        <v>Normal Quality</v>
      </c>
      <c r="H584" s="12">
        <v>45374.731493055559</v>
      </c>
      <c r="I584" t="s">
        <v>506</v>
      </c>
      <c r="J584" t="s">
        <v>118</v>
      </c>
      <c r="K584" t="s">
        <v>379</v>
      </c>
    </row>
    <row r="585" spans="1:11" x14ac:dyDescent="0.35">
      <c r="A585" t="s">
        <v>114</v>
      </c>
      <c r="B585" t="s">
        <v>3</v>
      </c>
      <c r="C585" s="27">
        <v>15.99</v>
      </c>
      <c r="D585">
        <v>10</v>
      </c>
      <c r="E585">
        <v>78</v>
      </c>
      <c r="F585" s="4">
        <f t="shared" si="9"/>
        <v>1247.22</v>
      </c>
      <c r="G585" t="str">
        <f>IF(Table2[[#This Row],[Sold]]&gt;1000,"High Quality","Normal Quality")</f>
        <v>Normal Quality</v>
      </c>
      <c r="H585" s="12">
        <v>45374.732835648145</v>
      </c>
      <c r="I585" t="s">
        <v>506</v>
      </c>
      <c r="J585" t="s">
        <v>118</v>
      </c>
      <c r="K585" t="s">
        <v>333</v>
      </c>
    </row>
    <row r="586" spans="1:11" x14ac:dyDescent="0.35">
      <c r="A586" t="s">
        <v>11</v>
      </c>
      <c r="B586" t="s">
        <v>3</v>
      </c>
      <c r="C586" s="27">
        <v>29.99</v>
      </c>
      <c r="D586">
        <v>10</v>
      </c>
      <c r="E586">
        <v>92</v>
      </c>
      <c r="F586" s="4">
        <f t="shared" si="9"/>
        <v>2759.08</v>
      </c>
      <c r="G586" t="str">
        <f>IF(Table2[[#This Row],[Sold]]&gt;1000,"High Quality","Normal Quality")</f>
        <v>Normal Quality</v>
      </c>
      <c r="H586" s="12">
        <v>45374.732847222222</v>
      </c>
      <c r="I586" t="s">
        <v>506</v>
      </c>
      <c r="J586" t="s">
        <v>118</v>
      </c>
      <c r="K586" t="s">
        <v>333</v>
      </c>
    </row>
    <row r="587" spans="1:11" x14ac:dyDescent="0.35">
      <c r="A587" t="s">
        <v>11</v>
      </c>
      <c r="B587" t="s">
        <v>3</v>
      </c>
      <c r="C587" s="27">
        <v>38.99</v>
      </c>
      <c r="D587">
        <v>0</v>
      </c>
      <c r="E587">
        <v>37</v>
      </c>
      <c r="F587" s="4">
        <f t="shared" si="9"/>
        <v>1442.63</v>
      </c>
      <c r="G587" t="str">
        <f>IF(Table2[[#This Row],[Sold]]&gt;1000,"High Quality","Normal Quality")</f>
        <v>Normal Quality</v>
      </c>
      <c r="H587" s="12">
        <v>45374.732847222222</v>
      </c>
      <c r="I587" t="s">
        <v>506</v>
      </c>
      <c r="J587" t="s">
        <v>118</v>
      </c>
      <c r="K587" t="s">
        <v>333</v>
      </c>
    </row>
    <row r="588" spans="1:11" x14ac:dyDescent="0.35">
      <c r="A588" t="s">
        <v>13</v>
      </c>
      <c r="B588" t="s">
        <v>1</v>
      </c>
      <c r="C588" s="27">
        <v>74.989999999999995</v>
      </c>
      <c r="D588">
        <v>10</v>
      </c>
      <c r="E588">
        <v>23</v>
      </c>
      <c r="F588" s="4">
        <f t="shared" si="9"/>
        <v>1724.77</v>
      </c>
      <c r="G588" t="str">
        <f>IF(Table2[[#This Row],[Sold]]&gt;1000,"High Quality","Normal Quality")</f>
        <v>Normal Quality</v>
      </c>
      <c r="H588" s="12">
        <v>45374.734282407408</v>
      </c>
      <c r="I588" t="s">
        <v>506</v>
      </c>
      <c r="J588" t="s">
        <v>118</v>
      </c>
      <c r="K588" t="s">
        <v>333</v>
      </c>
    </row>
    <row r="589" spans="1:11" x14ac:dyDescent="0.35">
      <c r="A589" t="s">
        <v>115</v>
      </c>
      <c r="B589" t="s">
        <v>37</v>
      </c>
      <c r="C589" s="27">
        <v>19.989999999999998</v>
      </c>
      <c r="D589">
        <v>7</v>
      </c>
      <c r="E589">
        <v>132</v>
      </c>
      <c r="F589" s="4">
        <f t="shared" si="9"/>
        <v>2638.68</v>
      </c>
      <c r="G589" t="str">
        <f>IF(Table2[[#This Row],[Sold]]&gt;1000,"High Quality","Normal Quality")</f>
        <v>Normal Quality</v>
      </c>
      <c r="H589" s="12">
        <v>45374.735081018516</v>
      </c>
      <c r="I589" t="s">
        <v>372</v>
      </c>
      <c r="J589" t="s">
        <v>274</v>
      </c>
      <c r="K589" t="s">
        <v>118</v>
      </c>
    </row>
    <row r="590" spans="1:11" x14ac:dyDescent="0.35">
      <c r="A590" t="s">
        <v>168</v>
      </c>
      <c r="B590" t="s">
        <v>1</v>
      </c>
      <c r="C590" s="27">
        <v>59</v>
      </c>
      <c r="D590">
        <v>10</v>
      </c>
      <c r="E590">
        <v>4</v>
      </c>
      <c r="F590" s="4">
        <f t="shared" si="9"/>
        <v>236</v>
      </c>
      <c r="G590" t="str">
        <f>IF(Table2[[#This Row],[Sold]]&gt;1000,"High Quality","Normal Quality")</f>
        <v>Normal Quality</v>
      </c>
      <c r="H590" s="12">
        <v>45374.737638888888</v>
      </c>
      <c r="I590" t="s">
        <v>482</v>
      </c>
      <c r="J590" t="s">
        <v>274</v>
      </c>
      <c r="K590" t="s">
        <v>118</v>
      </c>
    </row>
    <row r="591" spans="1:11" x14ac:dyDescent="0.35">
      <c r="A591" t="s">
        <v>231</v>
      </c>
      <c r="B591" t="s">
        <v>3</v>
      </c>
      <c r="C591" s="27">
        <v>69.55</v>
      </c>
      <c r="D591">
        <v>5</v>
      </c>
      <c r="E591">
        <v>16</v>
      </c>
      <c r="F591" s="4">
        <f t="shared" si="9"/>
        <v>1112.8</v>
      </c>
      <c r="G591" t="str">
        <f>IF(Table2[[#This Row],[Sold]]&gt;1000,"High Quality","Normal Quality")</f>
        <v>Normal Quality</v>
      </c>
      <c r="H591" s="12">
        <v>45374.739293981482</v>
      </c>
      <c r="I591" t="s">
        <v>509</v>
      </c>
      <c r="J591" t="s">
        <v>505</v>
      </c>
      <c r="K591" t="s">
        <v>118</v>
      </c>
    </row>
    <row r="592" spans="1:11" x14ac:dyDescent="0.35">
      <c r="A592" t="s">
        <v>11</v>
      </c>
      <c r="B592" t="s">
        <v>1</v>
      </c>
      <c r="C592" s="27">
        <v>109.99</v>
      </c>
      <c r="D592">
        <v>5</v>
      </c>
      <c r="E592">
        <v>24</v>
      </c>
      <c r="F592" s="4">
        <f t="shared" si="9"/>
        <v>2639.7599999999998</v>
      </c>
      <c r="G592" t="str">
        <f>IF(Table2[[#This Row],[Sold]]&gt;1000,"High Quality","Normal Quality")</f>
        <v>Normal Quality</v>
      </c>
      <c r="H592" s="12">
        <v>45374.752106481479</v>
      </c>
      <c r="I592" t="s">
        <v>317</v>
      </c>
      <c r="J592" t="s">
        <v>118</v>
      </c>
      <c r="K592" t="s">
        <v>333</v>
      </c>
    </row>
    <row r="593" spans="1:11" x14ac:dyDescent="0.35">
      <c r="A593" t="s">
        <v>5</v>
      </c>
      <c r="B593" t="s">
        <v>1</v>
      </c>
      <c r="C593" s="27">
        <v>23.99</v>
      </c>
      <c r="D593">
        <v>10</v>
      </c>
      <c r="E593">
        <v>10</v>
      </c>
      <c r="F593" s="4">
        <f t="shared" si="9"/>
        <v>239.89999999999998</v>
      </c>
      <c r="G593" t="str">
        <f>IF(Table2[[#This Row],[Sold]]&gt;1000,"High Quality","Normal Quality")</f>
        <v>Normal Quality</v>
      </c>
      <c r="H593" s="12">
        <v>45374.755509259259</v>
      </c>
      <c r="I593" t="s">
        <v>506</v>
      </c>
      <c r="J593" t="s">
        <v>505</v>
      </c>
      <c r="K593" t="s">
        <v>118</v>
      </c>
    </row>
    <row r="594" spans="1:11" x14ac:dyDescent="0.35">
      <c r="A594" t="s">
        <v>226</v>
      </c>
      <c r="B594" t="s">
        <v>1</v>
      </c>
      <c r="C594" s="27">
        <v>3</v>
      </c>
      <c r="D594">
        <v>57</v>
      </c>
      <c r="E594">
        <v>4</v>
      </c>
      <c r="F594" s="4">
        <f t="shared" si="9"/>
        <v>12</v>
      </c>
      <c r="G594" t="str">
        <f>IF(Table2[[#This Row],[Sold]]&gt;1000,"High Quality","Normal Quality")</f>
        <v>Normal Quality</v>
      </c>
      <c r="H594" s="12">
        <v>45374.758287037039</v>
      </c>
      <c r="I594" t="s">
        <v>529</v>
      </c>
      <c r="J594" t="s">
        <v>507</v>
      </c>
      <c r="K594" t="s">
        <v>118</v>
      </c>
    </row>
    <row r="595" spans="1:11" x14ac:dyDescent="0.35">
      <c r="A595" t="s">
        <v>51</v>
      </c>
      <c r="B595" t="s">
        <v>3</v>
      </c>
      <c r="C595" s="27">
        <v>34.979999999999997</v>
      </c>
      <c r="D595">
        <v>3</v>
      </c>
      <c r="E595">
        <v>849</v>
      </c>
      <c r="F595" s="4">
        <f t="shared" si="9"/>
        <v>29698.019999999997</v>
      </c>
      <c r="G595" t="str">
        <f>IF(Table2[[#This Row],[Sold]]&gt;1000,"High Quality","Normal Quality")</f>
        <v>Normal Quality</v>
      </c>
      <c r="H595" s="12">
        <v>45374.765185185184</v>
      </c>
      <c r="I595" t="s">
        <v>290</v>
      </c>
      <c r="J595" t="s">
        <v>506</v>
      </c>
      <c r="K595" t="s">
        <v>118</v>
      </c>
    </row>
    <row r="596" spans="1:11" x14ac:dyDescent="0.35">
      <c r="A596" t="s">
        <v>94</v>
      </c>
      <c r="B596" t="s">
        <v>1</v>
      </c>
      <c r="C596" s="27">
        <v>11.5</v>
      </c>
      <c r="D596">
        <v>5</v>
      </c>
      <c r="E596">
        <v>12</v>
      </c>
      <c r="F596" s="4">
        <f t="shared" si="9"/>
        <v>138</v>
      </c>
      <c r="G596" t="str">
        <f>IF(Table2[[#This Row],[Sold]]&gt;1000,"High Quality","Normal Quality")</f>
        <v>Normal Quality</v>
      </c>
      <c r="H596" s="12">
        <v>45374.775324074071</v>
      </c>
      <c r="I596" t="s">
        <v>448</v>
      </c>
      <c r="J596" t="s">
        <v>282</v>
      </c>
      <c r="K596" t="s">
        <v>118</v>
      </c>
    </row>
    <row r="597" spans="1:11" x14ac:dyDescent="0.35">
      <c r="A597" t="s">
        <v>26</v>
      </c>
      <c r="B597" t="s">
        <v>3</v>
      </c>
      <c r="C597" s="27">
        <v>17.989999999999998</v>
      </c>
      <c r="D597">
        <v>28</v>
      </c>
      <c r="E597">
        <v>3</v>
      </c>
      <c r="F597" s="4">
        <f t="shared" si="9"/>
        <v>53.97</v>
      </c>
      <c r="G597" t="str">
        <f>IF(Table2[[#This Row],[Sold]]&gt;1000,"High Quality","Normal Quality")</f>
        <v>Normal Quality</v>
      </c>
      <c r="H597" s="12">
        <v>45374.780509259261</v>
      </c>
      <c r="I597" t="s">
        <v>459</v>
      </c>
      <c r="J597" t="s">
        <v>460</v>
      </c>
      <c r="K597" t="s">
        <v>118</v>
      </c>
    </row>
    <row r="598" spans="1:11" x14ac:dyDescent="0.35">
      <c r="A598" t="s">
        <v>165</v>
      </c>
      <c r="B598" t="s">
        <v>3</v>
      </c>
      <c r="C598" s="27">
        <v>10.58</v>
      </c>
      <c r="D598">
        <v>2</v>
      </c>
      <c r="E598">
        <v>391</v>
      </c>
      <c r="F598" s="4">
        <f t="shared" si="9"/>
        <v>4136.78</v>
      </c>
      <c r="G598" t="str">
        <f>IF(Table2[[#This Row],[Sold]]&gt;1000,"High Quality","Normal Quality")</f>
        <v>Normal Quality</v>
      </c>
      <c r="H598" s="12">
        <v>45374.781354166669</v>
      </c>
      <c r="I598" t="s">
        <v>291</v>
      </c>
      <c r="J598" t="s">
        <v>274</v>
      </c>
      <c r="K598" t="s">
        <v>118</v>
      </c>
    </row>
    <row r="599" spans="1:11" x14ac:dyDescent="0.35">
      <c r="A599" t="s">
        <v>228</v>
      </c>
      <c r="B599" t="s">
        <v>3</v>
      </c>
      <c r="C599" s="27">
        <v>16.98</v>
      </c>
      <c r="D599">
        <v>3</v>
      </c>
      <c r="E599">
        <v>2345</v>
      </c>
      <c r="F599" s="4">
        <f t="shared" si="9"/>
        <v>39818.1</v>
      </c>
      <c r="G599" t="str">
        <f>IF(Table2[[#This Row],[Sold]]&gt;1000,"High Quality","Normal Quality")</f>
        <v>High Quality</v>
      </c>
      <c r="H599" s="12">
        <v>45374.7815162037</v>
      </c>
      <c r="I599" t="s">
        <v>291</v>
      </c>
      <c r="J599" t="s">
        <v>274</v>
      </c>
      <c r="K599" t="s">
        <v>118</v>
      </c>
    </row>
    <row r="600" spans="1:11" x14ac:dyDescent="0.35">
      <c r="A600" t="s">
        <v>37</v>
      </c>
      <c r="B600" t="s">
        <v>3</v>
      </c>
      <c r="C600" s="27">
        <v>25.46</v>
      </c>
      <c r="D600">
        <v>10</v>
      </c>
      <c r="E600">
        <v>410</v>
      </c>
      <c r="F600" s="4">
        <f t="shared" si="9"/>
        <v>10438.6</v>
      </c>
      <c r="G600" t="str">
        <f>IF(Table2[[#This Row],[Sold]]&gt;1000,"High Quality","Normal Quality")</f>
        <v>Normal Quality</v>
      </c>
      <c r="H600" s="12">
        <v>45374.784722222219</v>
      </c>
      <c r="I600" t="s">
        <v>506</v>
      </c>
      <c r="J600" t="s">
        <v>267</v>
      </c>
      <c r="K600" t="s">
        <v>118</v>
      </c>
    </row>
    <row r="601" spans="1:11" x14ac:dyDescent="0.35">
      <c r="A601" t="s">
        <v>229</v>
      </c>
      <c r="B601" t="s">
        <v>3</v>
      </c>
      <c r="C601" s="27">
        <v>39.99</v>
      </c>
      <c r="D601">
        <v>9</v>
      </c>
      <c r="E601">
        <v>45</v>
      </c>
      <c r="F601" s="4">
        <f t="shared" si="9"/>
        <v>1799.5500000000002</v>
      </c>
      <c r="G601" t="str">
        <f>IF(Table2[[#This Row],[Sold]]&gt;1000,"High Quality","Normal Quality")</f>
        <v>Normal Quality</v>
      </c>
      <c r="H601" s="12">
        <v>45374.791562500002</v>
      </c>
      <c r="I601" t="s">
        <v>317</v>
      </c>
      <c r="J601" t="s">
        <v>294</v>
      </c>
      <c r="K601" t="s">
        <v>333</v>
      </c>
    </row>
    <row r="602" spans="1:11" x14ac:dyDescent="0.35">
      <c r="A602" t="s">
        <v>11</v>
      </c>
      <c r="B602" t="s">
        <v>1</v>
      </c>
      <c r="C602" s="27">
        <v>109.99</v>
      </c>
      <c r="D602">
        <v>0</v>
      </c>
      <c r="E602">
        <v>5</v>
      </c>
      <c r="F602" s="4">
        <f t="shared" si="9"/>
        <v>549.94999999999993</v>
      </c>
      <c r="G602" t="str">
        <f>IF(Table2[[#This Row],[Sold]]&gt;1000,"High Quality","Normal Quality")</f>
        <v>Normal Quality</v>
      </c>
      <c r="H602" s="12">
        <v>45374.799722222226</v>
      </c>
      <c r="I602" t="s">
        <v>552</v>
      </c>
      <c r="J602" t="s">
        <v>383</v>
      </c>
      <c r="K602" t="s">
        <v>537</v>
      </c>
    </row>
    <row r="603" spans="1:11" x14ac:dyDescent="0.35">
      <c r="A603" t="s">
        <v>85</v>
      </c>
      <c r="B603" t="s">
        <v>1</v>
      </c>
      <c r="C603" s="27">
        <v>86.72</v>
      </c>
      <c r="D603">
        <v>31</v>
      </c>
      <c r="E603">
        <v>1296</v>
      </c>
      <c r="F603" s="4">
        <f t="shared" si="9"/>
        <v>112389.12</v>
      </c>
      <c r="G603" t="str">
        <f>IF(Table2[[#This Row],[Sold]]&gt;1000,"High Quality","Normal Quality")</f>
        <v>High Quality</v>
      </c>
      <c r="H603" s="12">
        <v>45374.800370370373</v>
      </c>
      <c r="I603" t="s">
        <v>290</v>
      </c>
      <c r="J603" t="s">
        <v>506</v>
      </c>
      <c r="K603" t="s">
        <v>118</v>
      </c>
    </row>
    <row r="604" spans="1:11" x14ac:dyDescent="0.35">
      <c r="A604" t="s">
        <v>139</v>
      </c>
      <c r="B604" t="s">
        <v>3</v>
      </c>
      <c r="C604" s="27">
        <v>12.6</v>
      </c>
      <c r="D604">
        <v>10</v>
      </c>
      <c r="E604">
        <v>229</v>
      </c>
      <c r="F604" s="4">
        <f t="shared" si="9"/>
        <v>2885.4</v>
      </c>
      <c r="G604" t="str">
        <f>IF(Table2[[#This Row],[Sold]]&gt;1000,"High Quality","Normal Quality")</f>
        <v>Normal Quality</v>
      </c>
      <c r="H604" s="12">
        <v>45374.801087962966</v>
      </c>
      <c r="I604" t="s">
        <v>324</v>
      </c>
      <c r="J604" t="s">
        <v>269</v>
      </c>
      <c r="K604" t="s">
        <v>118</v>
      </c>
    </row>
    <row r="605" spans="1:11" x14ac:dyDescent="0.35">
      <c r="A605" t="s">
        <v>4</v>
      </c>
      <c r="B605" t="s">
        <v>3</v>
      </c>
      <c r="C605" s="27">
        <v>45.95</v>
      </c>
      <c r="D605">
        <v>10</v>
      </c>
      <c r="E605">
        <v>578</v>
      </c>
      <c r="F605" s="4">
        <f t="shared" si="9"/>
        <v>26559.100000000002</v>
      </c>
      <c r="G605" t="str">
        <f>IF(Table2[[#This Row],[Sold]]&gt;1000,"High Quality","Normal Quality")</f>
        <v>Normal Quality</v>
      </c>
      <c r="H605" s="12">
        <v>45374.803206018521</v>
      </c>
      <c r="I605" t="s">
        <v>303</v>
      </c>
      <c r="J605" t="s">
        <v>266</v>
      </c>
      <c r="K605" t="s">
        <v>118</v>
      </c>
    </row>
    <row r="606" spans="1:11" x14ac:dyDescent="0.35">
      <c r="A606" t="s">
        <v>12</v>
      </c>
      <c r="B606" t="s">
        <v>3</v>
      </c>
      <c r="C606" s="27">
        <v>44.94</v>
      </c>
      <c r="D606">
        <v>6</v>
      </c>
      <c r="E606">
        <v>21310</v>
      </c>
      <c r="F606" s="4">
        <f t="shared" si="9"/>
        <v>957671.39999999991</v>
      </c>
      <c r="G606" t="str">
        <f>IF(Table2[[#This Row],[Sold]]&gt;1000,"High Quality","Normal Quality")</f>
        <v>High Quality</v>
      </c>
      <c r="H606" s="12">
        <v>45374.822638888887</v>
      </c>
      <c r="I606" t="s">
        <v>290</v>
      </c>
      <c r="J606" t="s">
        <v>506</v>
      </c>
      <c r="K606" t="s">
        <v>118</v>
      </c>
    </row>
    <row r="607" spans="1:11" x14ac:dyDescent="0.35">
      <c r="A607" t="s">
        <v>65</v>
      </c>
      <c r="B607" t="s">
        <v>1</v>
      </c>
      <c r="C607" s="27">
        <v>30.07</v>
      </c>
      <c r="D607">
        <v>9</v>
      </c>
      <c r="E607">
        <v>25</v>
      </c>
      <c r="F607" s="4">
        <f t="shared" si="9"/>
        <v>751.75</v>
      </c>
      <c r="G607" t="str">
        <f>IF(Table2[[#This Row],[Sold]]&gt;1000,"High Quality","Normal Quality")</f>
        <v>Normal Quality</v>
      </c>
      <c r="H607" s="12">
        <v>45374.822824074072</v>
      </c>
      <c r="I607" t="s">
        <v>509</v>
      </c>
      <c r="J607" t="s">
        <v>505</v>
      </c>
      <c r="K607" t="s">
        <v>118</v>
      </c>
    </row>
    <row r="608" spans="1:11" x14ac:dyDescent="0.35">
      <c r="A608" t="s">
        <v>39</v>
      </c>
      <c r="B608" t="s">
        <v>1</v>
      </c>
      <c r="C608" s="27">
        <v>36.99</v>
      </c>
      <c r="D608">
        <v>10</v>
      </c>
      <c r="E608">
        <v>12</v>
      </c>
      <c r="F608" s="4">
        <f t="shared" si="9"/>
        <v>443.88</v>
      </c>
      <c r="G608" t="str">
        <f>IF(Table2[[#This Row],[Sold]]&gt;1000,"High Quality","Normal Quality")</f>
        <v>Normal Quality</v>
      </c>
      <c r="H608" s="12">
        <v>45374.824131944442</v>
      </c>
      <c r="I608" t="s">
        <v>344</v>
      </c>
      <c r="J608" t="s">
        <v>277</v>
      </c>
      <c r="K608" t="s">
        <v>118</v>
      </c>
    </row>
    <row r="609" spans="1:11" x14ac:dyDescent="0.35">
      <c r="A609" t="s">
        <v>11</v>
      </c>
      <c r="B609" t="s">
        <v>3</v>
      </c>
      <c r="C609" s="27">
        <v>35.99</v>
      </c>
      <c r="D609">
        <v>84</v>
      </c>
      <c r="E609">
        <v>51</v>
      </c>
      <c r="F609" s="4">
        <f t="shared" si="9"/>
        <v>1835.49</v>
      </c>
      <c r="G609" t="str">
        <f>IF(Table2[[#This Row],[Sold]]&gt;1000,"High Quality","Normal Quality")</f>
        <v>Normal Quality</v>
      </c>
      <c r="H609" s="12">
        <v>45374.824571759258</v>
      </c>
      <c r="I609" t="s">
        <v>506</v>
      </c>
      <c r="J609" t="s">
        <v>294</v>
      </c>
      <c r="K609" t="s">
        <v>333</v>
      </c>
    </row>
    <row r="610" spans="1:11" x14ac:dyDescent="0.35">
      <c r="A610" t="s">
        <v>40</v>
      </c>
      <c r="B610" t="s">
        <v>1</v>
      </c>
      <c r="C610" s="27">
        <v>125</v>
      </c>
      <c r="D610">
        <v>10</v>
      </c>
      <c r="E610">
        <v>28</v>
      </c>
      <c r="F610" s="4">
        <f t="shared" si="9"/>
        <v>3500</v>
      </c>
      <c r="G610" t="str">
        <f>IF(Table2[[#This Row],[Sold]]&gt;1000,"High Quality","Normal Quality")</f>
        <v>Normal Quality</v>
      </c>
      <c r="H610" s="12">
        <v>45374.825694444444</v>
      </c>
      <c r="I610" t="s">
        <v>513</v>
      </c>
      <c r="J610" t="s">
        <v>286</v>
      </c>
      <c r="K610" t="s">
        <v>118</v>
      </c>
    </row>
    <row r="611" spans="1:11" x14ac:dyDescent="0.35">
      <c r="A611" t="s">
        <v>2</v>
      </c>
      <c r="B611" t="s">
        <v>1</v>
      </c>
      <c r="C611" s="27">
        <v>15.99</v>
      </c>
      <c r="D611">
        <v>10</v>
      </c>
      <c r="E611">
        <v>45</v>
      </c>
      <c r="F611" s="4">
        <f t="shared" si="9"/>
        <v>719.55</v>
      </c>
      <c r="G611" t="str">
        <f>IF(Table2[[#This Row],[Sold]]&gt;1000,"High Quality","Normal Quality")</f>
        <v>Normal Quality</v>
      </c>
      <c r="H611" s="12">
        <v>45374.829560185186</v>
      </c>
      <c r="I611" t="s">
        <v>273</v>
      </c>
      <c r="J611" t="s">
        <v>274</v>
      </c>
      <c r="K611" t="s">
        <v>118</v>
      </c>
    </row>
    <row r="612" spans="1:11" x14ac:dyDescent="0.35">
      <c r="A612" t="s">
        <v>91</v>
      </c>
      <c r="B612" t="s">
        <v>1</v>
      </c>
      <c r="C612" s="27">
        <v>27.99</v>
      </c>
      <c r="D612">
        <v>10</v>
      </c>
      <c r="E612">
        <v>1</v>
      </c>
      <c r="F612" s="4">
        <f t="shared" si="9"/>
        <v>27.99</v>
      </c>
      <c r="G612" t="str">
        <f>IF(Table2[[#This Row],[Sold]]&gt;1000,"High Quality","Normal Quality")</f>
        <v>Normal Quality</v>
      </c>
      <c r="H612" s="12">
        <v>45374.831886574073</v>
      </c>
      <c r="I612" t="s">
        <v>509</v>
      </c>
      <c r="J612" t="s">
        <v>505</v>
      </c>
      <c r="K612" t="s">
        <v>118</v>
      </c>
    </row>
    <row r="613" spans="1:11" x14ac:dyDescent="0.35">
      <c r="A613" t="s">
        <v>17</v>
      </c>
      <c r="B613" t="s">
        <v>3</v>
      </c>
      <c r="C613" s="27">
        <v>29.94</v>
      </c>
      <c r="D613">
        <v>8</v>
      </c>
      <c r="E613">
        <v>9208</v>
      </c>
      <c r="F613" s="4">
        <f t="shared" si="9"/>
        <v>275687.52</v>
      </c>
      <c r="G613" t="str">
        <f>IF(Table2[[#This Row],[Sold]]&gt;1000,"High Quality","Normal Quality")</f>
        <v>High Quality</v>
      </c>
      <c r="H613" s="12">
        <v>45374.836238425924</v>
      </c>
      <c r="I613" t="s">
        <v>290</v>
      </c>
      <c r="J613" t="s">
        <v>506</v>
      </c>
      <c r="K613" t="s">
        <v>118</v>
      </c>
    </row>
    <row r="614" spans="1:11" x14ac:dyDescent="0.35">
      <c r="A614" t="s">
        <v>2</v>
      </c>
      <c r="B614" t="s">
        <v>1</v>
      </c>
      <c r="C614" s="27">
        <v>21.99</v>
      </c>
      <c r="D614">
        <v>3</v>
      </c>
      <c r="E614">
        <v>2</v>
      </c>
      <c r="F614" s="4">
        <f t="shared" si="9"/>
        <v>43.98</v>
      </c>
      <c r="G614" t="str">
        <f>IF(Table2[[#This Row],[Sold]]&gt;1000,"High Quality","Normal Quality")</f>
        <v>Normal Quality</v>
      </c>
      <c r="H614" s="12">
        <v>45374.837002314816</v>
      </c>
      <c r="I614" t="s">
        <v>344</v>
      </c>
      <c r="J614" t="s">
        <v>277</v>
      </c>
      <c r="K614" t="s">
        <v>536</v>
      </c>
    </row>
    <row r="615" spans="1:11" x14ac:dyDescent="0.35">
      <c r="A615" t="s">
        <v>2</v>
      </c>
      <c r="B615" t="s">
        <v>1</v>
      </c>
      <c r="C615" s="27">
        <v>35.99</v>
      </c>
      <c r="D615">
        <v>10</v>
      </c>
      <c r="E615">
        <v>27</v>
      </c>
      <c r="F615" s="4">
        <f t="shared" si="9"/>
        <v>971.73</v>
      </c>
      <c r="G615" t="str">
        <f>IF(Table2[[#This Row],[Sold]]&gt;1000,"High Quality","Normal Quality")</f>
        <v>Normal Quality</v>
      </c>
      <c r="H615" s="12">
        <v>45374.837164351855</v>
      </c>
      <c r="I615" t="s">
        <v>344</v>
      </c>
      <c r="J615" t="s">
        <v>277</v>
      </c>
      <c r="K615" t="s">
        <v>118</v>
      </c>
    </row>
    <row r="616" spans="1:11" x14ac:dyDescent="0.35">
      <c r="A616" t="s">
        <v>108</v>
      </c>
      <c r="B616" t="s">
        <v>1</v>
      </c>
      <c r="C616" s="27">
        <v>17.850000000000001</v>
      </c>
      <c r="D616">
        <v>10</v>
      </c>
      <c r="E616">
        <v>6</v>
      </c>
      <c r="F616" s="4">
        <f t="shared" si="9"/>
        <v>107.10000000000001</v>
      </c>
      <c r="G616" t="str">
        <f>IF(Table2[[#This Row],[Sold]]&gt;1000,"High Quality","Normal Quality")</f>
        <v>Normal Quality</v>
      </c>
      <c r="H616" s="12">
        <v>45374.843321759261</v>
      </c>
      <c r="I616" t="s">
        <v>509</v>
      </c>
      <c r="J616" t="s">
        <v>505</v>
      </c>
      <c r="K616" t="s">
        <v>118</v>
      </c>
    </row>
    <row r="617" spans="1:11" x14ac:dyDescent="0.35">
      <c r="A617" t="s">
        <v>62</v>
      </c>
      <c r="B617" t="s">
        <v>3</v>
      </c>
      <c r="C617" s="27">
        <v>86.87</v>
      </c>
      <c r="D617">
        <v>0</v>
      </c>
      <c r="E617">
        <v>322</v>
      </c>
      <c r="F617" s="4">
        <f t="shared" si="9"/>
        <v>27972.140000000003</v>
      </c>
      <c r="G617" t="str">
        <f>IF(Table2[[#This Row],[Sold]]&gt;1000,"High Quality","Normal Quality")</f>
        <v>Normal Quality</v>
      </c>
      <c r="H617" s="12">
        <v>45374.847349537034</v>
      </c>
      <c r="I617" t="s">
        <v>290</v>
      </c>
      <c r="J617" t="s">
        <v>506</v>
      </c>
      <c r="K617" t="s">
        <v>118</v>
      </c>
    </row>
    <row r="618" spans="1:11" x14ac:dyDescent="0.35">
      <c r="A618" t="s">
        <v>109</v>
      </c>
      <c r="B618" t="s">
        <v>1</v>
      </c>
      <c r="C618" s="27">
        <v>30.07</v>
      </c>
      <c r="D618">
        <v>226</v>
      </c>
      <c r="E618">
        <v>12</v>
      </c>
      <c r="F618" s="4">
        <f t="shared" si="9"/>
        <v>360.84000000000003</v>
      </c>
      <c r="G618" t="str">
        <f>IF(Table2[[#This Row],[Sold]]&gt;1000,"High Quality","Normal Quality")</f>
        <v>Normal Quality</v>
      </c>
      <c r="H618" s="12">
        <v>45374.847442129627</v>
      </c>
      <c r="I618" t="s">
        <v>509</v>
      </c>
      <c r="J618" t="s">
        <v>505</v>
      </c>
      <c r="K618" t="s">
        <v>118</v>
      </c>
    </row>
    <row r="619" spans="1:11" x14ac:dyDescent="0.35">
      <c r="A619" t="s">
        <v>13</v>
      </c>
      <c r="B619" t="s">
        <v>3</v>
      </c>
      <c r="C619" s="27">
        <v>47.99</v>
      </c>
      <c r="D619">
        <v>0</v>
      </c>
      <c r="E619">
        <v>8877</v>
      </c>
      <c r="F619" s="4">
        <f t="shared" si="9"/>
        <v>426007.23000000004</v>
      </c>
      <c r="G619" t="str">
        <f>IF(Table2[[#This Row],[Sold]]&gt;1000,"High Quality","Normal Quality")</f>
        <v>High Quality</v>
      </c>
      <c r="H619" s="12">
        <v>45374.84946759259</v>
      </c>
      <c r="I619" t="s">
        <v>290</v>
      </c>
      <c r="J619" t="s">
        <v>506</v>
      </c>
      <c r="K619" t="s">
        <v>118</v>
      </c>
    </row>
    <row r="620" spans="1:11" x14ac:dyDescent="0.35">
      <c r="A620" t="s">
        <v>10</v>
      </c>
      <c r="B620" t="s">
        <v>3</v>
      </c>
      <c r="C620" s="27">
        <v>53.45</v>
      </c>
      <c r="D620">
        <v>0</v>
      </c>
      <c r="E620">
        <v>3787</v>
      </c>
      <c r="F620" s="4">
        <f t="shared" si="9"/>
        <v>202415.15000000002</v>
      </c>
      <c r="G620" t="str">
        <f>IF(Table2[[#This Row],[Sold]]&gt;1000,"High Quality","Normal Quality")</f>
        <v>High Quality</v>
      </c>
      <c r="H620" s="12">
        <v>45374.849606481483</v>
      </c>
      <c r="I620" t="s">
        <v>290</v>
      </c>
      <c r="J620" t="s">
        <v>506</v>
      </c>
      <c r="K620" t="s">
        <v>118</v>
      </c>
    </row>
    <row r="621" spans="1:11" x14ac:dyDescent="0.35">
      <c r="A621" t="s">
        <v>12</v>
      </c>
      <c r="B621" t="s">
        <v>3</v>
      </c>
      <c r="C621" s="27">
        <v>19.73</v>
      </c>
      <c r="D621">
        <v>2</v>
      </c>
      <c r="E621">
        <v>7</v>
      </c>
      <c r="F621" s="4">
        <f t="shared" si="9"/>
        <v>138.11000000000001</v>
      </c>
      <c r="G621" t="str">
        <f>IF(Table2[[#This Row],[Sold]]&gt;1000,"High Quality","Normal Quality")</f>
        <v>Normal Quality</v>
      </c>
      <c r="H621" s="12">
        <v>45374.86414351852</v>
      </c>
      <c r="I621" t="s">
        <v>509</v>
      </c>
      <c r="J621" t="s">
        <v>505</v>
      </c>
      <c r="K621" t="s">
        <v>118</v>
      </c>
    </row>
    <row r="622" spans="1:11" x14ac:dyDescent="0.35">
      <c r="A622" t="s">
        <v>231</v>
      </c>
      <c r="B622" t="s">
        <v>1</v>
      </c>
      <c r="C622" s="27">
        <v>47.88</v>
      </c>
      <c r="D622">
        <v>8</v>
      </c>
      <c r="E622">
        <v>25</v>
      </c>
      <c r="F622" s="4">
        <f t="shared" si="9"/>
        <v>1197</v>
      </c>
      <c r="G622" t="str">
        <f>IF(Table2[[#This Row],[Sold]]&gt;1000,"High Quality","Normal Quality")</f>
        <v>Normal Quality</v>
      </c>
      <c r="H622" s="12">
        <v>45374.865925925929</v>
      </c>
      <c r="I622" t="s">
        <v>310</v>
      </c>
      <c r="J622" t="s">
        <v>282</v>
      </c>
      <c r="K622" t="s">
        <v>118</v>
      </c>
    </row>
    <row r="623" spans="1:11" x14ac:dyDescent="0.35">
      <c r="A623" t="s">
        <v>250</v>
      </c>
      <c r="B623" t="s">
        <v>3</v>
      </c>
      <c r="C623" s="27">
        <v>36.99</v>
      </c>
      <c r="D623">
        <v>2</v>
      </c>
      <c r="E623">
        <v>16</v>
      </c>
      <c r="F623" s="4">
        <f t="shared" si="9"/>
        <v>591.84</v>
      </c>
      <c r="G623" t="str">
        <f>IF(Table2[[#This Row],[Sold]]&gt;1000,"High Quality","Normal Quality")</f>
        <v>Normal Quality</v>
      </c>
      <c r="H623" s="12">
        <v>45374.872986111113</v>
      </c>
      <c r="I623" t="s">
        <v>329</v>
      </c>
      <c r="J623" t="s">
        <v>274</v>
      </c>
      <c r="K623" t="s">
        <v>118</v>
      </c>
    </row>
    <row r="624" spans="1:11" x14ac:dyDescent="0.35">
      <c r="A624" t="s">
        <v>48</v>
      </c>
      <c r="B624" t="s">
        <v>1</v>
      </c>
      <c r="C624" s="27">
        <v>58.95</v>
      </c>
      <c r="D624">
        <v>10</v>
      </c>
      <c r="E624">
        <v>12</v>
      </c>
      <c r="F624" s="4">
        <f t="shared" si="9"/>
        <v>707.40000000000009</v>
      </c>
      <c r="G624" t="str">
        <f>IF(Table2[[#This Row],[Sold]]&gt;1000,"High Quality","Normal Quality")</f>
        <v>Normal Quality</v>
      </c>
      <c r="H624" s="12">
        <v>45374.879259259258</v>
      </c>
      <c r="I624" t="s">
        <v>338</v>
      </c>
      <c r="J624" t="s">
        <v>506</v>
      </c>
      <c r="K624" t="s">
        <v>118</v>
      </c>
    </row>
    <row r="625" spans="1:11" x14ac:dyDescent="0.35">
      <c r="A625" t="s">
        <v>55</v>
      </c>
      <c r="B625" t="s">
        <v>3</v>
      </c>
      <c r="C625" s="27">
        <v>28.19</v>
      </c>
      <c r="D625">
        <v>10</v>
      </c>
      <c r="E625">
        <v>23</v>
      </c>
      <c r="F625" s="4">
        <f t="shared" si="9"/>
        <v>648.37</v>
      </c>
      <c r="G625" t="str">
        <f>IF(Table2[[#This Row],[Sold]]&gt;1000,"High Quality","Normal Quality")</f>
        <v>Normal Quality</v>
      </c>
      <c r="H625" s="12">
        <v>45374.88082175926</v>
      </c>
      <c r="I625" t="s">
        <v>509</v>
      </c>
      <c r="J625" t="s">
        <v>505</v>
      </c>
      <c r="K625" t="s">
        <v>118</v>
      </c>
    </row>
    <row r="626" spans="1:11" x14ac:dyDescent="0.35">
      <c r="A626" t="s">
        <v>4</v>
      </c>
      <c r="B626" t="s">
        <v>3</v>
      </c>
      <c r="C626" s="27">
        <v>29.95</v>
      </c>
      <c r="D626">
        <v>3</v>
      </c>
      <c r="E626">
        <v>1484</v>
      </c>
      <c r="F626" s="4">
        <f t="shared" si="9"/>
        <v>44445.799999999996</v>
      </c>
      <c r="G626" t="str">
        <f>IF(Table2[[#This Row],[Sold]]&gt;1000,"High Quality","Normal Quality")</f>
        <v>High Quality</v>
      </c>
      <c r="H626" s="12">
        <v>45374.882476851853</v>
      </c>
      <c r="I626" t="s">
        <v>280</v>
      </c>
      <c r="J626" t="s">
        <v>266</v>
      </c>
      <c r="K626" t="s">
        <v>118</v>
      </c>
    </row>
    <row r="627" spans="1:11" x14ac:dyDescent="0.35">
      <c r="A627" t="s">
        <v>192</v>
      </c>
      <c r="B627" t="s">
        <v>1</v>
      </c>
      <c r="C627" s="27">
        <v>54.99</v>
      </c>
      <c r="D627">
        <v>34</v>
      </c>
      <c r="E627">
        <v>22</v>
      </c>
      <c r="F627" s="4">
        <f t="shared" si="9"/>
        <v>1209.78</v>
      </c>
      <c r="G627" t="str">
        <f>IF(Table2[[#This Row],[Sold]]&gt;1000,"High Quality","Normal Quality")</f>
        <v>Normal Quality</v>
      </c>
      <c r="H627" s="12">
        <v>45374.884189814817</v>
      </c>
      <c r="I627" t="s">
        <v>329</v>
      </c>
      <c r="J627" t="s">
        <v>274</v>
      </c>
      <c r="K627" t="s">
        <v>118</v>
      </c>
    </row>
    <row r="628" spans="1:11" x14ac:dyDescent="0.35">
      <c r="A628" t="s">
        <v>232</v>
      </c>
      <c r="B628" t="s">
        <v>3</v>
      </c>
      <c r="C628" s="27">
        <v>32.979999999999997</v>
      </c>
      <c r="D628">
        <v>10</v>
      </c>
      <c r="E628">
        <v>6188</v>
      </c>
      <c r="F628" s="4">
        <f t="shared" si="9"/>
        <v>204080.24</v>
      </c>
      <c r="G628" t="str">
        <f>IF(Table2[[#This Row],[Sold]]&gt;1000,"High Quality","Normal Quality")</f>
        <v>High Quality</v>
      </c>
      <c r="H628" s="12">
        <v>45374.892164351855</v>
      </c>
      <c r="I628" t="s">
        <v>290</v>
      </c>
      <c r="J628" t="s">
        <v>506</v>
      </c>
      <c r="K628" t="s">
        <v>118</v>
      </c>
    </row>
    <row r="629" spans="1:11" x14ac:dyDescent="0.35">
      <c r="A629" t="s">
        <v>10</v>
      </c>
      <c r="B629" t="s">
        <v>3</v>
      </c>
      <c r="C629" s="27">
        <v>28.79</v>
      </c>
      <c r="D629">
        <v>10</v>
      </c>
      <c r="E629">
        <v>45</v>
      </c>
      <c r="F629" s="4">
        <f t="shared" si="9"/>
        <v>1295.55</v>
      </c>
      <c r="G629" t="str">
        <f>IF(Table2[[#This Row],[Sold]]&gt;1000,"High Quality","Normal Quality")</f>
        <v>Normal Quality</v>
      </c>
      <c r="H629" s="12">
        <v>45374.895694444444</v>
      </c>
      <c r="I629" t="s">
        <v>325</v>
      </c>
      <c r="J629" t="s">
        <v>266</v>
      </c>
      <c r="K629" t="s">
        <v>118</v>
      </c>
    </row>
    <row r="630" spans="1:11" x14ac:dyDescent="0.35">
      <c r="A630" t="s">
        <v>228</v>
      </c>
      <c r="B630" t="s">
        <v>3</v>
      </c>
      <c r="C630" s="27">
        <v>18.91</v>
      </c>
      <c r="D630">
        <v>10</v>
      </c>
      <c r="E630">
        <v>5500</v>
      </c>
      <c r="F630" s="4">
        <f t="shared" si="9"/>
        <v>104005</v>
      </c>
      <c r="G630" t="str">
        <f>IF(Table2[[#This Row],[Sold]]&gt;1000,"High Quality","Normal Quality")</f>
        <v>High Quality</v>
      </c>
      <c r="H630" s="12">
        <v>45374.899351851855</v>
      </c>
      <c r="I630" t="s">
        <v>290</v>
      </c>
      <c r="J630" t="s">
        <v>506</v>
      </c>
      <c r="K630" t="s">
        <v>118</v>
      </c>
    </row>
    <row r="631" spans="1:11" x14ac:dyDescent="0.35">
      <c r="A631" t="s">
        <v>81</v>
      </c>
      <c r="B631" t="s">
        <v>1</v>
      </c>
      <c r="C631" s="27">
        <v>34.99</v>
      </c>
      <c r="D631">
        <v>10</v>
      </c>
      <c r="E631">
        <v>9</v>
      </c>
      <c r="F631" s="4">
        <f t="shared" si="9"/>
        <v>314.91000000000003</v>
      </c>
      <c r="G631" t="str">
        <f>IF(Table2[[#This Row],[Sold]]&gt;1000,"High Quality","Normal Quality")</f>
        <v>Normal Quality</v>
      </c>
      <c r="H631" s="12">
        <v>45374.906886574077</v>
      </c>
      <c r="I631" t="s">
        <v>301</v>
      </c>
      <c r="J631" t="s">
        <v>506</v>
      </c>
      <c r="K631" t="s">
        <v>118</v>
      </c>
    </row>
    <row r="632" spans="1:11" x14ac:dyDescent="0.35">
      <c r="A632" t="s">
        <v>20</v>
      </c>
      <c r="B632" t="s">
        <v>1</v>
      </c>
      <c r="C632" s="27">
        <v>23.49</v>
      </c>
      <c r="D632">
        <v>13</v>
      </c>
      <c r="E632">
        <v>14</v>
      </c>
      <c r="F632" s="4">
        <f t="shared" si="9"/>
        <v>328.85999999999996</v>
      </c>
      <c r="G632" t="str">
        <f>IF(Table2[[#This Row],[Sold]]&gt;1000,"High Quality","Normal Quality")</f>
        <v>Normal Quality</v>
      </c>
      <c r="H632" s="12">
        <v>45374.90996527778</v>
      </c>
      <c r="I632" t="s">
        <v>509</v>
      </c>
      <c r="J632" t="s">
        <v>505</v>
      </c>
      <c r="K632" t="s">
        <v>118</v>
      </c>
    </row>
    <row r="633" spans="1:11" x14ac:dyDescent="0.35">
      <c r="A633" t="s">
        <v>1</v>
      </c>
      <c r="B633" t="s">
        <v>37</v>
      </c>
      <c r="C633" s="27">
        <v>110.19</v>
      </c>
      <c r="D633">
        <v>10</v>
      </c>
      <c r="E633">
        <v>11</v>
      </c>
      <c r="F633" s="4">
        <f t="shared" si="9"/>
        <v>1212.0899999999999</v>
      </c>
      <c r="G633" t="str">
        <f>IF(Table2[[#This Row],[Sold]]&gt;1000,"High Quality","Normal Quality")</f>
        <v>Normal Quality</v>
      </c>
      <c r="H633" s="12">
        <v>45374.91443287037</v>
      </c>
      <c r="I633" t="s">
        <v>487</v>
      </c>
      <c r="J633" t="s">
        <v>282</v>
      </c>
      <c r="K633" t="s">
        <v>118</v>
      </c>
    </row>
    <row r="634" spans="1:11" x14ac:dyDescent="0.35">
      <c r="A634" t="s">
        <v>238</v>
      </c>
      <c r="B634" t="s">
        <v>3</v>
      </c>
      <c r="C634" s="27">
        <v>59.99</v>
      </c>
      <c r="D634">
        <v>10</v>
      </c>
      <c r="E634">
        <v>221</v>
      </c>
      <c r="F634" s="4">
        <f t="shared" si="9"/>
        <v>13257.79</v>
      </c>
      <c r="G634" t="str">
        <f>IF(Table2[[#This Row],[Sold]]&gt;1000,"High Quality","Normal Quality")</f>
        <v>Normal Quality</v>
      </c>
      <c r="H634" s="12">
        <v>45374.914456018516</v>
      </c>
      <c r="I634" t="s">
        <v>511</v>
      </c>
      <c r="J634" t="s">
        <v>274</v>
      </c>
      <c r="K634" t="s">
        <v>118</v>
      </c>
    </row>
    <row r="635" spans="1:11" x14ac:dyDescent="0.35">
      <c r="A635" t="s">
        <v>108</v>
      </c>
      <c r="B635" t="s">
        <v>1</v>
      </c>
      <c r="C635" s="27">
        <v>18.79</v>
      </c>
      <c r="D635">
        <v>4</v>
      </c>
      <c r="E635">
        <v>9</v>
      </c>
      <c r="F635" s="4">
        <f t="shared" si="9"/>
        <v>169.10999999999999</v>
      </c>
      <c r="G635" t="str">
        <f>IF(Table2[[#This Row],[Sold]]&gt;1000,"High Quality","Normal Quality")</f>
        <v>Normal Quality</v>
      </c>
      <c r="H635" s="12">
        <v>45374.914571759262</v>
      </c>
      <c r="I635" t="s">
        <v>509</v>
      </c>
      <c r="J635" t="s">
        <v>505</v>
      </c>
      <c r="K635" t="s">
        <v>118</v>
      </c>
    </row>
    <row r="636" spans="1:11" x14ac:dyDescent="0.35">
      <c r="A636" t="s">
        <v>79</v>
      </c>
      <c r="B636" t="s">
        <v>1</v>
      </c>
      <c r="C636" s="27">
        <v>116.54</v>
      </c>
      <c r="D636">
        <v>0</v>
      </c>
      <c r="E636">
        <v>262</v>
      </c>
      <c r="F636" s="4">
        <f t="shared" si="9"/>
        <v>30533.480000000003</v>
      </c>
      <c r="G636" t="str">
        <f>IF(Table2[[#This Row],[Sold]]&gt;1000,"High Quality","Normal Quality")</f>
        <v>Normal Quality</v>
      </c>
      <c r="H636" s="12">
        <v>45374.916238425925</v>
      </c>
      <c r="I636" t="s">
        <v>290</v>
      </c>
      <c r="J636" t="s">
        <v>506</v>
      </c>
      <c r="K636" t="s">
        <v>118</v>
      </c>
    </row>
    <row r="637" spans="1:11" x14ac:dyDescent="0.35">
      <c r="A637" t="s">
        <v>237</v>
      </c>
      <c r="B637" t="s">
        <v>37</v>
      </c>
      <c r="C637" s="27">
        <v>22.98</v>
      </c>
      <c r="D637">
        <v>10</v>
      </c>
      <c r="E637">
        <v>18</v>
      </c>
      <c r="F637" s="4">
        <f t="shared" si="9"/>
        <v>413.64</v>
      </c>
      <c r="G637" t="str">
        <f>IF(Table2[[#This Row],[Sold]]&gt;1000,"High Quality","Normal Quality")</f>
        <v>Normal Quality</v>
      </c>
      <c r="H637" s="12">
        <v>45374.923888888887</v>
      </c>
      <c r="I637" t="s">
        <v>509</v>
      </c>
      <c r="J637" t="s">
        <v>505</v>
      </c>
      <c r="K637" t="s">
        <v>118</v>
      </c>
    </row>
    <row r="638" spans="1:11" x14ac:dyDescent="0.35">
      <c r="A638" t="s">
        <v>232</v>
      </c>
      <c r="B638" t="s">
        <v>1</v>
      </c>
      <c r="C638" s="27">
        <v>77.069999999999993</v>
      </c>
      <c r="D638">
        <v>10</v>
      </c>
      <c r="E638">
        <v>55</v>
      </c>
      <c r="F638" s="4">
        <f t="shared" si="9"/>
        <v>4238.8499999999995</v>
      </c>
      <c r="G638" t="str">
        <f>IF(Table2[[#This Row],[Sold]]&gt;1000,"High Quality","Normal Quality")</f>
        <v>Normal Quality</v>
      </c>
      <c r="H638" s="12">
        <v>45374.923935185187</v>
      </c>
      <c r="I638" t="s">
        <v>509</v>
      </c>
      <c r="J638" t="s">
        <v>505</v>
      </c>
      <c r="K638" t="s">
        <v>118</v>
      </c>
    </row>
    <row r="639" spans="1:11" x14ac:dyDescent="0.35">
      <c r="A639" t="s">
        <v>68</v>
      </c>
      <c r="B639" t="s">
        <v>1</v>
      </c>
      <c r="C639" s="27">
        <v>54.86</v>
      </c>
      <c r="D639">
        <v>9</v>
      </c>
      <c r="E639">
        <v>4</v>
      </c>
      <c r="F639" s="4">
        <f t="shared" si="9"/>
        <v>219.44</v>
      </c>
      <c r="G639" t="str">
        <f>IF(Table2[[#This Row],[Sold]]&gt;1000,"High Quality","Normal Quality")</f>
        <v>Normal Quality</v>
      </c>
      <c r="H639" s="12">
        <v>45374.926724537036</v>
      </c>
      <c r="I639" t="s">
        <v>509</v>
      </c>
      <c r="J639" t="s">
        <v>505</v>
      </c>
      <c r="K639" t="s">
        <v>118</v>
      </c>
    </row>
    <row r="640" spans="1:11" x14ac:dyDescent="0.35">
      <c r="A640" t="s">
        <v>235</v>
      </c>
      <c r="B640" t="s">
        <v>37</v>
      </c>
      <c r="C640" s="27">
        <v>27.94</v>
      </c>
      <c r="D640">
        <v>0</v>
      </c>
      <c r="E640">
        <v>717</v>
      </c>
      <c r="F640" s="4">
        <f t="shared" si="9"/>
        <v>20032.98</v>
      </c>
      <c r="G640" t="str">
        <f>IF(Table2[[#This Row],[Sold]]&gt;1000,"High Quality","Normal Quality")</f>
        <v>Normal Quality</v>
      </c>
      <c r="H640" s="12">
        <v>45374.9297337963</v>
      </c>
      <c r="I640" t="s">
        <v>394</v>
      </c>
      <c r="J640" t="s">
        <v>282</v>
      </c>
      <c r="K640" t="s">
        <v>118</v>
      </c>
    </row>
    <row r="641" spans="1:11" x14ac:dyDescent="0.35">
      <c r="A641" t="s">
        <v>10</v>
      </c>
      <c r="B641" t="s">
        <v>3</v>
      </c>
      <c r="C641" s="27">
        <v>28.5</v>
      </c>
      <c r="D641">
        <v>8</v>
      </c>
      <c r="E641">
        <v>566</v>
      </c>
      <c r="F641" s="4">
        <f t="shared" si="9"/>
        <v>16131</v>
      </c>
      <c r="G641" t="str">
        <f>IF(Table2[[#This Row],[Sold]]&gt;1000,"High Quality","Normal Quality")</f>
        <v>Normal Quality</v>
      </c>
      <c r="H641" s="12">
        <v>45374.930856481478</v>
      </c>
      <c r="I641" t="s">
        <v>354</v>
      </c>
      <c r="J641" t="s">
        <v>266</v>
      </c>
      <c r="K641" t="s">
        <v>118</v>
      </c>
    </row>
    <row r="642" spans="1:11" x14ac:dyDescent="0.35">
      <c r="A642" t="s">
        <v>231</v>
      </c>
      <c r="B642" t="s">
        <v>1</v>
      </c>
      <c r="C642" s="27">
        <v>84.59</v>
      </c>
      <c r="D642">
        <v>40</v>
      </c>
      <c r="E642">
        <v>19</v>
      </c>
      <c r="F642" s="4">
        <f t="shared" ref="F642:F705" si="10">C:C*E:E</f>
        <v>1607.21</v>
      </c>
      <c r="G642" t="str">
        <f>IF(Table2[[#This Row],[Sold]]&gt;1000,"High Quality","Normal Quality")</f>
        <v>Normal Quality</v>
      </c>
      <c r="H642" s="12">
        <v>45374.935115740744</v>
      </c>
      <c r="I642" t="s">
        <v>509</v>
      </c>
      <c r="J642" t="s">
        <v>505</v>
      </c>
      <c r="K642" t="s">
        <v>118</v>
      </c>
    </row>
    <row r="643" spans="1:11" x14ac:dyDescent="0.35">
      <c r="A643" t="s">
        <v>69</v>
      </c>
      <c r="B643" t="s">
        <v>1</v>
      </c>
      <c r="C643" s="27">
        <v>21.95</v>
      </c>
      <c r="D643">
        <v>10</v>
      </c>
      <c r="E643">
        <v>448</v>
      </c>
      <c r="F643" s="4">
        <f t="shared" si="10"/>
        <v>9833.6</v>
      </c>
      <c r="G643" t="str">
        <f>IF(Table2[[#This Row],[Sold]]&gt;1000,"High Quality","Normal Quality")</f>
        <v>Normal Quality</v>
      </c>
      <c r="H643" s="12">
        <v>45374.941331018519</v>
      </c>
      <c r="I643" t="s">
        <v>358</v>
      </c>
      <c r="J643" t="s">
        <v>274</v>
      </c>
      <c r="K643" t="s">
        <v>118</v>
      </c>
    </row>
    <row r="644" spans="1:11" x14ac:dyDescent="0.35">
      <c r="A644" t="s">
        <v>50</v>
      </c>
      <c r="B644" t="s">
        <v>3</v>
      </c>
      <c r="C644" s="27">
        <v>114.99</v>
      </c>
      <c r="D644">
        <v>8</v>
      </c>
      <c r="E644">
        <v>539</v>
      </c>
      <c r="F644" s="4">
        <f t="shared" si="10"/>
        <v>61979.61</v>
      </c>
      <c r="G644" t="str">
        <f>IF(Table2[[#This Row],[Sold]]&gt;1000,"High Quality","Normal Quality")</f>
        <v>Normal Quality</v>
      </c>
      <c r="H644" s="12">
        <v>45374.946793981479</v>
      </c>
      <c r="I644" t="s">
        <v>511</v>
      </c>
      <c r="J644" t="s">
        <v>274</v>
      </c>
      <c r="K644" t="s">
        <v>118</v>
      </c>
    </row>
    <row r="645" spans="1:11" x14ac:dyDescent="0.35">
      <c r="A645" t="s">
        <v>37</v>
      </c>
      <c r="B645" t="s">
        <v>1</v>
      </c>
      <c r="C645" s="27">
        <v>85</v>
      </c>
      <c r="D645">
        <v>7</v>
      </c>
      <c r="E645">
        <v>42</v>
      </c>
      <c r="F645" s="4">
        <f t="shared" si="10"/>
        <v>3570</v>
      </c>
      <c r="G645" t="str">
        <f>IF(Table2[[#This Row],[Sold]]&gt;1000,"High Quality","Normal Quality")</f>
        <v>Normal Quality</v>
      </c>
      <c r="H645" s="12">
        <v>45374.952928240738</v>
      </c>
      <c r="I645" t="s">
        <v>323</v>
      </c>
      <c r="J645" t="s">
        <v>505</v>
      </c>
      <c r="K645" t="s">
        <v>118</v>
      </c>
    </row>
    <row r="646" spans="1:11" x14ac:dyDescent="0.35">
      <c r="A646" t="s">
        <v>37</v>
      </c>
      <c r="B646" t="s">
        <v>1</v>
      </c>
      <c r="C646" s="27">
        <v>88</v>
      </c>
      <c r="D646">
        <v>10</v>
      </c>
      <c r="E646">
        <v>5</v>
      </c>
      <c r="F646" s="4">
        <f t="shared" si="10"/>
        <v>440</v>
      </c>
      <c r="G646" t="str">
        <f>IF(Table2[[#This Row],[Sold]]&gt;1000,"High Quality","Normal Quality")</f>
        <v>Normal Quality</v>
      </c>
      <c r="H646" s="12">
        <v>45374.953032407408</v>
      </c>
      <c r="I646" t="s">
        <v>402</v>
      </c>
      <c r="J646" t="s">
        <v>282</v>
      </c>
      <c r="K646" t="s">
        <v>118</v>
      </c>
    </row>
    <row r="647" spans="1:11" x14ac:dyDescent="0.35">
      <c r="A647" t="s">
        <v>11</v>
      </c>
      <c r="B647" t="s">
        <v>1</v>
      </c>
      <c r="C647" s="27">
        <v>69.989999999999995</v>
      </c>
      <c r="D647">
        <v>10</v>
      </c>
      <c r="E647">
        <v>157</v>
      </c>
      <c r="F647" s="4">
        <f t="shared" si="10"/>
        <v>10988.429999999998</v>
      </c>
      <c r="G647" t="str">
        <f>IF(Table2[[#This Row],[Sold]]&gt;1000,"High Quality","Normal Quality")</f>
        <v>Normal Quality</v>
      </c>
      <c r="H647" s="12">
        <v>45374.953344907408</v>
      </c>
      <c r="I647" t="s">
        <v>510</v>
      </c>
      <c r="J647" t="s">
        <v>506</v>
      </c>
      <c r="K647" t="s">
        <v>333</v>
      </c>
    </row>
    <row r="648" spans="1:11" x14ac:dyDescent="0.35">
      <c r="A648" t="s">
        <v>13</v>
      </c>
      <c r="B648" t="s">
        <v>1</v>
      </c>
      <c r="C648" s="27">
        <v>68.989999999999995</v>
      </c>
      <c r="D648">
        <v>10</v>
      </c>
      <c r="E648">
        <v>59</v>
      </c>
      <c r="F648" s="4">
        <f t="shared" si="10"/>
        <v>4070.41</v>
      </c>
      <c r="G648" t="str">
        <f>IF(Table2[[#This Row],[Sold]]&gt;1000,"High Quality","Normal Quality")</f>
        <v>Normal Quality</v>
      </c>
      <c r="H648" s="12">
        <v>45374.95894675926</v>
      </c>
      <c r="I648" t="s">
        <v>329</v>
      </c>
      <c r="J648" t="s">
        <v>274</v>
      </c>
      <c r="K648" t="s">
        <v>118</v>
      </c>
    </row>
    <row r="649" spans="1:11" x14ac:dyDescent="0.35">
      <c r="A649" t="s">
        <v>11</v>
      </c>
      <c r="B649" t="s">
        <v>1</v>
      </c>
      <c r="C649" s="27">
        <v>109.99</v>
      </c>
      <c r="D649">
        <v>10</v>
      </c>
      <c r="E649">
        <v>48</v>
      </c>
      <c r="F649" s="4">
        <f t="shared" si="10"/>
        <v>5279.5199999999995</v>
      </c>
      <c r="G649" t="str">
        <f>IF(Table2[[#This Row],[Sold]]&gt;1000,"High Quality","Normal Quality")</f>
        <v>Normal Quality</v>
      </c>
      <c r="H649" s="12">
        <v>45374.963761574072</v>
      </c>
      <c r="I649" t="s">
        <v>268</v>
      </c>
      <c r="J649" t="s">
        <v>269</v>
      </c>
      <c r="K649" t="s">
        <v>537</v>
      </c>
    </row>
    <row r="650" spans="1:11" x14ac:dyDescent="0.35">
      <c r="A650" t="s">
        <v>27</v>
      </c>
      <c r="B650" t="s">
        <v>3</v>
      </c>
      <c r="C650" s="27">
        <v>32</v>
      </c>
      <c r="D650">
        <v>2</v>
      </c>
      <c r="E650">
        <v>445</v>
      </c>
      <c r="F650" s="4">
        <f t="shared" si="10"/>
        <v>14240</v>
      </c>
      <c r="G650" t="str">
        <f>IF(Table2[[#This Row],[Sold]]&gt;1000,"High Quality","Normal Quality")</f>
        <v>Normal Quality</v>
      </c>
      <c r="H650" s="12">
        <v>45374.966840277775</v>
      </c>
      <c r="I650" t="s">
        <v>362</v>
      </c>
      <c r="J650" t="s">
        <v>505</v>
      </c>
      <c r="K650" t="s">
        <v>118</v>
      </c>
    </row>
    <row r="651" spans="1:11" x14ac:dyDescent="0.35">
      <c r="A651" t="s">
        <v>4</v>
      </c>
      <c r="B651" t="s">
        <v>3</v>
      </c>
      <c r="C651" s="27">
        <v>36.5</v>
      </c>
      <c r="D651">
        <v>10</v>
      </c>
      <c r="E651">
        <v>185</v>
      </c>
      <c r="F651" s="4">
        <f t="shared" si="10"/>
        <v>6752.5</v>
      </c>
      <c r="G651" t="str">
        <f>IF(Table2[[#This Row],[Sold]]&gt;1000,"High Quality","Normal Quality")</f>
        <v>Normal Quality</v>
      </c>
      <c r="H651" s="12">
        <v>45374.972222222219</v>
      </c>
      <c r="I651" t="s">
        <v>494</v>
      </c>
      <c r="J651" t="s">
        <v>266</v>
      </c>
      <c r="K651" t="s">
        <v>118</v>
      </c>
    </row>
    <row r="652" spans="1:11" x14ac:dyDescent="0.35">
      <c r="A652" t="s">
        <v>5</v>
      </c>
      <c r="B652" t="s">
        <v>1</v>
      </c>
      <c r="C652" s="27">
        <v>25.79</v>
      </c>
      <c r="D652">
        <v>95</v>
      </c>
      <c r="E652">
        <v>11</v>
      </c>
      <c r="F652" s="4">
        <f t="shared" si="10"/>
        <v>283.69</v>
      </c>
      <c r="G652" t="str">
        <f>IF(Table2[[#This Row],[Sold]]&gt;1000,"High Quality","Normal Quality")</f>
        <v>Normal Quality</v>
      </c>
      <c r="H652" s="12">
        <v>45374.972488425927</v>
      </c>
      <c r="I652" t="s">
        <v>509</v>
      </c>
      <c r="J652" t="s">
        <v>505</v>
      </c>
      <c r="K652" t="s">
        <v>118</v>
      </c>
    </row>
    <row r="653" spans="1:11" x14ac:dyDescent="0.35">
      <c r="A653" t="s">
        <v>4</v>
      </c>
      <c r="B653" t="s">
        <v>1</v>
      </c>
      <c r="C653" s="27">
        <v>94.99</v>
      </c>
      <c r="D653">
        <v>8</v>
      </c>
      <c r="E653">
        <v>420</v>
      </c>
      <c r="F653" s="4">
        <f t="shared" si="10"/>
        <v>39895.799999999996</v>
      </c>
      <c r="G653" t="str">
        <f>IF(Table2[[#This Row],[Sold]]&gt;1000,"High Quality","Normal Quality")</f>
        <v>Normal Quality</v>
      </c>
      <c r="H653" s="12">
        <v>45374.980266203704</v>
      </c>
      <c r="I653" t="s">
        <v>511</v>
      </c>
      <c r="J653" t="s">
        <v>274</v>
      </c>
      <c r="K653" t="s">
        <v>118</v>
      </c>
    </row>
    <row r="654" spans="1:11" x14ac:dyDescent="0.35">
      <c r="A654" t="s">
        <v>26</v>
      </c>
      <c r="B654" t="s">
        <v>3</v>
      </c>
      <c r="C654" s="27">
        <v>32.979999999999997</v>
      </c>
      <c r="D654">
        <v>8</v>
      </c>
      <c r="E654">
        <v>4427</v>
      </c>
      <c r="F654" s="4">
        <f t="shared" si="10"/>
        <v>146002.46</v>
      </c>
      <c r="G654" t="str">
        <f>IF(Table2[[#This Row],[Sold]]&gt;1000,"High Quality","Normal Quality")</f>
        <v>High Quality</v>
      </c>
      <c r="H654" s="12">
        <v>45374.990648148145</v>
      </c>
      <c r="I654" t="s">
        <v>290</v>
      </c>
      <c r="J654" t="s">
        <v>506</v>
      </c>
      <c r="K654" t="s">
        <v>118</v>
      </c>
    </row>
    <row r="655" spans="1:11" x14ac:dyDescent="0.35">
      <c r="A655" t="s">
        <v>70</v>
      </c>
      <c r="B655" t="s">
        <v>1</v>
      </c>
      <c r="C655" s="27">
        <v>188.3</v>
      </c>
      <c r="D655">
        <v>0</v>
      </c>
      <c r="E655">
        <v>266</v>
      </c>
      <c r="F655" s="4">
        <f t="shared" si="10"/>
        <v>50087.8</v>
      </c>
      <c r="G655" t="str">
        <f>IF(Table2[[#This Row],[Sold]]&gt;1000,"High Quality","Normal Quality")</f>
        <v>Normal Quality</v>
      </c>
      <c r="H655" s="12">
        <v>45374.990648148145</v>
      </c>
      <c r="I655" t="s">
        <v>290</v>
      </c>
      <c r="J655" t="s">
        <v>506</v>
      </c>
      <c r="K655" t="s">
        <v>118</v>
      </c>
    </row>
    <row r="656" spans="1:11" x14ac:dyDescent="0.35">
      <c r="A656" t="s">
        <v>23</v>
      </c>
      <c r="B656" t="s">
        <v>3</v>
      </c>
      <c r="C656" s="27">
        <v>79.989999999999995</v>
      </c>
      <c r="D656">
        <v>9</v>
      </c>
      <c r="E656">
        <v>11</v>
      </c>
      <c r="F656" s="4">
        <f t="shared" si="10"/>
        <v>879.89</v>
      </c>
      <c r="G656" t="str">
        <f>IF(Table2[[#This Row],[Sold]]&gt;1000,"High Quality","Normal Quality")</f>
        <v>Normal Quality</v>
      </c>
      <c r="H656" s="12">
        <v>45374.999537037038</v>
      </c>
      <c r="I656" t="s">
        <v>550</v>
      </c>
      <c r="J656" t="s">
        <v>283</v>
      </c>
      <c r="K656" t="s">
        <v>118</v>
      </c>
    </row>
    <row r="657" spans="1:11" x14ac:dyDescent="0.35">
      <c r="A657" t="s">
        <v>231</v>
      </c>
      <c r="B657" t="s">
        <v>1</v>
      </c>
      <c r="C657" s="27">
        <v>83.99</v>
      </c>
      <c r="D657">
        <v>10</v>
      </c>
      <c r="E657">
        <v>5</v>
      </c>
      <c r="F657" s="4">
        <f t="shared" si="10"/>
        <v>419.95</v>
      </c>
      <c r="G657" t="str">
        <f>IF(Table2[[#This Row],[Sold]]&gt;1000,"High Quality","Normal Quality")</f>
        <v>Normal Quality</v>
      </c>
      <c r="H657" s="12">
        <v>45374.999826388892</v>
      </c>
      <c r="I657" t="s">
        <v>118</v>
      </c>
      <c r="J657" t="s">
        <v>283</v>
      </c>
      <c r="K657" t="s">
        <v>118</v>
      </c>
    </row>
    <row r="658" spans="1:11" x14ac:dyDescent="0.35">
      <c r="A658" t="s">
        <v>2</v>
      </c>
      <c r="B658" t="s">
        <v>1</v>
      </c>
      <c r="C658" s="27">
        <v>92.99</v>
      </c>
      <c r="D658">
        <v>258</v>
      </c>
      <c r="E658">
        <v>19</v>
      </c>
      <c r="F658" s="4">
        <f t="shared" si="10"/>
        <v>1766.81</v>
      </c>
      <c r="G658" t="str">
        <f>IF(Table2[[#This Row],[Sold]]&gt;1000,"High Quality","Normal Quality")</f>
        <v>Normal Quality</v>
      </c>
      <c r="H658" s="12">
        <v>45375.000891203701</v>
      </c>
      <c r="I658" t="s">
        <v>293</v>
      </c>
      <c r="J658" t="s">
        <v>505</v>
      </c>
      <c r="K658" t="s">
        <v>118</v>
      </c>
    </row>
    <row r="659" spans="1:11" x14ac:dyDescent="0.35">
      <c r="A659" t="s">
        <v>21</v>
      </c>
      <c r="B659" t="s">
        <v>1</v>
      </c>
      <c r="C659" s="27">
        <v>87.99</v>
      </c>
      <c r="D659">
        <v>8</v>
      </c>
      <c r="E659">
        <v>4</v>
      </c>
      <c r="F659" s="4">
        <f t="shared" si="10"/>
        <v>351.96</v>
      </c>
      <c r="G659" t="str">
        <f>IF(Table2[[#This Row],[Sold]]&gt;1000,"High Quality","Normal Quality")</f>
        <v>Normal Quality</v>
      </c>
      <c r="H659" s="12">
        <v>45375.000891203701</v>
      </c>
      <c r="I659" t="s">
        <v>506</v>
      </c>
      <c r="J659" t="s">
        <v>267</v>
      </c>
      <c r="K659" t="s">
        <v>536</v>
      </c>
    </row>
    <row r="660" spans="1:11" x14ac:dyDescent="0.35">
      <c r="A660" t="s">
        <v>4</v>
      </c>
      <c r="B660" t="s">
        <v>3</v>
      </c>
      <c r="C660" s="27">
        <v>28.99</v>
      </c>
      <c r="D660">
        <v>3</v>
      </c>
      <c r="E660">
        <v>111</v>
      </c>
      <c r="F660" s="4">
        <f t="shared" si="10"/>
        <v>3217.89</v>
      </c>
      <c r="G660" t="str">
        <f>IF(Table2[[#This Row],[Sold]]&gt;1000,"High Quality","Normal Quality")</f>
        <v>Normal Quality</v>
      </c>
      <c r="H660" s="12">
        <v>45375.001388888886</v>
      </c>
      <c r="I660" t="s">
        <v>293</v>
      </c>
      <c r="J660" t="s">
        <v>505</v>
      </c>
      <c r="K660" t="s">
        <v>118</v>
      </c>
    </row>
    <row r="661" spans="1:11" x14ac:dyDescent="0.35">
      <c r="A661" t="s">
        <v>36</v>
      </c>
      <c r="B661" t="s">
        <v>37</v>
      </c>
      <c r="C661" s="27">
        <v>49.99</v>
      </c>
      <c r="D661">
        <v>2</v>
      </c>
      <c r="E661">
        <v>376</v>
      </c>
      <c r="F661" s="4">
        <f t="shared" si="10"/>
        <v>18796.240000000002</v>
      </c>
      <c r="G661" t="str">
        <f>IF(Table2[[#This Row],[Sold]]&gt;1000,"High Quality","Normal Quality")</f>
        <v>Normal Quality</v>
      </c>
      <c r="H661" s="12">
        <v>45375.001562500001</v>
      </c>
      <c r="I661" t="s">
        <v>280</v>
      </c>
      <c r="J661" t="s">
        <v>266</v>
      </c>
      <c r="K661" t="s">
        <v>118</v>
      </c>
    </row>
    <row r="662" spans="1:11" x14ac:dyDescent="0.35">
      <c r="A662" t="s">
        <v>12</v>
      </c>
      <c r="B662" t="s">
        <v>3</v>
      </c>
      <c r="C662" s="27">
        <v>34.99</v>
      </c>
      <c r="D662">
        <v>10</v>
      </c>
      <c r="E662">
        <v>136</v>
      </c>
      <c r="F662" s="4">
        <f t="shared" si="10"/>
        <v>4758.6400000000003</v>
      </c>
      <c r="G662" t="str">
        <f>IF(Table2[[#This Row],[Sold]]&gt;1000,"High Quality","Normal Quality")</f>
        <v>Normal Quality</v>
      </c>
      <c r="H662" s="12">
        <v>45375.001701388886</v>
      </c>
      <c r="I662" t="s">
        <v>280</v>
      </c>
      <c r="J662" t="s">
        <v>266</v>
      </c>
      <c r="K662" t="s">
        <v>118</v>
      </c>
    </row>
    <row r="663" spans="1:11" x14ac:dyDescent="0.35">
      <c r="A663" t="s">
        <v>193</v>
      </c>
      <c r="B663" t="s">
        <v>3</v>
      </c>
      <c r="C663" s="27">
        <v>58.99</v>
      </c>
      <c r="D663">
        <v>2</v>
      </c>
      <c r="E663">
        <v>3</v>
      </c>
      <c r="F663" s="4">
        <f t="shared" si="10"/>
        <v>176.97</v>
      </c>
      <c r="G663" t="str">
        <f>IF(Table2[[#This Row],[Sold]]&gt;1000,"High Quality","Normal Quality")</f>
        <v>Normal Quality</v>
      </c>
      <c r="H663" s="12">
        <v>45375.00644675926</v>
      </c>
      <c r="I663" t="s">
        <v>506</v>
      </c>
      <c r="J663" t="s">
        <v>505</v>
      </c>
      <c r="K663" t="s">
        <v>118</v>
      </c>
    </row>
    <row r="664" spans="1:11" x14ac:dyDescent="0.35">
      <c r="A664" t="s">
        <v>4</v>
      </c>
      <c r="B664" t="s">
        <v>1</v>
      </c>
      <c r="C664" s="27">
        <v>90.44</v>
      </c>
      <c r="D664">
        <v>0</v>
      </c>
      <c r="E664">
        <v>1</v>
      </c>
      <c r="F664" s="4">
        <f t="shared" si="10"/>
        <v>90.44</v>
      </c>
      <c r="G664" t="str">
        <f>IF(Table2[[#This Row],[Sold]]&gt;1000,"High Quality","Normal Quality")</f>
        <v>Normal Quality</v>
      </c>
      <c r="H664" s="12">
        <v>45375.007303240738</v>
      </c>
      <c r="I664" t="s">
        <v>506</v>
      </c>
      <c r="J664" t="s">
        <v>505</v>
      </c>
      <c r="K664" t="s">
        <v>118</v>
      </c>
    </row>
    <row r="665" spans="1:11" x14ac:dyDescent="0.35">
      <c r="A665" t="s">
        <v>2</v>
      </c>
      <c r="B665" t="s">
        <v>1</v>
      </c>
      <c r="C665" s="27">
        <v>85</v>
      </c>
      <c r="D665">
        <v>10</v>
      </c>
      <c r="E665">
        <v>6</v>
      </c>
      <c r="F665" s="4">
        <f t="shared" si="10"/>
        <v>510</v>
      </c>
      <c r="G665" t="str">
        <f>IF(Table2[[#This Row],[Sold]]&gt;1000,"High Quality","Normal Quality")</f>
        <v>Normal Quality</v>
      </c>
      <c r="H665" s="12">
        <v>45375.007395833331</v>
      </c>
      <c r="I665" t="s">
        <v>276</v>
      </c>
      <c r="J665" t="s">
        <v>505</v>
      </c>
      <c r="K665" t="s">
        <v>118</v>
      </c>
    </row>
    <row r="666" spans="1:11" x14ac:dyDescent="0.35">
      <c r="A666" t="s">
        <v>2</v>
      </c>
      <c r="B666" t="s">
        <v>1</v>
      </c>
      <c r="C666" s="27">
        <v>16.989999999999998</v>
      </c>
      <c r="D666">
        <v>86</v>
      </c>
      <c r="E666">
        <v>84</v>
      </c>
      <c r="F666" s="4">
        <f t="shared" si="10"/>
        <v>1427.1599999999999</v>
      </c>
      <c r="G666" t="str">
        <f>IF(Table2[[#This Row],[Sold]]&gt;1000,"High Quality","Normal Quality")</f>
        <v>Normal Quality</v>
      </c>
      <c r="H666" s="12">
        <v>45375.009513888886</v>
      </c>
      <c r="I666" t="s">
        <v>333</v>
      </c>
      <c r="J666" t="s">
        <v>277</v>
      </c>
      <c r="K666" t="s">
        <v>118</v>
      </c>
    </row>
    <row r="667" spans="1:11" x14ac:dyDescent="0.35">
      <c r="A667" t="s">
        <v>12</v>
      </c>
      <c r="B667" t="s">
        <v>3</v>
      </c>
      <c r="C667" s="27">
        <v>35.99</v>
      </c>
      <c r="D667">
        <v>383</v>
      </c>
      <c r="E667">
        <v>43</v>
      </c>
      <c r="F667" s="4">
        <f t="shared" si="10"/>
        <v>1547.5700000000002</v>
      </c>
      <c r="G667" t="str">
        <f>IF(Table2[[#This Row],[Sold]]&gt;1000,"High Quality","Normal Quality")</f>
        <v>Normal Quality</v>
      </c>
      <c r="H667" s="12">
        <v>45375.009664351855</v>
      </c>
      <c r="I667" t="s">
        <v>292</v>
      </c>
      <c r="J667" t="s">
        <v>282</v>
      </c>
      <c r="K667" t="s">
        <v>118</v>
      </c>
    </row>
    <row r="668" spans="1:11" x14ac:dyDescent="0.35">
      <c r="A668" t="s">
        <v>35</v>
      </c>
      <c r="B668" t="s">
        <v>3</v>
      </c>
      <c r="C668" s="27">
        <v>13.66</v>
      </c>
      <c r="D668">
        <v>5</v>
      </c>
      <c r="E668">
        <v>552</v>
      </c>
      <c r="F668" s="4">
        <f t="shared" si="10"/>
        <v>7540.32</v>
      </c>
      <c r="G668" t="str">
        <f>IF(Table2[[#This Row],[Sold]]&gt;1000,"High Quality","Normal Quality")</f>
        <v>Normal Quality</v>
      </c>
      <c r="H668" s="12">
        <v>45375.010127314818</v>
      </c>
      <c r="I668" t="s">
        <v>321</v>
      </c>
      <c r="J668" t="s">
        <v>269</v>
      </c>
      <c r="K668" t="s">
        <v>118</v>
      </c>
    </row>
    <row r="669" spans="1:11" x14ac:dyDescent="0.35">
      <c r="A669" t="s">
        <v>39</v>
      </c>
      <c r="B669" t="s">
        <v>1</v>
      </c>
      <c r="C669" s="27">
        <v>49.99</v>
      </c>
      <c r="D669">
        <v>48</v>
      </c>
      <c r="E669">
        <v>45</v>
      </c>
      <c r="F669" s="4">
        <f t="shared" si="10"/>
        <v>2249.5500000000002</v>
      </c>
      <c r="G669" t="str">
        <f>IF(Table2[[#This Row],[Sold]]&gt;1000,"High Quality","Normal Quality")</f>
        <v>Normal Quality</v>
      </c>
      <c r="H669" s="12">
        <v>45375.010671296295</v>
      </c>
      <c r="I669" t="s">
        <v>327</v>
      </c>
      <c r="J669" t="s">
        <v>317</v>
      </c>
      <c r="K669" t="s">
        <v>537</v>
      </c>
    </row>
    <row r="670" spans="1:11" x14ac:dyDescent="0.35">
      <c r="A670" t="s">
        <v>12</v>
      </c>
      <c r="B670" t="s">
        <v>1</v>
      </c>
      <c r="C670" s="27">
        <v>36.99</v>
      </c>
      <c r="D670">
        <v>0</v>
      </c>
      <c r="E670">
        <v>37</v>
      </c>
      <c r="F670" s="4">
        <f t="shared" si="10"/>
        <v>1368.63</v>
      </c>
      <c r="G670" t="str">
        <f>IF(Table2[[#This Row],[Sold]]&gt;1000,"High Quality","Normal Quality")</f>
        <v>Normal Quality</v>
      </c>
      <c r="H670" s="12">
        <v>45375.011111111111</v>
      </c>
      <c r="I670" t="s">
        <v>365</v>
      </c>
      <c r="J670" t="s">
        <v>348</v>
      </c>
      <c r="K670" t="s">
        <v>537</v>
      </c>
    </row>
    <row r="671" spans="1:11" x14ac:dyDescent="0.35">
      <c r="A671" t="s">
        <v>11</v>
      </c>
      <c r="B671" t="s">
        <v>1</v>
      </c>
      <c r="C671" s="27">
        <v>99.49</v>
      </c>
      <c r="D671">
        <v>0</v>
      </c>
      <c r="E671">
        <v>3</v>
      </c>
      <c r="F671" s="4">
        <f t="shared" si="10"/>
        <v>298.46999999999997</v>
      </c>
      <c r="G671" t="str">
        <f>IF(Table2[[#This Row],[Sold]]&gt;1000,"High Quality","Normal Quality")</f>
        <v>Normal Quality</v>
      </c>
      <c r="H671" s="12">
        <v>45375.014143518521</v>
      </c>
      <c r="I671" t="s">
        <v>380</v>
      </c>
      <c r="J671" t="s">
        <v>505</v>
      </c>
      <c r="K671" t="s">
        <v>118</v>
      </c>
    </row>
    <row r="672" spans="1:11" x14ac:dyDescent="0.35">
      <c r="A672" t="s">
        <v>11</v>
      </c>
      <c r="B672" t="s">
        <v>1</v>
      </c>
      <c r="C672" s="27">
        <v>49.99</v>
      </c>
      <c r="D672">
        <v>10</v>
      </c>
      <c r="E672">
        <v>25</v>
      </c>
      <c r="F672" s="4">
        <f t="shared" si="10"/>
        <v>1249.75</v>
      </c>
      <c r="G672" t="str">
        <f>IF(Table2[[#This Row],[Sold]]&gt;1000,"High Quality","Normal Quality")</f>
        <v>Normal Quality</v>
      </c>
      <c r="H672" s="12">
        <v>45375.017071759263</v>
      </c>
      <c r="I672" t="s">
        <v>548</v>
      </c>
      <c r="J672" t="s">
        <v>283</v>
      </c>
      <c r="K672" t="s">
        <v>536</v>
      </c>
    </row>
    <row r="673" spans="1:11" x14ac:dyDescent="0.35">
      <c r="A673" t="s">
        <v>196</v>
      </c>
      <c r="B673" t="s">
        <v>1</v>
      </c>
      <c r="C673" s="27">
        <v>46.99</v>
      </c>
      <c r="D673">
        <v>2</v>
      </c>
      <c r="E673">
        <v>3</v>
      </c>
      <c r="F673" s="4">
        <f t="shared" si="10"/>
        <v>140.97</v>
      </c>
      <c r="G673" t="str">
        <f>IF(Table2[[#This Row],[Sold]]&gt;1000,"High Quality","Normal Quality")</f>
        <v>Normal Quality</v>
      </c>
      <c r="H673" s="12">
        <v>45375.017291666663</v>
      </c>
      <c r="I673" t="s">
        <v>515</v>
      </c>
      <c r="J673" t="s">
        <v>505</v>
      </c>
      <c r="K673" t="s">
        <v>118</v>
      </c>
    </row>
    <row r="674" spans="1:11" x14ac:dyDescent="0.35">
      <c r="A674" t="s">
        <v>94</v>
      </c>
      <c r="B674" t="s">
        <v>1</v>
      </c>
      <c r="C674" s="27">
        <v>13.89</v>
      </c>
      <c r="D674">
        <v>10</v>
      </c>
      <c r="E674">
        <v>239</v>
      </c>
      <c r="F674" s="4">
        <f t="shared" si="10"/>
        <v>3319.71</v>
      </c>
      <c r="G674" t="str">
        <f>IF(Table2[[#This Row],[Sold]]&gt;1000,"High Quality","Normal Quality")</f>
        <v>Normal Quality</v>
      </c>
      <c r="H674" s="12">
        <v>45375.021597222221</v>
      </c>
      <c r="I674" t="s">
        <v>363</v>
      </c>
      <c r="J674" t="s">
        <v>506</v>
      </c>
      <c r="K674" t="s">
        <v>118</v>
      </c>
    </row>
    <row r="675" spans="1:11" x14ac:dyDescent="0.35">
      <c r="A675" t="s">
        <v>94</v>
      </c>
      <c r="B675" t="s">
        <v>3</v>
      </c>
      <c r="C675" s="27">
        <v>10.7</v>
      </c>
      <c r="D675">
        <v>5</v>
      </c>
      <c r="E675">
        <v>163</v>
      </c>
      <c r="F675" s="4">
        <f t="shared" si="10"/>
        <v>1744.1</v>
      </c>
      <c r="G675" t="str">
        <f>IF(Table2[[#This Row],[Sold]]&gt;1000,"High Quality","Normal Quality")</f>
        <v>Normal Quality</v>
      </c>
      <c r="H675" s="12">
        <v>45375.021620370368</v>
      </c>
      <c r="I675" t="s">
        <v>363</v>
      </c>
      <c r="J675" t="s">
        <v>506</v>
      </c>
      <c r="K675" t="s">
        <v>118</v>
      </c>
    </row>
    <row r="676" spans="1:11" x14ac:dyDescent="0.35">
      <c r="A676" t="s">
        <v>232</v>
      </c>
      <c r="B676" t="s">
        <v>3</v>
      </c>
      <c r="C676" s="27">
        <v>7.95</v>
      </c>
      <c r="D676">
        <v>10</v>
      </c>
      <c r="E676">
        <v>254</v>
      </c>
      <c r="F676" s="4">
        <f t="shared" si="10"/>
        <v>2019.3</v>
      </c>
      <c r="G676" t="str">
        <f>IF(Table2[[#This Row],[Sold]]&gt;1000,"High Quality","Normal Quality")</f>
        <v>Normal Quality</v>
      </c>
      <c r="H676" s="12">
        <v>45375.022962962961</v>
      </c>
      <c r="I676" t="s">
        <v>363</v>
      </c>
      <c r="J676" t="s">
        <v>506</v>
      </c>
      <c r="K676" t="s">
        <v>118</v>
      </c>
    </row>
    <row r="677" spans="1:11" x14ac:dyDescent="0.35">
      <c r="A677" t="s">
        <v>193</v>
      </c>
      <c r="B677" t="s">
        <v>1</v>
      </c>
      <c r="C677" s="27">
        <v>8.49</v>
      </c>
      <c r="D677">
        <v>3</v>
      </c>
      <c r="E677">
        <v>131</v>
      </c>
      <c r="F677" s="4">
        <f t="shared" si="10"/>
        <v>1112.19</v>
      </c>
      <c r="G677" t="str">
        <f>IF(Table2[[#This Row],[Sold]]&gt;1000,"High Quality","Normal Quality")</f>
        <v>Normal Quality</v>
      </c>
      <c r="H677" s="12">
        <v>45375.023368055554</v>
      </c>
      <c r="I677" t="s">
        <v>363</v>
      </c>
      <c r="J677" t="s">
        <v>506</v>
      </c>
      <c r="K677" t="s">
        <v>118</v>
      </c>
    </row>
    <row r="678" spans="1:11" x14ac:dyDescent="0.35">
      <c r="A678" t="s">
        <v>12</v>
      </c>
      <c r="B678" t="s">
        <v>3</v>
      </c>
      <c r="C678" s="27">
        <v>35.99</v>
      </c>
      <c r="D678">
        <v>3</v>
      </c>
      <c r="E678">
        <v>221</v>
      </c>
      <c r="F678" s="4">
        <f t="shared" si="10"/>
        <v>7953.7900000000009</v>
      </c>
      <c r="G678" t="str">
        <f>IF(Table2[[#This Row],[Sold]]&gt;1000,"High Quality","Normal Quality")</f>
        <v>Normal Quality</v>
      </c>
      <c r="H678" s="12">
        <v>45375.032800925925</v>
      </c>
      <c r="I678" t="s">
        <v>510</v>
      </c>
      <c r="J678" t="s">
        <v>506</v>
      </c>
      <c r="K678" t="s">
        <v>537</v>
      </c>
    </row>
    <row r="679" spans="1:11" x14ac:dyDescent="0.35">
      <c r="A679" t="s">
        <v>23</v>
      </c>
      <c r="B679" t="s">
        <v>3</v>
      </c>
      <c r="C679" s="27">
        <v>75.989999999999995</v>
      </c>
      <c r="D679">
        <v>6</v>
      </c>
      <c r="E679">
        <v>8</v>
      </c>
      <c r="F679" s="4">
        <f t="shared" si="10"/>
        <v>607.91999999999996</v>
      </c>
      <c r="G679" t="str">
        <f>IF(Table2[[#This Row],[Sold]]&gt;1000,"High Quality","Normal Quality")</f>
        <v>Normal Quality</v>
      </c>
      <c r="H679" s="12">
        <v>45375.033680555556</v>
      </c>
      <c r="I679" t="s">
        <v>326</v>
      </c>
      <c r="J679" t="s">
        <v>282</v>
      </c>
      <c r="K679" t="s">
        <v>333</v>
      </c>
    </row>
    <row r="680" spans="1:11" x14ac:dyDescent="0.35">
      <c r="A680" t="s">
        <v>2</v>
      </c>
      <c r="B680" t="s">
        <v>1</v>
      </c>
      <c r="C680" s="27">
        <v>54.99</v>
      </c>
      <c r="D680">
        <v>3</v>
      </c>
      <c r="E680">
        <v>6</v>
      </c>
      <c r="F680" s="4">
        <f t="shared" si="10"/>
        <v>329.94</v>
      </c>
      <c r="G680" t="str">
        <f>IF(Table2[[#This Row],[Sold]]&gt;1000,"High Quality","Normal Quality")</f>
        <v>Normal Quality</v>
      </c>
      <c r="H680" s="12">
        <v>45375.038900462961</v>
      </c>
      <c r="I680" t="s">
        <v>335</v>
      </c>
      <c r="J680" t="s">
        <v>282</v>
      </c>
      <c r="K680" t="s">
        <v>118</v>
      </c>
    </row>
    <row r="681" spans="1:11" x14ac:dyDescent="0.35">
      <c r="A681" t="s">
        <v>15</v>
      </c>
      <c r="B681" t="s">
        <v>1</v>
      </c>
      <c r="C681" s="27">
        <v>39.99</v>
      </c>
      <c r="D681">
        <v>7</v>
      </c>
      <c r="E681">
        <v>76</v>
      </c>
      <c r="F681" s="4">
        <f t="shared" si="10"/>
        <v>3039.2400000000002</v>
      </c>
      <c r="G681" t="str">
        <f>IF(Table2[[#This Row],[Sold]]&gt;1000,"High Quality","Normal Quality")</f>
        <v>Normal Quality</v>
      </c>
      <c r="H681" s="12">
        <v>45375.039409722223</v>
      </c>
      <c r="I681" t="s">
        <v>335</v>
      </c>
      <c r="J681" t="s">
        <v>282</v>
      </c>
      <c r="K681" t="s">
        <v>118</v>
      </c>
    </row>
    <row r="682" spans="1:11" x14ac:dyDescent="0.35">
      <c r="A682" t="s">
        <v>38</v>
      </c>
      <c r="B682" t="s">
        <v>1</v>
      </c>
      <c r="C682" s="27">
        <v>29.99</v>
      </c>
      <c r="D682">
        <v>2</v>
      </c>
      <c r="E682">
        <v>17</v>
      </c>
      <c r="F682" s="4">
        <f t="shared" si="10"/>
        <v>509.83</v>
      </c>
      <c r="G682" t="str">
        <f>IF(Table2[[#This Row],[Sold]]&gt;1000,"High Quality","Normal Quality")</f>
        <v>Normal Quality</v>
      </c>
      <c r="H682" s="12">
        <v>45375.040717592594</v>
      </c>
      <c r="I682" t="s">
        <v>287</v>
      </c>
      <c r="J682" t="s">
        <v>266</v>
      </c>
      <c r="K682" t="s">
        <v>118</v>
      </c>
    </row>
    <row r="683" spans="1:11" x14ac:dyDescent="0.35">
      <c r="A683" t="s">
        <v>52</v>
      </c>
      <c r="B683" t="s">
        <v>1</v>
      </c>
      <c r="C683" s="27">
        <v>125.99</v>
      </c>
      <c r="D683">
        <v>0</v>
      </c>
      <c r="E683">
        <v>15</v>
      </c>
      <c r="F683" s="4">
        <f t="shared" si="10"/>
        <v>1889.85</v>
      </c>
      <c r="G683" t="str">
        <f>IF(Table2[[#This Row],[Sold]]&gt;1000,"High Quality","Normal Quality")</f>
        <v>Normal Quality</v>
      </c>
      <c r="H683" s="12">
        <v>45375.044537037036</v>
      </c>
      <c r="I683" t="s">
        <v>331</v>
      </c>
      <c r="J683" t="s">
        <v>505</v>
      </c>
      <c r="K683" t="s">
        <v>118</v>
      </c>
    </row>
    <row r="684" spans="1:11" x14ac:dyDescent="0.35">
      <c r="A684" t="s">
        <v>253</v>
      </c>
      <c r="B684" t="s">
        <v>3</v>
      </c>
      <c r="C684" s="27">
        <v>10.67</v>
      </c>
      <c r="D684">
        <v>10</v>
      </c>
      <c r="E684">
        <v>272</v>
      </c>
      <c r="F684" s="4">
        <f t="shared" si="10"/>
        <v>2902.24</v>
      </c>
      <c r="G684" t="str">
        <f>IF(Table2[[#This Row],[Sold]]&gt;1000,"High Quality","Normal Quality")</f>
        <v>Normal Quality</v>
      </c>
      <c r="H684" s="12">
        <v>45375.055706018517</v>
      </c>
      <c r="I684" t="s">
        <v>291</v>
      </c>
      <c r="J684" t="s">
        <v>274</v>
      </c>
      <c r="K684" t="s">
        <v>118</v>
      </c>
    </row>
    <row r="685" spans="1:11" x14ac:dyDescent="0.35">
      <c r="A685" t="s">
        <v>231</v>
      </c>
      <c r="B685" t="s">
        <v>1</v>
      </c>
      <c r="C685" s="27">
        <v>46.48</v>
      </c>
      <c r="D685">
        <v>10</v>
      </c>
      <c r="E685">
        <v>7</v>
      </c>
      <c r="F685" s="4">
        <f t="shared" si="10"/>
        <v>325.35999999999996</v>
      </c>
      <c r="G685" t="str">
        <f>IF(Table2[[#This Row],[Sold]]&gt;1000,"High Quality","Normal Quality")</f>
        <v>Normal Quality</v>
      </c>
      <c r="H685" s="12">
        <v>45375.056018518517</v>
      </c>
      <c r="I685" t="s">
        <v>273</v>
      </c>
      <c r="J685" t="s">
        <v>274</v>
      </c>
      <c r="K685" t="s">
        <v>342</v>
      </c>
    </row>
    <row r="686" spans="1:11" x14ac:dyDescent="0.35">
      <c r="A686" t="s">
        <v>37</v>
      </c>
      <c r="B686" t="s">
        <v>3</v>
      </c>
      <c r="C686" s="27">
        <v>35</v>
      </c>
      <c r="D686">
        <v>10</v>
      </c>
      <c r="E686">
        <v>214</v>
      </c>
      <c r="F686" s="4">
        <f t="shared" si="10"/>
        <v>7490</v>
      </c>
      <c r="G686" t="str">
        <f>IF(Table2[[#This Row],[Sold]]&gt;1000,"High Quality","Normal Quality")</f>
        <v>Normal Quality</v>
      </c>
      <c r="H686" s="12">
        <v>45375.059467592589</v>
      </c>
      <c r="I686" t="s">
        <v>461</v>
      </c>
      <c r="J686" t="s">
        <v>434</v>
      </c>
      <c r="K686" t="s">
        <v>118</v>
      </c>
    </row>
    <row r="687" spans="1:11" x14ac:dyDescent="0.35">
      <c r="A687" t="s">
        <v>36</v>
      </c>
      <c r="B687" t="s">
        <v>37</v>
      </c>
      <c r="C687" s="27">
        <v>39.99</v>
      </c>
      <c r="D687">
        <v>6</v>
      </c>
      <c r="E687">
        <v>275</v>
      </c>
      <c r="F687" s="4">
        <f t="shared" si="10"/>
        <v>10997.25</v>
      </c>
      <c r="G687" t="str">
        <f>IF(Table2[[#This Row],[Sold]]&gt;1000,"High Quality","Normal Quality")</f>
        <v>Normal Quality</v>
      </c>
      <c r="H687" s="12">
        <v>45375.069456018522</v>
      </c>
      <c r="I687" t="s">
        <v>330</v>
      </c>
      <c r="J687" t="s">
        <v>282</v>
      </c>
      <c r="K687" t="s">
        <v>118</v>
      </c>
    </row>
    <row r="688" spans="1:11" x14ac:dyDescent="0.35">
      <c r="A688" t="s">
        <v>12</v>
      </c>
      <c r="B688" t="s">
        <v>3</v>
      </c>
      <c r="C688" s="27">
        <v>30</v>
      </c>
      <c r="D688">
        <v>10</v>
      </c>
      <c r="E688">
        <v>270</v>
      </c>
      <c r="F688" s="4">
        <f t="shared" si="10"/>
        <v>8100</v>
      </c>
      <c r="G688" t="str">
        <f>IF(Table2[[#This Row],[Sold]]&gt;1000,"High Quality","Normal Quality")</f>
        <v>Normal Quality</v>
      </c>
      <c r="H688" s="12">
        <v>45375.069965277777</v>
      </c>
      <c r="I688" t="s">
        <v>330</v>
      </c>
      <c r="J688" t="s">
        <v>282</v>
      </c>
      <c r="K688" t="s">
        <v>118</v>
      </c>
    </row>
    <row r="689" spans="1:11" x14ac:dyDescent="0.35">
      <c r="A689" t="s">
        <v>13</v>
      </c>
      <c r="B689" t="s">
        <v>3</v>
      </c>
      <c r="C689" s="27">
        <v>64.989999999999995</v>
      </c>
      <c r="D689">
        <v>10</v>
      </c>
      <c r="E689">
        <v>313</v>
      </c>
      <c r="F689" s="4">
        <f t="shared" si="10"/>
        <v>20341.87</v>
      </c>
      <c r="G689" t="str">
        <f>IF(Table2[[#This Row],[Sold]]&gt;1000,"High Quality","Normal Quality")</f>
        <v>Normal Quality</v>
      </c>
      <c r="H689" s="12">
        <v>45375.070810185185</v>
      </c>
      <c r="I689" t="s">
        <v>511</v>
      </c>
      <c r="J689" t="s">
        <v>274</v>
      </c>
      <c r="K689" t="s">
        <v>118</v>
      </c>
    </row>
    <row r="690" spans="1:11" x14ac:dyDescent="0.35">
      <c r="A690" t="s">
        <v>81</v>
      </c>
      <c r="B690" t="s">
        <v>3</v>
      </c>
      <c r="C690" s="27">
        <v>36.15</v>
      </c>
      <c r="D690">
        <v>66</v>
      </c>
      <c r="E690">
        <v>7592</v>
      </c>
      <c r="F690" s="4">
        <f t="shared" si="10"/>
        <v>274450.8</v>
      </c>
      <c r="G690" t="str">
        <f>IF(Table2[[#This Row],[Sold]]&gt;1000,"High Quality","Normal Quality")</f>
        <v>High Quality</v>
      </c>
      <c r="H690" s="12">
        <v>45375.071747685186</v>
      </c>
      <c r="I690" t="s">
        <v>291</v>
      </c>
      <c r="J690" t="s">
        <v>274</v>
      </c>
      <c r="K690" t="s">
        <v>118</v>
      </c>
    </row>
    <row r="691" spans="1:11" x14ac:dyDescent="0.35">
      <c r="A691" t="s">
        <v>26</v>
      </c>
      <c r="B691" t="s">
        <v>3</v>
      </c>
      <c r="C691" s="27">
        <v>19.16</v>
      </c>
      <c r="D691">
        <v>3</v>
      </c>
      <c r="E691">
        <v>348</v>
      </c>
      <c r="F691" s="4">
        <f t="shared" si="10"/>
        <v>6667.68</v>
      </c>
      <c r="G691" t="str">
        <f>IF(Table2[[#This Row],[Sold]]&gt;1000,"High Quality","Normal Quality")</f>
        <v>Normal Quality</v>
      </c>
      <c r="H691" s="12">
        <v>45375.071759259263</v>
      </c>
      <c r="I691" t="s">
        <v>291</v>
      </c>
      <c r="J691" t="s">
        <v>274</v>
      </c>
      <c r="K691" t="s">
        <v>118</v>
      </c>
    </row>
    <row r="692" spans="1:11" x14ac:dyDescent="0.35">
      <c r="A692" t="s">
        <v>231</v>
      </c>
      <c r="B692" t="s">
        <v>3</v>
      </c>
      <c r="C692" s="27">
        <v>57.17</v>
      </c>
      <c r="D692">
        <v>10</v>
      </c>
      <c r="E692">
        <v>210</v>
      </c>
      <c r="F692" s="4">
        <f t="shared" si="10"/>
        <v>12005.7</v>
      </c>
      <c r="G692" t="str">
        <f>IF(Table2[[#This Row],[Sold]]&gt;1000,"High Quality","Normal Quality")</f>
        <v>Normal Quality</v>
      </c>
      <c r="H692" s="12">
        <v>45375.071770833332</v>
      </c>
      <c r="I692" t="s">
        <v>291</v>
      </c>
      <c r="J692" t="s">
        <v>274</v>
      </c>
      <c r="K692" t="s">
        <v>118</v>
      </c>
    </row>
    <row r="693" spans="1:11" x14ac:dyDescent="0.35">
      <c r="A693" t="s">
        <v>241</v>
      </c>
      <c r="B693" t="s">
        <v>1</v>
      </c>
      <c r="C693" s="27">
        <v>29.12</v>
      </c>
      <c r="D693">
        <v>0</v>
      </c>
      <c r="E693">
        <v>5145</v>
      </c>
      <c r="F693" s="4">
        <f t="shared" si="10"/>
        <v>149822.39999999999</v>
      </c>
      <c r="G693" t="str">
        <f>IF(Table2[[#This Row],[Sold]]&gt;1000,"High Quality","Normal Quality")</f>
        <v>High Quality</v>
      </c>
      <c r="H693" s="12">
        <v>45375.073518518519</v>
      </c>
      <c r="I693" t="s">
        <v>290</v>
      </c>
      <c r="J693" t="s">
        <v>506</v>
      </c>
      <c r="K693" t="s">
        <v>118</v>
      </c>
    </row>
    <row r="694" spans="1:11" x14ac:dyDescent="0.35">
      <c r="A694" t="s">
        <v>2</v>
      </c>
      <c r="B694" t="s">
        <v>1</v>
      </c>
      <c r="C694" s="27">
        <v>15.99</v>
      </c>
      <c r="D694">
        <v>8</v>
      </c>
      <c r="E694">
        <v>14</v>
      </c>
      <c r="F694" s="4">
        <f t="shared" si="10"/>
        <v>223.86</v>
      </c>
      <c r="G694" t="str">
        <f>IF(Table2[[#This Row],[Sold]]&gt;1000,"High Quality","Normal Quality")</f>
        <v>Normal Quality</v>
      </c>
      <c r="H694" s="12">
        <v>45375.074016203704</v>
      </c>
      <c r="I694" t="s">
        <v>273</v>
      </c>
      <c r="J694" t="s">
        <v>274</v>
      </c>
      <c r="K694" t="s">
        <v>118</v>
      </c>
    </row>
    <row r="695" spans="1:11" x14ac:dyDescent="0.35">
      <c r="A695" t="s">
        <v>9</v>
      </c>
      <c r="B695" t="s">
        <v>3</v>
      </c>
      <c r="C695" s="27">
        <v>31.99</v>
      </c>
      <c r="D695">
        <v>22</v>
      </c>
      <c r="E695">
        <v>35</v>
      </c>
      <c r="F695" s="4">
        <f t="shared" si="10"/>
        <v>1119.6499999999999</v>
      </c>
      <c r="G695" t="str">
        <f>IF(Table2[[#This Row],[Sold]]&gt;1000,"High Quality","Normal Quality")</f>
        <v>Normal Quality</v>
      </c>
      <c r="H695" s="12">
        <v>45375.083414351851</v>
      </c>
      <c r="I695" t="s">
        <v>290</v>
      </c>
      <c r="J695" t="s">
        <v>506</v>
      </c>
      <c r="K695" t="s">
        <v>118</v>
      </c>
    </row>
    <row r="696" spans="1:11" x14ac:dyDescent="0.35">
      <c r="A696" t="s">
        <v>231</v>
      </c>
      <c r="B696" t="s">
        <v>1</v>
      </c>
      <c r="C696" s="27">
        <v>60.99</v>
      </c>
      <c r="D696">
        <v>0</v>
      </c>
      <c r="E696">
        <v>16</v>
      </c>
      <c r="F696" s="4">
        <f t="shared" si="10"/>
        <v>975.84</v>
      </c>
      <c r="G696" t="str">
        <f>IF(Table2[[#This Row],[Sold]]&gt;1000,"High Quality","Normal Quality")</f>
        <v>Normal Quality</v>
      </c>
      <c r="H696" s="12">
        <v>45375.089849537035</v>
      </c>
      <c r="I696" t="s">
        <v>273</v>
      </c>
      <c r="J696" t="s">
        <v>274</v>
      </c>
      <c r="K696" t="s">
        <v>118</v>
      </c>
    </row>
    <row r="697" spans="1:11" x14ac:dyDescent="0.35">
      <c r="A697" t="s">
        <v>4</v>
      </c>
      <c r="B697" t="s">
        <v>1</v>
      </c>
      <c r="C697" s="27">
        <v>68.989999999999995</v>
      </c>
      <c r="D697">
        <v>842</v>
      </c>
      <c r="E697">
        <v>99</v>
      </c>
      <c r="F697" s="4">
        <f t="shared" si="10"/>
        <v>6830.0099999999993</v>
      </c>
      <c r="G697" t="str">
        <f>IF(Table2[[#This Row],[Sold]]&gt;1000,"High Quality","Normal Quality")</f>
        <v>Normal Quality</v>
      </c>
      <c r="H697" s="12">
        <v>45375.093854166669</v>
      </c>
      <c r="I697" t="s">
        <v>304</v>
      </c>
      <c r="J697" t="s">
        <v>305</v>
      </c>
      <c r="K697" t="s">
        <v>118</v>
      </c>
    </row>
    <row r="698" spans="1:11" x14ac:dyDescent="0.35">
      <c r="A698" t="s">
        <v>89</v>
      </c>
      <c r="B698" t="s">
        <v>1</v>
      </c>
      <c r="C698" s="27">
        <v>84.99</v>
      </c>
      <c r="D698">
        <v>9</v>
      </c>
      <c r="E698">
        <v>7</v>
      </c>
      <c r="F698" s="4">
        <f t="shared" si="10"/>
        <v>594.92999999999995</v>
      </c>
      <c r="G698" t="str">
        <f>IF(Table2[[#This Row],[Sold]]&gt;1000,"High Quality","Normal Quality")</f>
        <v>Normal Quality</v>
      </c>
      <c r="H698" s="12">
        <v>45375.100439814814</v>
      </c>
      <c r="I698" t="s">
        <v>317</v>
      </c>
      <c r="J698" t="s">
        <v>283</v>
      </c>
      <c r="K698" t="s">
        <v>536</v>
      </c>
    </row>
    <row r="699" spans="1:11" x14ac:dyDescent="0.35">
      <c r="A699" t="s">
        <v>11</v>
      </c>
      <c r="B699" t="s">
        <v>3</v>
      </c>
      <c r="C699" s="27">
        <v>49.99</v>
      </c>
      <c r="D699">
        <v>10</v>
      </c>
      <c r="E699">
        <v>15</v>
      </c>
      <c r="F699" s="4">
        <f t="shared" si="10"/>
        <v>749.85</v>
      </c>
      <c r="G699" t="str">
        <f>IF(Table2[[#This Row],[Sold]]&gt;1000,"High Quality","Normal Quality")</f>
        <v>Normal Quality</v>
      </c>
      <c r="H699" s="12">
        <v>45375.104155092595</v>
      </c>
      <c r="I699" t="s">
        <v>510</v>
      </c>
      <c r="J699" t="s">
        <v>505</v>
      </c>
      <c r="K699" t="s">
        <v>333</v>
      </c>
    </row>
    <row r="700" spans="1:11" x14ac:dyDescent="0.35">
      <c r="A700" t="s">
        <v>84</v>
      </c>
      <c r="B700" t="s">
        <v>1</v>
      </c>
      <c r="C700" s="27">
        <v>66</v>
      </c>
      <c r="D700">
        <v>3</v>
      </c>
      <c r="E700">
        <v>21</v>
      </c>
      <c r="F700" s="4">
        <f t="shared" si="10"/>
        <v>1386</v>
      </c>
      <c r="G700" t="str">
        <f>IF(Table2[[#This Row],[Sold]]&gt;1000,"High Quality","Normal Quality")</f>
        <v>Normal Quality</v>
      </c>
      <c r="H700" s="12">
        <v>45375.106469907405</v>
      </c>
      <c r="I700" t="s">
        <v>384</v>
      </c>
      <c r="J700" t="s">
        <v>383</v>
      </c>
      <c r="K700" t="s">
        <v>537</v>
      </c>
    </row>
    <row r="701" spans="1:11" x14ac:dyDescent="0.35">
      <c r="A701" t="s">
        <v>200</v>
      </c>
      <c r="B701" t="s">
        <v>37</v>
      </c>
      <c r="C701" s="27">
        <v>25</v>
      </c>
      <c r="D701">
        <v>4</v>
      </c>
      <c r="E701">
        <v>22</v>
      </c>
      <c r="F701" s="4">
        <f t="shared" si="10"/>
        <v>550</v>
      </c>
      <c r="G701" t="str">
        <f>IF(Table2[[#This Row],[Sold]]&gt;1000,"High Quality","Normal Quality")</f>
        <v>Normal Quality</v>
      </c>
      <c r="H701" s="12">
        <v>45375.107754629629</v>
      </c>
      <c r="I701" t="s">
        <v>350</v>
      </c>
      <c r="J701" t="s">
        <v>315</v>
      </c>
      <c r="K701" t="s">
        <v>118</v>
      </c>
    </row>
    <row r="702" spans="1:11" x14ac:dyDescent="0.35">
      <c r="A702" t="s">
        <v>13</v>
      </c>
      <c r="B702" t="s">
        <v>1</v>
      </c>
      <c r="C702" s="27">
        <v>68.989999999999995</v>
      </c>
      <c r="D702">
        <v>5</v>
      </c>
      <c r="E702">
        <v>20</v>
      </c>
      <c r="F702" s="4">
        <f t="shared" si="10"/>
        <v>1379.8</v>
      </c>
      <c r="G702" t="str">
        <f>IF(Table2[[#This Row],[Sold]]&gt;1000,"High Quality","Normal Quality")</f>
        <v>Normal Quality</v>
      </c>
      <c r="H702" s="12">
        <v>45375.112372685187</v>
      </c>
      <c r="I702" t="s">
        <v>284</v>
      </c>
      <c r="J702" t="s">
        <v>282</v>
      </c>
      <c r="K702" t="s">
        <v>118</v>
      </c>
    </row>
    <row r="703" spans="1:11" x14ac:dyDescent="0.35">
      <c r="A703" t="s">
        <v>4</v>
      </c>
      <c r="B703" t="s">
        <v>3</v>
      </c>
      <c r="C703" s="27">
        <v>45.99</v>
      </c>
      <c r="D703">
        <v>0</v>
      </c>
      <c r="E703">
        <v>101</v>
      </c>
      <c r="F703" s="4">
        <f t="shared" si="10"/>
        <v>4644.99</v>
      </c>
      <c r="G703" t="str">
        <f>IF(Table2[[#This Row],[Sold]]&gt;1000,"High Quality","Normal Quality")</f>
        <v>Normal Quality</v>
      </c>
      <c r="H703" s="12">
        <v>45375.117581018516</v>
      </c>
      <c r="I703" t="s">
        <v>316</v>
      </c>
      <c r="J703" t="s">
        <v>305</v>
      </c>
      <c r="K703" t="s">
        <v>118</v>
      </c>
    </row>
    <row r="704" spans="1:11" x14ac:dyDescent="0.35">
      <c r="A704" t="s">
        <v>231</v>
      </c>
      <c r="B704" t="s">
        <v>1</v>
      </c>
      <c r="C704" s="27">
        <v>60.99</v>
      </c>
      <c r="D704">
        <v>10</v>
      </c>
      <c r="E704">
        <v>27</v>
      </c>
      <c r="F704" s="4">
        <f t="shared" si="10"/>
        <v>1646.73</v>
      </c>
      <c r="G704" t="str">
        <f>IF(Table2[[#This Row],[Sold]]&gt;1000,"High Quality","Normal Quality")</f>
        <v>Normal Quality</v>
      </c>
      <c r="H704" s="12">
        <v>45375.123124999998</v>
      </c>
      <c r="I704" t="s">
        <v>340</v>
      </c>
      <c r="J704" t="s">
        <v>282</v>
      </c>
      <c r="K704" t="s">
        <v>118</v>
      </c>
    </row>
    <row r="705" spans="1:11" x14ac:dyDescent="0.35">
      <c r="A705" t="s">
        <v>66</v>
      </c>
      <c r="B705" t="s">
        <v>1</v>
      </c>
      <c r="C705" s="27">
        <v>32.89</v>
      </c>
      <c r="D705">
        <v>6</v>
      </c>
      <c r="E705">
        <v>61</v>
      </c>
      <c r="F705" s="4">
        <f t="shared" si="10"/>
        <v>2006.29</v>
      </c>
      <c r="G705" t="str">
        <f>IF(Table2[[#This Row],[Sold]]&gt;1000,"High Quality","Normal Quality")</f>
        <v>Normal Quality</v>
      </c>
      <c r="H705" s="12">
        <v>45375.130810185183</v>
      </c>
      <c r="I705" t="s">
        <v>509</v>
      </c>
      <c r="J705" t="s">
        <v>505</v>
      </c>
      <c r="K705" t="s">
        <v>118</v>
      </c>
    </row>
    <row r="706" spans="1:11" x14ac:dyDescent="0.35">
      <c r="A706" t="s">
        <v>50</v>
      </c>
      <c r="B706" t="s">
        <v>3</v>
      </c>
      <c r="C706" s="27">
        <v>45.49</v>
      </c>
      <c r="D706">
        <v>10</v>
      </c>
      <c r="E706">
        <v>116</v>
      </c>
      <c r="F706" s="4">
        <f t="shared" ref="F706:F769" si="11">C:C*E:E</f>
        <v>5276.84</v>
      </c>
      <c r="G706" t="str">
        <f>IF(Table2[[#This Row],[Sold]]&gt;1000,"High Quality","Normal Quality")</f>
        <v>Normal Quality</v>
      </c>
      <c r="H706" s="12">
        <v>45375.139155092591</v>
      </c>
      <c r="I706" t="s">
        <v>359</v>
      </c>
      <c r="J706" t="s">
        <v>360</v>
      </c>
      <c r="K706" t="s">
        <v>118</v>
      </c>
    </row>
    <row r="707" spans="1:11" x14ac:dyDescent="0.35">
      <c r="A707" t="s">
        <v>229</v>
      </c>
      <c r="B707" t="s">
        <v>1</v>
      </c>
      <c r="C707" s="27">
        <v>80</v>
      </c>
      <c r="D707">
        <v>4</v>
      </c>
      <c r="E707">
        <v>197</v>
      </c>
      <c r="F707" s="4">
        <f t="shared" si="11"/>
        <v>15760</v>
      </c>
      <c r="G707" t="str">
        <f>IF(Table2[[#This Row],[Sold]]&gt;1000,"High Quality","Normal Quality")</f>
        <v>Normal Quality</v>
      </c>
      <c r="H707" s="12">
        <v>45375.139548611114</v>
      </c>
      <c r="I707" t="s">
        <v>511</v>
      </c>
      <c r="J707" t="s">
        <v>274</v>
      </c>
      <c r="K707" t="s">
        <v>118</v>
      </c>
    </row>
    <row r="708" spans="1:11" x14ac:dyDescent="0.35">
      <c r="A708" t="s">
        <v>10</v>
      </c>
      <c r="B708" t="s">
        <v>1</v>
      </c>
      <c r="C708" s="27">
        <v>74.48</v>
      </c>
      <c r="D708">
        <v>5</v>
      </c>
      <c r="E708">
        <v>5</v>
      </c>
      <c r="F708" s="4">
        <f t="shared" si="11"/>
        <v>372.40000000000003</v>
      </c>
      <c r="G708" t="str">
        <f>IF(Table2[[#This Row],[Sold]]&gt;1000,"High Quality","Normal Quality")</f>
        <v>Normal Quality</v>
      </c>
      <c r="H708" s="12">
        <v>45375.139560185184</v>
      </c>
      <c r="I708" t="s">
        <v>511</v>
      </c>
      <c r="J708" t="s">
        <v>274</v>
      </c>
      <c r="K708" t="s">
        <v>118</v>
      </c>
    </row>
    <row r="709" spans="1:11" x14ac:dyDescent="0.35">
      <c r="A709" t="s">
        <v>36</v>
      </c>
      <c r="B709" t="s">
        <v>37</v>
      </c>
      <c r="C709" s="27">
        <v>43.49</v>
      </c>
      <c r="D709">
        <v>0</v>
      </c>
      <c r="E709">
        <v>3</v>
      </c>
      <c r="F709" s="4">
        <f t="shared" si="11"/>
        <v>130.47</v>
      </c>
      <c r="G709" t="str">
        <f>IF(Table2[[#This Row],[Sold]]&gt;1000,"High Quality","Normal Quality")</f>
        <v>Normal Quality</v>
      </c>
      <c r="H709" s="12">
        <v>45375.142592592594</v>
      </c>
      <c r="I709" t="s">
        <v>392</v>
      </c>
      <c r="J709" t="s">
        <v>286</v>
      </c>
      <c r="K709" t="s">
        <v>118</v>
      </c>
    </row>
    <row r="710" spans="1:11" x14ac:dyDescent="0.35">
      <c r="A710" t="s">
        <v>4</v>
      </c>
      <c r="B710" t="s">
        <v>3</v>
      </c>
      <c r="C710" s="27">
        <v>44.99</v>
      </c>
      <c r="D710">
        <v>7</v>
      </c>
      <c r="E710">
        <v>159</v>
      </c>
      <c r="F710" s="4">
        <f t="shared" si="11"/>
        <v>7153.4100000000008</v>
      </c>
      <c r="G710" t="str">
        <f>IF(Table2[[#This Row],[Sold]]&gt;1000,"High Quality","Normal Quality")</f>
        <v>Normal Quality</v>
      </c>
      <c r="H710" s="12">
        <v>45375.146331018521</v>
      </c>
      <c r="I710" t="s">
        <v>272</v>
      </c>
      <c r="J710" t="s">
        <v>507</v>
      </c>
      <c r="K710" t="s">
        <v>118</v>
      </c>
    </row>
    <row r="711" spans="1:11" x14ac:dyDescent="0.35">
      <c r="A711" t="s">
        <v>51</v>
      </c>
      <c r="B711" t="s">
        <v>3</v>
      </c>
      <c r="C711" s="27">
        <v>24.49</v>
      </c>
      <c r="D711">
        <v>10</v>
      </c>
      <c r="E711">
        <v>71</v>
      </c>
      <c r="F711" s="4">
        <f t="shared" si="11"/>
        <v>1738.79</v>
      </c>
      <c r="G711" t="str">
        <f>IF(Table2[[#This Row],[Sold]]&gt;1000,"High Quality","Normal Quality")</f>
        <v>Normal Quality</v>
      </c>
      <c r="H711" s="12">
        <v>45375.150578703702</v>
      </c>
      <c r="I711" t="s">
        <v>308</v>
      </c>
      <c r="J711" t="s">
        <v>309</v>
      </c>
      <c r="K711" t="s">
        <v>118</v>
      </c>
    </row>
    <row r="712" spans="1:11" x14ac:dyDescent="0.35">
      <c r="A712" t="s">
        <v>51</v>
      </c>
      <c r="B712" t="s">
        <v>3</v>
      </c>
      <c r="C712" s="27">
        <v>25.49</v>
      </c>
      <c r="D712">
        <v>10</v>
      </c>
      <c r="E712">
        <v>64</v>
      </c>
      <c r="F712" s="4">
        <f t="shared" si="11"/>
        <v>1631.36</v>
      </c>
      <c r="G712" t="str">
        <f>IF(Table2[[#This Row],[Sold]]&gt;1000,"High Quality","Normal Quality")</f>
        <v>Normal Quality</v>
      </c>
      <c r="H712" s="12">
        <v>45375.158368055556</v>
      </c>
      <c r="I712" t="s">
        <v>341</v>
      </c>
      <c r="J712" t="s">
        <v>535</v>
      </c>
      <c r="K712" t="s">
        <v>118</v>
      </c>
    </row>
    <row r="713" spans="1:11" x14ac:dyDescent="0.35">
      <c r="A713" t="s">
        <v>9</v>
      </c>
      <c r="B713" t="s">
        <v>1</v>
      </c>
      <c r="C713" s="27">
        <v>53.98</v>
      </c>
      <c r="D713">
        <v>0</v>
      </c>
      <c r="E713">
        <v>869</v>
      </c>
      <c r="F713" s="4">
        <f t="shared" si="11"/>
        <v>46908.619999999995</v>
      </c>
      <c r="G713" t="str">
        <f>IF(Table2[[#This Row],[Sold]]&gt;1000,"High Quality","Normal Quality")</f>
        <v>Normal Quality</v>
      </c>
      <c r="H713" s="12">
        <v>45375.164537037039</v>
      </c>
      <c r="I713" t="s">
        <v>290</v>
      </c>
      <c r="J713" t="s">
        <v>506</v>
      </c>
      <c r="K713" t="s">
        <v>118</v>
      </c>
    </row>
    <row r="714" spans="1:11" x14ac:dyDescent="0.35">
      <c r="A714" t="s">
        <v>26</v>
      </c>
      <c r="B714" t="s">
        <v>1</v>
      </c>
      <c r="C714" s="27">
        <v>23.89</v>
      </c>
      <c r="D714">
        <v>6</v>
      </c>
      <c r="E714">
        <v>54052</v>
      </c>
      <c r="F714" s="4">
        <f t="shared" si="11"/>
        <v>1291302.28</v>
      </c>
      <c r="G714" t="str">
        <f>IF(Table2[[#This Row],[Sold]]&gt;1000,"High Quality","Normal Quality")</f>
        <v>High Quality</v>
      </c>
      <c r="H714" s="12">
        <v>45375.16642361111</v>
      </c>
      <c r="I714" t="s">
        <v>290</v>
      </c>
      <c r="J714" t="s">
        <v>506</v>
      </c>
      <c r="K714" t="s">
        <v>118</v>
      </c>
    </row>
    <row r="715" spans="1:11" x14ac:dyDescent="0.35">
      <c r="A715" t="s">
        <v>0</v>
      </c>
      <c r="B715" t="s">
        <v>1</v>
      </c>
      <c r="C715" s="27">
        <v>25.99</v>
      </c>
      <c r="D715">
        <v>3</v>
      </c>
      <c r="E715">
        <v>1332</v>
      </c>
      <c r="F715" s="4">
        <f t="shared" si="11"/>
        <v>34618.68</v>
      </c>
      <c r="G715" t="str">
        <f>IF(Table2[[#This Row],[Sold]]&gt;1000,"High Quality","Normal Quality")</f>
        <v>High Quality</v>
      </c>
      <c r="H715" s="12">
        <v>45375.169108796297</v>
      </c>
      <c r="I715" t="s">
        <v>306</v>
      </c>
      <c r="J715" t="s">
        <v>307</v>
      </c>
      <c r="K715" t="s">
        <v>118</v>
      </c>
    </row>
    <row r="716" spans="1:11" x14ac:dyDescent="0.35">
      <c r="A716" t="s">
        <v>0</v>
      </c>
      <c r="B716" t="s">
        <v>1</v>
      </c>
      <c r="C716" s="27">
        <v>88.99</v>
      </c>
      <c r="D716">
        <v>10</v>
      </c>
      <c r="E716">
        <v>4</v>
      </c>
      <c r="F716" s="4">
        <f t="shared" si="11"/>
        <v>355.96</v>
      </c>
      <c r="G716" t="str">
        <f>IF(Table2[[#This Row],[Sold]]&gt;1000,"High Quality","Normal Quality")</f>
        <v>Normal Quality</v>
      </c>
      <c r="H716" s="12">
        <v>45375.180335648147</v>
      </c>
      <c r="I716" t="s">
        <v>455</v>
      </c>
      <c r="J716" t="s">
        <v>266</v>
      </c>
      <c r="K716" t="s">
        <v>118</v>
      </c>
    </row>
    <row r="717" spans="1:11" x14ac:dyDescent="0.35">
      <c r="A717" t="s">
        <v>4</v>
      </c>
      <c r="B717" t="s">
        <v>3</v>
      </c>
      <c r="C717" s="27">
        <v>41.99</v>
      </c>
      <c r="D717">
        <v>2</v>
      </c>
      <c r="E717">
        <v>132</v>
      </c>
      <c r="F717" s="4">
        <f t="shared" si="11"/>
        <v>5542.68</v>
      </c>
      <c r="G717" t="str">
        <f>IF(Table2[[#This Row],[Sold]]&gt;1000,"High Quality","Normal Quality")</f>
        <v>Normal Quality</v>
      </c>
      <c r="H717" s="12">
        <v>45375.180694444447</v>
      </c>
      <c r="I717" t="s">
        <v>346</v>
      </c>
      <c r="J717" t="s">
        <v>347</v>
      </c>
      <c r="K717" t="s">
        <v>118</v>
      </c>
    </row>
    <row r="718" spans="1:11" x14ac:dyDescent="0.35">
      <c r="A718" t="s">
        <v>31</v>
      </c>
      <c r="B718" t="s">
        <v>1</v>
      </c>
      <c r="C718" s="27">
        <v>189.99</v>
      </c>
      <c r="D718">
        <v>6</v>
      </c>
      <c r="E718">
        <v>32</v>
      </c>
      <c r="F718" s="4">
        <f t="shared" si="11"/>
        <v>6079.68</v>
      </c>
      <c r="G718" t="str">
        <f>IF(Table2[[#This Row],[Sold]]&gt;1000,"High Quality","Normal Quality")</f>
        <v>Normal Quality</v>
      </c>
      <c r="H718" s="12">
        <v>45375.182256944441</v>
      </c>
      <c r="I718" t="s">
        <v>331</v>
      </c>
      <c r="J718" t="s">
        <v>505</v>
      </c>
      <c r="K718" t="s">
        <v>118</v>
      </c>
    </row>
    <row r="719" spans="1:11" x14ac:dyDescent="0.35">
      <c r="A719" t="s">
        <v>59</v>
      </c>
      <c r="B719" t="s">
        <v>3</v>
      </c>
      <c r="C719" s="27">
        <v>24.99</v>
      </c>
      <c r="D719">
        <v>10</v>
      </c>
      <c r="E719">
        <v>116</v>
      </c>
      <c r="F719" s="4">
        <f t="shared" si="11"/>
        <v>2898.8399999999997</v>
      </c>
      <c r="G719" t="str">
        <f>IF(Table2[[#This Row],[Sold]]&gt;1000,"High Quality","Normal Quality")</f>
        <v>Normal Quality</v>
      </c>
      <c r="H719" s="12">
        <v>45375.186990740738</v>
      </c>
      <c r="I719" t="s">
        <v>285</v>
      </c>
      <c r="J719" t="s">
        <v>286</v>
      </c>
      <c r="K719" t="s">
        <v>118</v>
      </c>
    </row>
    <row r="720" spans="1:11" x14ac:dyDescent="0.35">
      <c r="A720" t="s">
        <v>5</v>
      </c>
      <c r="B720" t="s">
        <v>1</v>
      </c>
      <c r="C720" s="27">
        <v>15.03</v>
      </c>
      <c r="D720">
        <v>10</v>
      </c>
      <c r="E720">
        <v>44</v>
      </c>
      <c r="F720" s="4">
        <f t="shared" si="11"/>
        <v>661.31999999999994</v>
      </c>
      <c r="G720" t="str">
        <f>IF(Table2[[#This Row],[Sold]]&gt;1000,"High Quality","Normal Quality")</f>
        <v>Normal Quality</v>
      </c>
      <c r="H720" s="12">
        <v>45375.210011574076</v>
      </c>
      <c r="I720" t="s">
        <v>509</v>
      </c>
      <c r="J720" t="s">
        <v>505</v>
      </c>
      <c r="K720" t="s">
        <v>118</v>
      </c>
    </row>
    <row r="721" spans="1:11" x14ac:dyDescent="0.35">
      <c r="A721" t="s">
        <v>15</v>
      </c>
      <c r="B721" t="s">
        <v>3</v>
      </c>
      <c r="C721" s="27">
        <v>29.99</v>
      </c>
      <c r="D721">
        <v>10</v>
      </c>
      <c r="E721">
        <v>384</v>
      </c>
      <c r="F721" s="4">
        <f t="shared" si="11"/>
        <v>11516.16</v>
      </c>
      <c r="G721" t="str">
        <f>IF(Table2[[#This Row],[Sold]]&gt;1000,"High Quality","Normal Quality")</f>
        <v>Normal Quality</v>
      </c>
      <c r="H721" s="12">
        <v>45375.217592592591</v>
      </c>
      <c r="I721" t="s">
        <v>287</v>
      </c>
      <c r="J721" t="s">
        <v>266</v>
      </c>
      <c r="K721" t="s">
        <v>118</v>
      </c>
    </row>
    <row r="722" spans="1:11" x14ac:dyDescent="0.35">
      <c r="A722" t="s">
        <v>51</v>
      </c>
      <c r="B722" t="s">
        <v>3</v>
      </c>
      <c r="C722" s="27">
        <v>25.23</v>
      </c>
      <c r="D722">
        <v>0</v>
      </c>
      <c r="E722">
        <v>40130</v>
      </c>
      <c r="F722" s="4">
        <f t="shared" si="11"/>
        <v>1012479.9</v>
      </c>
      <c r="G722" t="str">
        <f>IF(Table2[[#This Row],[Sold]]&gt;1000,"High Quality","Normal Quality")</f>
        <v>High Quality</v>
      </c>
      <c r="H722" s="12">
        <v>45375.221006944441</v>
      </c>
      <c r="I722" t="s">
        <v>290</v>
      </c>
      <c r="J722" t="s">
        <v>506</v>
      </c>
      <c r="K722" t="s">
        <v>118</v>
      </c>
    </row>
    <row r="723" spans="1:11" x14ac:dyDescent="0.35">
      <c r="A723" t="s">
        <v>22</v>
      </c>
      <c r="B723" t="s">
        <v>1</v>
      </c>
      <c r="C723" s="27">
        <v>53.99</v>
      </c>
      <c r="D723">
        <v>6</v>
      </c>
      <c r="E723">
        <v>512</v>
      </c>
      <c r="F723" s="4">
        <f t="shared" si="11"/>
        <v>27642.880000000001</v>
      </c>
      <c r="G723" t="str">
        <f>IF(Table2[[#This Row],[Sold]]&gt;1000,"High Quality","Normal Quality")</f>
        <v>Normal Quality</v>
      </c>
      <c r="H723" s="12">
        <v>45375.227106481485</v>
      </c>
      <c r="I723" t="s">
        <v>329</v>
      </c>
      <c r="J723" t="s">
        <v>274</v>
      </c>
      <c r="K723" t="s">
        <v>118</v>
      </c>
    </row>
    <row r="724" spans="1:11" x14ac:dyDescent="0.35">
      <c r="A724" t="s">
        <v>32</v>
      </c>
      <c r="B724" t="s">
        <v>1</v>
      </c>
      <c r="C724" s="27">
        <v>10.99</v>
      </c>
      <c r="D724">
        <v>10</v>
      </c>
      <c r="E724">
        <v>368</v>
      </c>
      <c r="F724" s="4">
        <f t="shared" si="11"/>
        <v>4044.32</v>
      </c>
      <c r="G724" t="str">
        <f>IF(Table2[[#This Row],[Sold]]&gt;1000,"High Quality","Normal Quality")</f>
        <v>Normal Quality</v>
      </c>
      <c r="H724" s="12">
        <v>45375.229594907411</v>
      </c>
      <c r="I724" t="s">
        <v>509</v>
      </c>
      <c r="J724" t="s">
        <v>505</v>
      </c>
      <c r="K724" t="s">
        <v>118</v>
      </c>
    </row>
    <row r="725" spans="1:11" x14ac:dyDescent="0.35">
      <c r="A725" t="s">
        <v>4</v>
      </c>
      <c r="B725" t="s">
        <v>1</v>
      </c>
      <c r="C725" s="27">
        <v>69.989999999999995</v>
      </c>
      <c r="D725">
        <v>50</v>
      </c>
      <c r="E725">
        <v>35</v>
      </c>
      <c r="F725" s="4">
        <f t="shared" si="11"/>
        <v>2449.6499999999996</v>
      </c>
      <c r="G725" t="str">
        <f>IF(Table2[[#This Row],[Sold]]&gt;1000,"High Quality","Normal Quality")</f>
        <v>Normal Quality</v>
      </c>
      <c r="H725" s="12">
        <v>45375.238622685189</v>
      </c>
      <c r="I725" t="s">
        <v>328</v>
      </c>
      <c r="J725" t="s">
        <v>266</v>
      </c>
      <c r="K725" t="s">
        <v>118</v>
      </c>
    </row>
    <row r="726" spans="1:11" x14ac:dyDescent="0.35">
      <c r="A726" t="s">
        <v>9</v>
      </c>
      <c r="B726" t="s">
        <v>3</v>
      </c>
      <c r="C726" s="27">
        <v>34.99</v>
      </c>
      <c r="D726">
        <v>10</v>
      </c>
      <c r="E726">
        <v>225</v>
      </c>
      <c r="F726" s="4">
        <f t="shared" si="11"/>
        <v>7872.75</v>
      </c>
      <c r="G726" t="str">
        <f>IF(Table2[[#This Row],[Sold]]&gt;1000,"High Quality","Normal Quality")</f>
        <v>Normal Quality</v>
      </c>
      <c r="H726" s="12">
        <v>45375.23878472222</v>
      </c>
      <c r="I726" t="s">
        <v>328</v>
      </c>
      <c r="J726" t="s">
        <v>266</v>
      </c>
      <c r="K726" t="s">
        <v>118</v>
      </c>
    </row>
    <row r="727" spans="1:11" x14ac:dyDescent="0.35">
      <c r="A727" t="s">
        <v>7</v>
      </c>
      <c r="B727" t="s">
        <v>1</v>
      </c>
      <c r="C727" s="27">
        <v>19.73</v>
      </c>
      <c r="D727">
        <v>4</v>
      </c>
      <c r="E727">
        <v>18</v>
      </c>
      <c r="F727" s="4">
        <f t="shared" si="11"/>
        <v>355.14</v>
      </c>
      <c r="G727" t="str">
        <f>IF(Table2[[#This Row],[Sold]]&gt;1000,"High Quality","Normal Quality")</f>
        <v>Normal Quality</v>
      </c>
      <c r="H727" s="12">
        <v>45375.239247685182</v>
      </c>
      <c r="I727" t="s">
        <v>509</v>
      </c>
      <c r="J727" t="s">
        <v>505</v>
      </c>
      <c r="K727" t="s">
        <v>118</v>
      </c>
    </row>
    <row r="728" spans="1:11" x14ac:dyDescent="0.35">
      <c r="A728" t="s">
        <v>4</v>
      </c>
      <c r="B728" t="s">
        <v>1</v>
      </c>
      <c r="C728" s="27">
        <v>72.989999999999995</v>
      </c>
      <c r="D728">
        <v>10</v>
      </c>
      <c r="E728">
        <v>235</v>
      </c>
      <c r="F728" s="4">
        <f t="shared" si="11"/>
        <v>17152.649999999998</v>
      </c>
      <c r="G728" t="str">
        <f>IF(Table2[[#This Row],[Sold]]&gt;1000,"High Quality","Normal Quality")</f>
        <v>Normal Quality</v>
      </c>
      <c r="H728" s="12">
        <v>45375.243796296294</v>
      </c>
      <c r="I728" t="s">
        <v>351</v>
      </c>
      <c r="J728" t="s">
        <v>266</v>
      </c>
      <c r="K728" t="s">
        <v>118</v>
      </c>
    </row>
    <row r="729" spans="1:11" x14ac:dyDescent="0.35">
      <c r="A729" t="s">
        <v>4</v>
      </c>
      <c r="B729" t="s">
        <v>3</v>
      </c>
      <c r="C729" s="27">
        <v>29.99</v>
      </c>
      <c r="D729">
        <v>5</v>
      </c>
      <c r="E729">
        <v>6</v>
      </c>
      <c r="F729" s="4">
        <f t="shared" si="11"/>
        <v>179.94</v>
      </c>
      <c r="G729" t="str">
        <f>IF(Table2[[#This Row],[Sold]]&gt;1000,"High Quality","Normal Quality")</f>
        <v>Normal Quality</v>
      </c>
      <c r="H729" s="12">
        <v>45375.24423611111</v>
      </c>
      <c r="I729" t="s">
        <v>280</v>
      </c>
      <c r="J729" t="s">
        <v>266</v>
      </c>
      <c r="K729" t="s">
        <v>118</v>
      </c>
    </row>
    <row r="730" spans="1:11" x14ac:dyDescent="0.35">
      <c r="A730" t="s">
        <v>27</v>
      </c>
      <c r="B730" t="s">
        <v>3</v>
      </c>
      <c r="C730" s="27">
        <v>33.99</v>
      </c>
      <c r="D730">
        <v>311</v>
      </c>
      <c r="E730">
        <v>89</v>
      </c>
      <c r="F730" s="4">
        <f t="shared" si="11"/>
        <v>3025.11</v>
      </c>
      <c r="G730" t="str">
        <f>IF(Table2[[#This Row],[Sold]]&gt;1000,"High Quality","Normal Quality")</f>
        <v>Normal Quality</v>
      </c>
      <c r="H730" s="12">
        <v>45375.245567129627</v>
      </c>
      <c r="I730" t="s">
        <v>407</v>
      </c>
      <c r="J730" t="s">
        <v>266</v>
      </c>
      <c r="K730" t="s">
        <v>118</v>
      </c>
    </row>
    <row r="731" spans="1:11" x14ac:dyDescent="0.35">
      <c r="A731" t="s">
        <v>13</v>
      </c>
      <c r="B731" t="s">
        <v>1</v>
      </c>
      <c r="C731" s="27">
        <v>69.989999999999995</v>
      </c>
      <c r="D731">
        <v>10</v>
      </c>
      <c r="E731">
        <v>2</v>
      </c>
      <c r="F731" s="4">
        <f t="shared" si="11"/>
        <v>139.97999999999999</v>
      </c>
      <c r="G731" t="str">
        <f>IF(Table2[[#This Row],[Sold]]&gt;1000,"High Quality","Normal Quality")</f>
        <v>Normal Quality</v>
      </c>
      <c r="H731" s="12">
        <v>45375.24622685185</v>
      </c>
      <c r="I731" t="s">
        <v>280</v>
      </c>
      <c r="J731" t="s">
        <v>266</v>
      </c>
      <c r="K731" t="s">
        <v>118</v>
      </c>
    </row>
    <row r="732" spans="1:11" x14ac:dyDescent="0.35">
      <c r="A732" t="s">
        <v>0</v>
      </c>
      <c r="B732" t="s">
        <v>3</v>
      </c>
      <c r="C732" s="27">
        <v>84.99</v>
      </c>
      <c r="D732">
        <v>5</v>
      </c>
      <c r="E732">
        <v>16</v>
      </c>
      <c r="F732" s="4">
        <f t="shared" si="11"/>
        <v>1359.84</v>
      </c>
      <c r="G732" t="str">
        <f>IF(Table2[[#This Row],[Sold]]&gt;1000,"High Quality","Normal Quality")</f>
        <v>Normal Quality</v>
      </c>
      <c r="H732" s="12">
        <v>45375.246493055558</v>
      </c>
      <c r="I732" t="s">
        <v>280</v>
      </c>
      <c r="J732" t="s">
        <v>266</v>
      </c>
      <c r="K732" t="s">
        <v>118</v>
      </c>
    </row>
    <row r="733" spans="1:11" x14ac:dyDescent="0.35">
      <c r="A733" t="s">
        <v>27</v>
      </c>
      <c r="B733" t="s">
        <v>3</v>
      </c>
      <c r="C733" s="27">
        <v>36.99</v>
      </c>
      <c r="D733">
        <v>3</v>
      </c>
      <c r="E733">
        <v>257</v>
      </c>
      <c r="F733" s="4">
        <f t="shared" si="11"/>
        <v>9506.43</v>
      </c>
      <c r="G733" t="str">
        <f>IF(Table2[[#This Row],[Sold]]&gt;1000,"High Quality","Normal Quality")</f>
        <v>Normal Quality</v>
      </c>
      <c r="H733" s="12">
        <v>45375.25503472222</v>
      </c>
      <c r="I733" t="s">
        <v>332</v>
      </c>
      <c r="J733" t="s">
        <v>309</v>
      </c>
      <c r="K733" t="s">
        <v>118</v>
      </c>
    </row>
    <row r="734" spans="1:11" x14ac:dyDescent="0.35">
      <c r="A734" t="s">
        <v>9</v>
      </c>
      <c r="B734" t="s">
        <v>3</v>
      </c>
      <c r="C734" s="27">
        <v>29.99</v>
      </c>
      <c r="D734">
        <v>10</v>
      </c>
      <c r="E734">
        <v>169</v>
      </c>
      <c r="F734" s="4">
        <f t="shared" si="11"/>
        <v>5068.3099999999995</v>
      </c>
      <c r="G734" t="str">
        <f>IF(Table2[[#This Row],[Sold]]&gt;1000,"High Quality","Normal Quality")</f>
        <v>Normal Quality</v>
      </c>
      <c r="H734" s="12">
        <v>45375.255358796298</v>
      </c>
      <c r="I734" t="s">
        <v>332</v>
      </c>
      <c r="J734" t="s">
        <v>309</v>
      </c>
      <c r="K734" t="s">
        <v>118</v>
      </c>
    </row>
    <row r="735" spans="1:11" x14ac:dyDescent="0.35">
      <c r="A735" t="s">
        <v>24</v>
      </c>
      <c r="B735" t="s">
        <v>1</v>
      </c>
      <c r="C735" s="27">
        <v>35.71</v>
      </c>
      <c r="D735">
        <v>226</v>
      </c>
      <c r="E735">
        <v>30</v>
      </c>
      <c r="F735" s="4">
        <f t="shared" si="11"/>
        <v>1071.3</v>
      </c>
      <c r="G735" t="str">
        <f>IF(Table2[[#This Row],[Sold]]&gt;1000,"High Quality","Normal Quality")</f>
        <v>Normal Quality</v>
      </c>
      <c r="H735" s="12">
        <v>45375.255891203706</v>
      </c>
      <c r="I735" t="s">
        <v>509</v>
      </c>
      <c r="J735" t="s">
        <v>505</v>
      </c>
      <c r="K735" t="s">
        <v>118</v>
      </c>
    </row>
    <row r="736" spans="1:11" x14ac:dyDescent="0.35">
      <c r="A736" t="s">
        <v>9</v>
      </c>
      <c r="B736" t="s">
        <v>37</v>
      </c>
      <c r="C736" s="27">
        <v>53.99</v>
      </c>
      <c r="D736">
        <v>10</v>
      </c>
      <c r="E736">
        <v>229</v>
      </c>
      <c r="F736" s="4">
        <f t="shared" si="11"/>
        <v>12363.710000000001</v>
      </c>
      <c r="G736" t="str">
        <f>IF(Table2[[#This Row],[Sold]]&gt;1000,"High Quality","Normal Quality")</f>
        <v>Normal Quality</v>
      </c>
      <c r="H736" s="12">
        <v>45375.256435185183</v>
      </c>
      <c r="I736" t="s">
        <v>291</v>
      </c>
      <c r="J736" t="s">
        <v>274</v>
      </c>
      <c r="K736" t="s">
        <v>118</v>
      </c>
    </row>
    <row r="737" spans="1:11" x14ac:dyDescent="0.35">
      <c r="A737" t="s">
        <v>71</v>
      </c>
      <c r="B737" t="s">
        <v>1</v>
      </c>
      <c r="C737" s="27">
        <v>19.73</v>
      </c>
      <c r="D737">
        <v>2</v>
      </c>
      <c r="E737">
        <v>20</v>
      </c>
      <c r="F737" s="4">
        <f t="shared" si="11"/>
        <v>394.6</v>
      </c>
      <c r="G737" t="str">
        <f>IF(Table2[[#This Row],[Sold]]&gt;1000,"High Quality","Normal Quality")</f>
        <v>Normal Quality</v>
      </c>
      <c r="H737" s="12">
        <v>45375.260081018518</v>
      </c>
      <c r="I737" t="s">
        <v>509</v>
      </c>
      <c r="J737" t="s">
        <v>505</v>
      </c>
      <c r="K737" t="s">
        <v>118</v>
      </c>
    </row>
    <row r="738" spans="1:11" x14ac:dyDescent="0.35">
      <c r="A738" t="s">
        <v>231</v>
      </c>
      <c r="B738" t="s">
        <v>1</v>
      </c>
      <c r="C738" s="27">
        <v>92.56</v>
      </c>
      <c r="D738">
        <v>8</v>
      </c>
      <c r="E738">
        <v>2293</v>
      </c>
      <c r="F738" s="4">
        <f t="shared" si="11"/>
        <v>212240.08000000002</v>
      </c>
      <c r="G738" t="str">
        <f>IF(Table2[[#This Row],[Sold]]&gt;1000,"High Quality","Normal Quality")</f>
        <v>High Quality</v>
      </c>
      <c r="H738" s="12">
        <v>45375.260879629626</v>
      </c>
      <c r="I738" t="s">
        <v>290</v>
      </c>
      <c r="J738" t="s">
        <v>506</v>
      </c>
      <c r="K738" t="s">
        <v>118</v>
      </c>
    </row>
    <row r="739" spans="1:11" x14ac:dyDescent="0.35">
      <c r="A739" t="s">
        <v>8</v>
      </c>
      <c r="B739" t="s">
        <v>3</v>
      </c>
      <c r="C739" s="27">
        <v>71.98</v>
      </c>
      <c r="D739">
        <v>0</v>
      </c>
      <c r="E739">
        <v>100</v>
      </c>
      <c r="F739" s="4">
        <f t="shared" si="11"/>
        <v>7198</v>
      </c>
      <c r="G739" t="str">
        <f>IF(Table2[[#This Row],[Sold]]&gt;1000,"High Quality","Normal Quality")</f>
        <v>Normal Quality</v>
      </c>
      <c r="H739" s="12">
        <v>45375.264803240738</v>
      </c>
      <c r="I739" t="s">
        <v>291</v>
      </c>
      <c r="J739" t="s">
        <v>274</v>
      </c>
      <c r="K739" t="s">
        <v>118</v>
      </c>
    </row>
    <row r="740" spans="1:11" x14ac:dyDescent="0.35">
      <c r="A740" t="s">
        <v>5</v>
      </c>
      <c r="B740" t="s">
        <v>1</v>
      </c>
      <c r="C740" s="27">
        <v>21.54</v>
      </c>
      <c r="D740">
        <v>8</v>
      </c>
      <c r="E740">
        <v>989</v>
      </c>
      <c r="F740" s="4">
        <f t="shared" si="11"/>
        <v>21303.059999999998</v>
      </c>
      <c r="G740" t="str">
        <f>IF(Table2[[#This Row],[Sold]]&gt;1000,"High Quality","Normal Quality")</f>
        <v>Normal Quality</v>
      </c>
      <c r="H740" s="12">
        <v>45375.264814814815</v>
      </c>
      <c r="I740" t="s">
        <v>291</v>
      </c>
      <c r="J740" t="s">
        <v>274</v>
      </c>
      <c r="K740" t="s">
        <v>118</v>
      </c>
    </row>
    <row r="741" spans="1:11" x14ac:dyDescent="0.35">
      <c r="A741" t="s">
        <v>15</v>
      </c>
      <c r="B741" t="s">
        <v>1</v>
      </c>
      <c r="C741" s="27">
        <v>39.99</v>
      </c>
      <c r="D741">
        <v>56</v>
      </c>
      <c r="E741">
        <v>276</v>
      </c>
      <c r="F741" s="4">
        <f t="shared" si="11"/>
        <v>11037.24</v>
      </c>
      <c r="G741" t="str">
        <f>IF(Table2[[#This Row],[Sold]]&gt;1000,"High Quality","Normal Quality")</f>
        <v>Normal Quality</v>
      </c>
      <c r="H741" s="12">
        <v>45375.268182870372</v>
      </c>
      <c r="I741" t="s">
        <v>298</v>
      </c>
      <c r="J741" t="s">
        <v>299</v>
      </c>
      <c r="K741" t="s">
        <v>118</v>
      </c>
    </row>
    <row r="742" spans="1:11" x14ac:dyDescent="0.35">
      <c r="A742" t="s">
        <v>36</v>
      </c>
      <c r="B742" t="s">
        <v>37</v>
      </c>
      <c r="C742" s="27">
        <v>33.950000000000003</v>
      </c>
      <c r="D742">
        <v>10</v>
      </c>
      <c r="E742">
        <v>464</v>
      </c>
      <c r="F742" s="4">
        <f t="shared" si="11"/>
        <v>15752.800000000001</v>
      </c>
      <c r="G742" t="str">
        <f>IF(Table2[[#This Row],[Sold]]&gt;1000,"High Quality","Normal Quality")</f>
        <v>Normal Quality</v>
      </c>
      <c r="H742" s="12">
        <v>45375.268472222226</v>
      </c>
      <c r="I742" t="s">
        <v>298</v>
      </c>
      <c r="J742" t="s">
        <v>299</v>
      </c>
      <c r="K742" t="s">
        <v>118</v>
      </c>
    </row>
    <row r="743" spans="1:11" x14ac:dyDescent="0.35">
      <c r="A743" t="s">
        <v>15</v>
      </c>
      <c r="B743" t="s">
        <v>1</v>
      </c>
      <c r="C743" s="27">
        <v>22.61</v>
      </c>
      <c r="D743">
        <v>0</v>
      </c>
      <c r="E743">
        <v>619</v>
      </c>
      <c r="F743" s="4">
        <f t="shared" si="11"/>
        <v>13995.59</v>
      </c>
      <c r="G743" t="str">
        <f>IF(Table2[[#This Row],[Sold]]&gt;1000,"High Quality","Normal Quality")</f>
        <v>Normal Quality</v>
      </c>
      <c r="H743" s="12">
        <v>45375.273726851854</v>
      </c>
      <c r="I743" t="s">
        <v>291</v>
      </c>
      <c r="J743" t="s">
        <v>274</v>
      </c>
      <c r="K743" t="s">
        <v>118</v>
      </c>
    </row>
    <row r="744" spans="1:11" x14ac:dyDescent="0.35">
      <c r="A744" t="s">
        <v>12</v>
      </c>
      <c r="B744" t="s">
        <v>1</v>
      </c>
      <c r="C744" s="27">
        <v>29.19</v>
      </c>
      <c r="D744">
        <v>10</v>
      </c>
      <c r="E744">
        <v>1787</v>
      </c>
      <c r="F744" s="4">
        <f t="shared" si="11"/>
        <v>52162.53</v>
      </c>
      <c r="G744" t="str">
        <f>IF(Table2[[#This Row],[Sold]]&gt;1000,"High Quality","Normal Quality")</f>
        <v>High Quality</v>
      </c>
      <c r="H744" s="12">
        <v>45375.273900462962</v>
      </c>
      <c r="I744" t="s">
        <v>285</v>
      </c>
      <c r="J744" t="s">
        <v>286</v>
      </c>
      <c r="K744" t="s">
        <v>118</v>
      </c>
    </row>
    <row r="745" spans="1:11" x14ac:dyDescent="0.35">
      <c r="A745" t="s">
        <v>241</v>
      </c>
      <c r="B745" t="s">
        <v>1</v>
      </c>
      <c r="C745" s="27">
        <v>28.99</v>
      </c>
      <c r="D745">
        <v>3</v>
      </c>
      <c r="E745">
        <v>65</v>
      </c>
      <c r="F745" s="4">
        <f t="shared" si="11"/>
        <v>1884.35</v>
      </c>
      <c r="G745" t="str">
        <f>IF(Table2[[#This Row],[Sold]]&gt;1000,"High Quality","Normal Quality")</f>
        <v>Normal Quality</v>
      </c>
      <c r="H745" s="12">
        <v>45375.277638888889</v>
      </c>
      <c r="I745" t="s">
        <v>329</v>
      </c>
      <c r="J745" t="s">
        <v>274</v>
      </c>
      <c r="K745" t="s">
        <v>118</v>
      </c>
    </row>
    <row r="746" spans="1:11" x14ac:dyDescent="0.35">
      <c r="A746" t="s">
        <v>81</v>
      </c>
      <c r="B746" t="s">
        <v>3</v>
      </c>
      <c r="C746" s="27">
        <v>39.99</v>
      </c>
      <c r="D746">
        <v>10</v>
      </c>
      <c r="E746">
        <v>35</v>
      </c>
      <c r="F746" s="4">
        <f t="shared" si="11"/>
        <v>1399.65</v>
      </c>
      <c r="G746" t="str">
        <f>IF(Table2[[#This Row],[Sold]]&gt;1000,"High Quality","Normal Quality")</f>
        <v>Normal Quality</v>
      </c>
      <c r="H746" s="12">
        <v>45375.279861111114</v>
      </c>
      <c r="I746" t="s">
        <v>329</v>
      </c>
      <c r="J746" t="s">
        <v>274</v>
      </c>
      <c r="K746" t="s">
        <v>118</v>
      </c>
    </row>
    <row r="747" spans="1:11" x14ac:dyDescent="0.35">
      <c r="A747" t="s">
        <v>53</v>
      </c>
      <c r="B747" t="s">
        <v>3</v>
      </c>
      <c r="C747" s="27">
        <v>49.99</v>
      </c>
      <c r="D747">
        <v>6</v>
      </c>
      <c r="E747">
        <v>3</v>
      </c>
      <c r="F747" s="4">
        <f t="shared" si="11"/>
        <v>149.97</v>
      </c>
      <c r="G747" t="str">
        <f>IF(Table2[[#This Row],[Sold]]&gt;1000,"High Quality","Normal Quality")</f>
        <v>Normal Quality</v>
      </c>
      <c r="H747" s="12">
        <v>45375.28162037037</v>
      </c>
      <c r="I747" t="s">
        <v>550</v>
      </c>
      <c r="J747" t="s">
        <v>283</v>
      </c>
      <c r="K747" t="s">
        <v>536</v>
      </c>
    </row>
    <row r="748" spans="1:11" x14ac:dyDescent="0.35">
      <c r="A748" t="s">
        <v>232</v>
      </c>
      <c r="B748" t="s">
        <v>3</v>
      </c>
      <c r="C748" s="27">
        <v>32.99</v>
      </c>
      <c r="D748">
        <v>2</v>
      </c>
      <c r="E748">
        <v>59</v>
      </c>
      <c r="F748" s="4">
        <f t="shared" si="11"/>
        <v>1946.41</v>
      </c>
      <c r="G748" t="str">
        <f>IF(Table2[[#This Row],[Sold]]&gt;1000,"High Quality","Normal Quality")</f>
        <v>Normal Quality</v>
      </c>
      <c r="H748" s="12">
        <v>45375.283402777779</v>
      </c>
      <c r="I748" t="s">
        <v>297</v>
      </c>
      <c r="J748" t="s">
        <v>266</v>
      </c>
      <c r="K748" t="s">
        <v>118</v>
      </c>
    </row>
    <row r="749" spans="1:11" x14ac:dyDescent="0.35">
      <c r="A749" t="s">
        <v>20</v>
      </c>
      <c r="B749" t="s">
        <v>1</v>
      </c>
      <c r="C749" s="27">
        <v>37.89</v>
      </c>
      <c r="D749">
        <v>0</v>
      </c>
      <c r="E749">
        <v>1242</v>
      </c>
      <c r="F749" s="4">
        <f t="shared" si="11"/>
        <v>47059.38</v>
      </c>
      <c r="G749" t="str">
        <f>IF(Table2[[#This Row],[Sold]]&gt;1000,"High Quality","Normal Quality")</f>
        <v>High Quality</v>
      </c>
      <c r="H749" s="12">
        <v>45375.288252314815</v>
      </c>
      <c r="I749" t="s">
        <v>290</v>
      </c>
      <c r="J749" t="s">
        <v>506</v>
      </c>
      <c r="K749" t="s">
        <v>118</v>
      </c>
    </row>
    <row r="750" spans="1:11" x14ac:dyDescent="0.35">
      <c r="A750" t="s">
        <v>10</v>
      </c>
      <c r="B750" t="s">
        <v>1</v>
      </c>
      <c r="C750" s="27">
        <v>35.71</v>
      </c>
      <c r="D750">
        <v>10</v>
      </c>
      <c r="E750">
        <v>36</v>
      </c>
      <c r="F750" s="4">
        <f t="shared" si="11"/>
        <v>1285.56</v>
      </c>
      <c r="G750" t="str">
        <f>IF(Table2[[#This Row],[Sold]]&gt;1000,"High Quality","Normal Quality")</f>
        <v>Normal Quality</v>
      </c>
      <c r="H750" s="12">
        <v>45375.290891203702</v>
      </c>
      <c r="I750" t="s">
        <v>509</v>
      </c>
      <c r="J750" t="s">
        <v>505</v>
      </c>
      <c r="K750" t="s">
        <v>118</v>
      </c>
    </row>
    <row r="751" spans="1:11" x14ac:dyDescent="0.35">
      <c r="A751" t="s">
        <v>7</v>
      </c>
      <c r="B751" t="s">
        <v>1</v>
      </c>
      <c r="C751" s="27">
        <v>19.73</v>
      </c>
      <c r="D751">
        <v>452</v>
      </c>
      <c r="E751">
        <v>55</v>
      </c>
      <c r="F751" s="4">
        <f t="shared" si="11"/>
        <v>1085.1500000000001</v>
      </c>
      <c r="G751" t="str">
        <f>IF(Table2[[#This Row],[Sold]]&gt;1000,"High Quality","Normal Quality")</f>
        <v>Normal Quality</v>
      </c>
      <c r="H751" s="12">
        <v>45375.293449074074</v>
      </c>
      <c r="I751" t="s">
        <v>509</v>
      </c>
      <c r="J751" t="s">
        <v>505</v>
      </c>
      <c r="K751" t="s">
        <v>118</v>
      </c>
    </row>
    <row r="752" spans="1:11" x14ac:dyDescent="0.35">
      <c r="A752" t="s">
        <v>63</v>
      </c>
      <c r="B752" t="s">
        <v>3</v>
      </c>
      <c r="C752" s="27">
        <v>22.24</v>
      </c>
      <c r="D752">
        <v>10</v>
      </c>
      <c r="E752">
        <v>1424</v>
      </c>
      <c r="F752" s="4">
        <f t="shared" si="11"/>
        <v>31669.759999999998</v>
      </c>
      <c r="G752" t="str">
        <f>IF(Table2[[#This Row],[Sold]]&gt;1000,"High Quality","Normal Quality")</f>
        <v>High Quality</v>
      </c>
      <c r="H752" s="12">
        <v>45375.296550925923</v>
      </c>
      <c r="I752" t="s">
        <v>290</v>
      </c>
      <c r="J752" t="s">
        <v>506</v>
      </c>
      <c r="K752" t="s">
        <v>118</v>
      </c>
    </row>
    <row r="753" spans="1:11" x14ac:dyDescent="0.35">
      <c r="A753" t="s">
        <v>64</v>
      </c>
      <c r="B753" t="s">
        <v>261</v>
      </c>
      <c r="C753" s="27">
        <v>26.1</v>
      </c>
      <c r="D753">
        <v>7</v>
      </c>
      <c r="E753">
        <v>4934</v>
      </c>
      <c r="F753" s="4">
        <f t="shared" si="11"/>
        <v>128777.40000000001</v>
      </c>
      <c r="G753" t="str">
        <f>IF(Table2[[#This Row],[Sold]]&gt;1000,"High Quality","Normal Quality")</f>
        <v>High Quality</v>
      </c>
      <c r="H753" s="12">
        <v>45375.296550925923</v>
      </c>
      <c r="I753" t="s">
        <v>290</v>
      </c>
      <c r="J753" t="s">
        <v>506</v>
      </c>
      <c r="K753" t="s">
        <v>118</v>
      </c>
    </row>
    <row r="754" spans="1:11" x14ac:dyDescent="0.35">
      <c r="A754" t="s">
        <v>260</v>
      </c>
      <c r="B754" t="s">
        <v>3</v>
      </c>
      <c r="C754" s="27">
        <v>22.6</v>
      </c>
      <c r="D754">
        <v>10</v>
      </c>
      <c r="E754">
        <v>541</v>
      </c>
      <c r="F754" s="4">
        <f t="shared" si="11"/>
        <v>12226.6</v>
      </c>
      <c r="G754" t="str">
        <f>IF(Table2[[#This Row],[Sold]]&gt;1000,"High Quality","Normal Quality")</f>
        <v>Normal Quality</v>
      </c>
      <c r="H754" s="12">
        <v>45375.298645833333</v>
      </c>
      <c r="I754" t="s">
        <v>290</v>
      </c>
      <c r="J754" t="s">
        <v>506</v>
      </c>
      <c r="K754" t="s">
        <v>118</v>
      </c>
    </row>
    <row r="755" spans="1:11" x14ac:dyDescent="0.35">
      <c r="A755" t="s">
        <v>231</v>
      </c>
      <c r="B755" t="s">
        <v>1</v>
      </c>
      <c r="C755" s="27">
        <v>60.99</v>
      </c>
      <c r="D755">
        <v>322</v>
      </c>
      <c r="E755">
        <v>35</v>
      </c>
      <c r="F755" s="4">
        <f t="shared" si="11"/>
        <v>2134.65</v>
      </c>
      <c r="G755" t="str">
        <f>IF(Table2[[#This Row],[Sold]]&gt;1000,"High Quality","Normal Quality")</f>
        <v>Normal Quality</v>
      </c>
      <c r="H755" s="12">
        <v>45375.299375000002</v>
      </c>
      <c r="I755" t="s">
        <v>308</v>
      </c>
      <c r="J755" t="s">
        <v>309</v>
      </c>
      <c r="K755" t="s">
        <v>118</v>
      </c>
    </row>
    <row r="756" spans="1:11" x14ac:dyDescent="0.35">
      <c r="A756" t="s">
        <v>50</v>
      </c>
      <c r="B756" t="s">
        <v>3</v>
      </c>
      <c r="C756" s="27">
        <v>48.99</v>
      </c>
      <c r="D756">
        <v>5</v>
      </c>
      <c r="E756">
        <v>30</v>
      </c>
      <c r="F756" s="4">
        <f t="shared" si="11"/>
        <v>1469.7</v>
      </c>
      <c r="G756" t="str">
        <f>IF(Table2[[#This Row],[Sold]]&gt;1000,"High Quality","Normal Quality")</f>
        <v>Normal Quality</v>
      </c>
      <c r="H756" s="12">
        <v>45375.300891203704</v>
      </c>
      <c r="I756" t="s">
        <v>325</v>
      </c>
      <c r="J756" t="s">
        <v>266</v>
      </c>
      <c r="K756" t="s">
        <v>118</v>
      </c>
    </row>
    <row r="757" spans="1:11" x14ac:dyDescent="0.35">
      <c r="A757" t="s">
        <v>8</v>
      </c>
      <c r="B757" t="s">
        <v>1</v>
      </c>
      <c r="C757" s="27">
        <v>49.99</v>
      </c>
      <c r="D757">
        <v>10</v>
      </c>
      <c r="E757">
        <v>78</v>
      </c>
      <c r="F757" s="4">
        <f t="shared" si="11"/>
        <v>3899.2200000000003</v>
      </c>
      <c r="G757" t="str">
        <f>IF(Table2[[#This Row],[Sold]]&gt;1000,"High Quality","Normal Quality")</f>
        <v>Normal Quality</v>
      </c>
      <c r="H757" s="12">
        <v>45375.30097222222</v>
      </c>
      <c r="I757" t="s">
        <v>325</v>
      </c>
      <c r="J757" t="s">
        <v>266</v>
      </c>
      <c r="K757" t="s">
        <v>118</v>
      </c>
    </row>
    <row r="758" spans="1:11" x14ac:dyDescent="0.35">
      <c r="A758" t="s">
        <v>13</v>
      </c>
      <c r="B758" t="s">
        <v>3</v>
      </c>
      <c r="C758" s="27">
        <v>39.99</v>
      </c>
      <c r="D758">
        <v>5</v>
      </c>
      <c r="E758">
        <v>5</v>
      </c>
      <c r="F758" s="4">
        <f t="shared" si="11"/>
        <v>199.95000000000002</v>
      </c>
      <c r="G758" t="str">
        <f>IF(Table2[[#This Row],[Sold]]&gt;1000,"High Quality","Normal Quality")</f>
        <v>Normal Quality</v>
      </c>
      <c r="H758" s="12">
        <v>45375.301064814812</v>
      </c>
      <c r="I758" t="s">
        <v>325</v>
      </c>
      <c r="J758" t="s">
        <v>266</v>
      </c>
      <c r="K758" t="s">
        <v>118</v>
      </c>
    </row>
    <row r="759" spans="1:11" x14ac:dyDescent="0.35">
      <c r="A759" t="s">
        <v>15</v>
      </c>
      <c r="B759" t="s">
        <v>1</v>
      </c>
      <c r="C759" s="27">
        <v>27.3</v>
      </c>
      <c r="D759">
        <v>3</v>
      </c>
      <c r="E759">
        <v>179</v>
      </c>
      <c r="F759" s="4">
        <f t="shared" si="11"/>
        <v>4886.7</v>
      </c>
      <c r="G759" t="str">
        <f>IF(Table2[[#This Row],[Sold]]&gt;1000,"High Quality","Normal Quality")</f>
        <v>Normal Quality</v>
      </c>
      <c r="H759" s="12">
        <v>45375.301192129627</v>
      </c>
      <c r="I759" t="s">
        <v>290</v>
      </c>
      <c r="J759" t="s">
        <v>506</v>
      </c>
      <c r="K759" t="s">
        <v>118</v>
      </c>
    </row>
    <row r="760" spans="1:11" x14ac:dyDescent="0.35">
      <c r="A760" t="s">
        <v>10</v>
      </c>
      <c r="B760" t="s">
        <v>3</v>
      </c>
      <c r="C760" s="27">
        <v>29.99</v>
      </c>
      <c r="D760">
        <v>3</v>
      </c>
      <c r="E760">
        <v>10</v>
      </c>
      <c r="F760" s="4">
        <f t="shared" si="11"/>
        <v>299.89999999999998</v>
      </c>
      <c r="G760" t="str">
        <f>IF(Table2[[#This Row],[Sold]]&gt;1000,"High Quality","Normal Quality")</f>
        <v>Normal Quality</v>
      </c>
      <c r="H760" s="12">
        <v>45375.301192129627</v>
      </c>
      <c r="I760" t="s">
        <v>325</v>
      </c>
      <c r="J760" t="s">
        <v>266</v>
      </c>
      <c r="K760" t="s">
        <v>118</v>
      </c>
    </row>
    <row r="761" spans="1:11" x14ac:dyDescent="0.35">
      <c r="A761" t="s">
        <v>17</v>
      </c>
      <c r="B761" t="s">
        <v>1</v>
      </c>
      <c r="C761" s="27">
        <v>69.02</v>
      </c>
      <c r="D761">
        <v>3</v>
      </c>
      <c r="E761">
        <v>370</v>
      </c>
      <c r="F761" s="4">
        <f t="shared" si="11"/>
        <v>25537.399999999998</v>
      </c>
      <c r="G761" t="str">
        <f>IF(Table2[[#This Row],[Sold]]&gt;1000,"High Quality","Normal Quality")</f>
        <v>Normal Quality</v>
      </c>
      <c r="H761" s="12">
        <v>45375.301481481481</v>
      </c>
      <c r="I761" t="s">
        <v>301</v>
      </c>
      <c r="J761" t="s">
        <v>506</v>
      </c>
      <c r="K761" t="s">
        <v>118</v>
      </c>
    </row>
    <row r="762" spans="1:11" x14ac:dyDescent="0.35">
      <c r="A762" t="s">
        <v>73</v>
      </c>
      <c r="B762" t="s">
        <v>37</v>
      </c>
      <c r="C762" s="27">
        <v>17.98</v>
      </c>
      <c r="D762">
        <v>0</v>
      </c>
      <c r="E762">
        <v>150</v>
      </c>
      <c r="F762" s="4">
        <f t="shared" si="11"/>
        <v>2697</v>
      </c>
      <c r="G762" t="str">
        <f>IF(Table2[[#This Row],[Sold]]&gt;1000,"High Quality","Normal Quality")</f>
        <v>Normal Quality</v>
      </c>
      <c r="H762" s="12">
        <v>45375.302118055559</v>
      </c>
      <c r="I762" t="s">
        <v>301</v>
      </c>
      <c r="J762" t="s">
        <v>506</v>
      </c>
      <c r="K762" t="s">
        <v>118</v>
      </c>
    </row>
    <row r="763" spans="1:11" x14ac:dyDescent="0.35">
      <c r="A763" t="s">
        <v>257</v>
      </c>
      <c r="B763" t="s">
        <v>37</v>
      </c>
      <c r="C763" s="27">
        <v>17.170000000000002</v>
      </c>
      <c r="D763">
        <v>0</v>
      </c>
      <c r="E763">
        <v>4</v>
      </c>
      <c r="F763" s="4">
        <f t="shared" si="11"/>
        <v>68.680000000000007</v>
      </c>
      <c r="G763" t="str">
        <f>IF(Table2[[#This Row],[Sold]]&gt;1000,"High Quality","Normal Quality")</f>
        <v>Normal Quality</v>
      </c>
      <c r="H763" s="12">
        <v>45375.30265046296</v>
      </c>
      <c r="I763" t="s">
        <v>348</v>
      </c>
      <c r="J763" t="s">
        <v>282</v>
      </c>
      <c r="K763" t="s">
        <v>118</v>
      </c>
    </row>
    <row r="764" spans="1:11" x14ac:dyDescent="0.35">
      <c r="A764" t="s">
        <v>24</v>
      </c>
      <c r="B764" t="s">
        <v>1</v>
      </c>
      <c r="C764" s="27">
        <v>31.29</v>
      </c>
      <c r="D764">
        <v>0</v>
      </c>
      <c r="E764">
        <v>349</v>
      </c>
      <c r="F764" s="4">
        <f t="shared" si="11"/>
        <v>10920.21</v>
      </c>
      <c r="G764" t="str">
        <f>IF(Table2[[#This Row],[Sold]]&gt;1000,"High Quality","Normal Quality")</f>
        <v>Normal Quality</v>
      </c>
      <c r="H764" s="12">
        <v>45375.302893518521</v>
      </c>
      <c r="I764" t="s">
        <v>291</v>
      </c>
      <c r="J764" t="s">
        <v>274</v>
      </c>
      <c r="K764" t="s">
        <v>118</v>
      </c>
    </row>
    <row r="765" spans="1:11" x14ac:dyDescent="0.35">
      <c r="A765" t="s">
        <v>4</v>
      </c>
      <c r="B765" t="s">
        <v>1</v>
      </c>
      <c r="C765" s="27">
        <v>119.99</v>
      </c>
      <c r="D765">
        <v>8</v>
      </c>
      <c r="E765">
        <v>34</v>
      </c>
      <c r="F765" s="4">
        <f t="shared" si="11"/>
        <v>4079.66</v>
      </c>
      <c r="G765" t="str">
        <f>IF(Table2[[#This Row],[Sold]]&gt;1000,"High Quality","Normal Quality")</f>
        <v>Normal Quality</v>
      </c>
      <c r="H765" s="12">
        <v>45375.303391203706</v>
      </c>
      <c r="I765" t="s">
        <v>506</v>
      </c>
      <c r="J765" t="s">
        <v>294</v>
      </c>
      <c r="K765" t="s">
        <v>333</v>
      </c>
    </row>
    <row r="766" spans="1:11" x14ac:dyDescent="0.35">
      <c r="A766" t="s">
        <v>73</v>
      </c>
      <c r="B766" t="s">
        <v>37</v>
      </c>
      <c r="C766" s="27">
        <v>17.29</v>
      </c>
      <c r="D766">
        <v>3</v>
      </c>
      <c r="E766">
        <v>1370</v>
      </c>
      <c r="F766" s="4">
        <f t="shared" si="11"/>
        <v>23687.3</v>
      </c>
      <c r="G766" t="str">
        <f>IF(Table2[[#This Row],[Sold]]&gt;1000,"High Quality","Normal Quality")</f>
        <v>High Quality</v>
      </c>
      <c r="H766" s="12">
        <v>45375.306342592594</v>
      </c>
      <c r="I766" t="s">
        <v>291</v>
      </c>
      <c r="J766" t="s">
        <v>274</v>
      </c>
      <c r="K766" t="s">
        <v>118</v>
      </c>
    </row>
    <row r="767" spans="1:11" x14ac:dyDescent="0.35">
      <c r="A767" t="s">
        <v>55</v>
      </c>
      <c r="B767" t="s">
        <v>3</v>
      </c>
      <c r="C767" s="27">
        <v>21</v>
      </c>
      <c r="D767">
        <v>10</v>
      </c>
      <c r="E767">
        <v>785</v>
      </c>
      <c r="F767" s="4">
        <f t="shared" si="11"/>
        <v>16485</v>
      </c>
      <c r="G767" t="str">
        <f>IF(Table2[[#This Row],[Sold]]&gt;1000,"High Quality","Normal Quality")</f>
        <v>Normal Quality</v>
      </c>
      <c r="H767" s="12">
        <v>45375.306342592594</v>
      </c>
      <c r="I767" t="s">
        <v>291</v>
      </c>
      <c r="J767" t="s">
        <v>274</v>
      </c>
      <c r="K767" t="s">
        <v>118</v>
      </c>
    </row>
    <row r="768" spans="1:11" x14ac:dyDescent="0.35">
      <c r="A768" t="s">
        <v>81</v>
      </c>
      <c r="B768" t="s">
        <v>3</v>
      </c>
      <c r="C768" s="27">
        <v>41.99</v>
      </c>
      <c r="D768">
        <v>9</v>
      </c>
      <c r="E768">
        <v>248</v>
      </c>
      <c r="F768" s="4">
        <f t="shared" si="11"/>
        <v>10413.52</v>
      </c>
      <c r="G768" t="str">
        <f>IF(Table2[[#This Row],[Sold]]&gt;1000,"High Quality","Normal Quality")</f>
        <v>Normal Quality</v>
      </c>
      <c r="H768" s="12">
        <v>45375.306585648148</v>
      </c>
      <c r="I768" t="s">
        <v>291</v>
      </c>
      <c r="J768" t="s">
        <v>274</v>
      </c>
      <c r="K768" t="s">
        <v>118</v>
      </c>
    </row>
    <row r="769" spans="1:11" x14ac:dyDescent="0.35">
      <c r="A769" t="s">
        <v>29</v>
      </c>
      <c r="B769" t="s">
        <v>3</v>
      </c>
      <c r="C769" s="27">
        <v>29.2</v>
      </c>
      <c r="D769">
        <v>3</v>
      </c>
      <c r="E769">
        <v>121</v>
      </c>
      <c r="F769" s="4">
        <f t="shared" si="11"/>
        <v>3533.2</v>
      </c>
      <c r="G769" t="str">
        <f>IF(Table2[[#This Row],[Sold]]&gt;1000,"High Quality","Normal Quality")</f>
        <v>Normal Quality</v>
      </c>
      <c r="H769" s="12">
        <v>45375.307071759256</v>
      </c>
      <c r="I769" t="s">
        <v>291</v>
      </c>
      <c r="J769" t="s">
        <v>274</v>
      </c>
      <c r="K769" t="s">
        <v>118</v>
      </c>
    </row>
    <row r="770" spans="1:11" x14ac:dyDescent="0.35">
      <c r="A770" t="s">
        <v>231</v>
      </c>
      <c r="B770" t="s">
        <v>3</v>
      </c>
      <c r="C770" s="27">
        <v>70.66</v>
      </c>
      <c r="D770">
        <v>8</v>
      </c>
      <c r="E770">
        <v>720</v>
      </c>
      <c r="F770" s="4">
        <f t="shared" ref="F770:F833" si="12">C:C*E:E</f>
        <v>50875.199999999997</v>
      </c>
      <c r="G770" t="str">
        <f>IF(Table2[[#This Row],[Sold]]&gt;1000,"High Quality","Normal Quality")</f>
        <v>Normal Quality</v>
      </c>
      <c r="H770" s="12">
        <v>45375.311215277776</v>
      </c>
      <c r="I770" t="s">
        <v>291</v>
      </c>
      <c r="J770" t="s">
        <v>274</v>
      </c>
      <c r="K770" t="s">
        <v>118</v>
      </c>
    </row>
    <row r="771" spans="1:11" x14ac:dyDescent="0.35">
      <c r="A771" t="s">
        <v>15</v>
      </c>
      <c r="B771" t="s">
        <v>1</v>
      </c>
      <c r="C771" s="27">
        <v>34.840000000000003</v>
      </c>
      <c r="D771">
        <v>5</v>
      </c>
      <c r="E771">
        <v>4460</v>
      </c>
      <c r="F771" s="4">
        <f t="shared" si="12"/>
        <v>155386.40000000002</v>
      </c>
      <c r="G771" t="str">
        <f>IF(Table2[[#This Row],[Sold]]&gt;1000,"High Quality","Normal Quality")</f>
        <v>High Quality</v>
      </c>
      <c r="H771" s="12">
        <v>45375.314317129632</v>
      </c>
      <c r="I771" t="s">
        <v>290</v>
      </c>
      <c r="J771" t="s">
        <v>506</v>
      </c>
      <c r="K771" t="s">
        <v>118</v>
      </c>
    </row>
    <row r="772" spans="1:11" x14ac:dyDescent="0.35">
      <c r="A772" t="s">
        <v>13</v>
      </c>
      <c r="B772" t="s">
        <v>3</v>
      </c>
      <c r="C772" s="27">
        <v>28.91</v>
      </c>
      <c r="D772">
        <v>10</v>
      </c>
      <c r="E772">
        <v>849</v>
      </c>
      <c r="F772" s="4">
        <f t="shared" si="12"/>
        <v>24544.59</v>
      </c>
      <c r="G772" t="str">
        <f>IF(Table2[[#This Row],[Sold]]&gt;1000,"High Quality","Normal Quality")</f>
        <v>Normal Quality</v>
      </c>
      <c r="H772" s="12">
        <v>45375.314953703702</v>
      </c>
      <c r="I772" t="s">
        <v>291</v>
      </c>
      <c r="J772" t="s">
        <v>274</v>
      </c>
      <c r="K772" t="s">
        <v>118</v>
      </c>
    </row>
    <row r="773" spans="1:11" x14ac:dyDescent="0.35">
      <c r="A773" t="s">
        <v>26</v>
      </c>
      <c r="B773" t="s">
        <v>3</v>
      </c>
      <c r="C773" s="27">
        <v>31.57</v>
      </c>
      <c r="D773">
        <v>10</v>
      </c>
      <c r="E773">
        <v>287</v>
      </c>
      <c r="F773" s="4">
        <f t="shared" si="12"/>
        <v>9060.59</v>
      </c>
      <c r="G773" t="str">
        <f>IF(Table2[[#This Row],[Sold]]&gt;1000,"High Quality","Normal Quality")</f>
        <v>Normal Quality</v>
      </c>
      <c r="H773" s="12">
        <v>45375.316006944442</v>
      </c>
      <c r="I773" t="s">
        <v>290</v>
      </c>
      <c r="J773" t="s">
        <v>506</v>
      </c>
      <c r="K773" t="s">
        <v>118</v>
      </c>
    </row>
    <row r="774" spans="1:11" x14ac:dyDescent="0.35">
      <c r="A774" t="s">
        <v>246</v>
      </c>
      <c r="B774" t="s">
        <v>239</v>
      </c>
      <c r="C774" s="27">
        <v>9.2100000000000009</v>
      </c>
      <c r="D774">
        <v>10</v>
      </c>
      <c r="E774">
        <v>72</v>
      </c>
      <c r="F774" s="4">
        <f t="shared" si="12"/>
        <v>663.12000000000012</v>
      </c>
      <c r="G774" t="str">
        <f>IF(Table2[[#This Row],[Sold]]&gt;1000,"High Quality","Normal Quality")</f>
        <v>Normal Quality</v>
      </c>
      <c r="H774" s="12">
        <v>45375.316238425927</v>
      </c>
      <c r="I774" t="s">
        <v>387</v>
      </c>
      <c r="J774" t="s">
        <v>282</v>
      </c>
      <c r="K774" t="s">
        <v>118</v>
      </c>
    </row>
    <row r="775" spans="1:11" x14ac:dyDescent="0.35">
      <c r="A775" t="s">
        <v>231</v>
      </c>
      <c r="B775" t="s">
        <v>3</v>
      </c>
      <c r="C775" s="27">
        <v>70.650000000000006</v>
      </c>
      <c r="D775">
        <v>0</v>
      </c>
      <c r="E775">
        <v>4802</v>
      </c>
      <c r="F775" s="4">
        <f t="shared" si="12"/>
        <v>339261.30000000005</v>
      </c>
      <c r="G775" t="str">
        <f>IF(Table2[[#This Row],[Sold]]&gt;1000,"High Quality","Normal Quality")</f>
        <v>High Quality</v>
      </c>
      <c r="H775" s="12">
        <v>45375.320162037038</v>
      </c>
      <c r="I775" t="s">
        <v>290</v>
      </c>
      <c r="J775" t="s">
        <v>506</v>
      </c>
      <c r="K775" t="s">
        <v>118</v>
      </c>
    </row>
    <row r="776" spans="1:11" x14ac:dyDescent="0.35">
      <c r="A776" t="s">
        <v>21</v>
      </c>
      <c r="B776" t="s">
        <v>3</v>
      </c>
      <c r="C776" s="27">
        <v>26</v>
      </c>
      <c r="D776">
        <v>0</v>
      </c>
      <c r="E776">
        <v>1337</v>
      </c>
      <c r="F776" s="4">
        <f t="shared" si="12"/>
        <v>34762</v>
      </c>
      <c r="G776" t="str">
        <f>IF(Table2[[#This Row],[Sold]]&gt;1000,"High Quality","Normal Quality")</f>
        <v>High Quality</v>
      </c>
      <c r="H776" s="12">
        <v>45375.320243055554</v>
      </c>
      <c r="I776" t="s">
        <v>291</v>
      </c>
      <c r="J776" t="s">
        <v>274</v>
      </c>
      <c r="K776" t="s">
        <v>118</v>
      </c>
    </row>
    <row r="777" spans="1:11" x14ac:dyDescent="0.35">
      <c r="A777" t="s">
        <v>13</v>
      </c>
      <c r="B777" t="s">
        <v>3</v>
      </c>
      <c r="C777" s="27">
        <v>108.98</v>
      </c>
      <c r="D777">
        <v>0</v>
      </c>
      <c r="E777">
        <v>33</v>
      </c>
      <c r="F777" s="4">
        <f t="shared" si="12"/>
        <v>3596.34</v>
      </c>
      <c r="G777" t="str">
        <f>IF(Table2[[#This Row],[Sold]]&gt;1000,"High Quality","Normal Quality")</f>
        <v>Normal Quality</v>
      </c>
      <c r="H777" s="12">
        <v>45375.321562500001</v>
      </c>
      <c r="I777" t="s">
        <v>290</v>
      </c>
      <c r="J777" t="s">
        <v>506</v>
      </c>
      <c r="K777" t="s">
        <v>118</v>
      </c>
    </row>
    <row r="778" spans="1:11" x14ac:dyDescent="0.35">
      <c r="A778" t="s">
        <v>233</v>
      </c>
      <c r="B778" t="s">
        <v>1</v>
      </c>
      <c r="C778" s="27">
        <v>34.99</v>
      </c>
      <c r="D778">
        <v>10</v>
      </c>
      <c r="E778">
        <v>19</v>
      </c>
      <c r="F778" s="4">
        <f t="shared" si="12"/>
        <v>664.81000000000006</v>
      </c>
      <c r="G778" t="str">
        <f>IF(Table2[[#This Row],[Sold]]&gt;1000,"High Quality","Normal Quality")</f>
        <v>Normal Quality</v>
      </c>
      <c r="H778" s="12">
        <v>45375.321701388886</v>
      </c>
      <c r="I778" t="s">
        <v>509</v>
      </c>
      <c r="J778" t="s">
        <v>505</v>
      </c>
      <c r="K778" t="s">
        <v>118</v>
      </c>
    </row>
    <row r="779" spans="1:11" x14ac:dyDescent="0.35">
      <c r="A779" t="s">
        <v>2</v>
      </c>
      <c r="B779" t="s">
        <v>1</v>
      </c>
      <c r="C779" s="27">
        <v>13</v>
      </c>
      <c r="D779">
        <v>3</v>
      </c>
      <c r="E779">
        <v>11</v>
      </c>
      <c r="F779" s="4">
        <f t="shared" si="12"/>
        <v>143</v>
      </c>
      <c r="G779" t="str">
        <f>IF(Table2[[#This Row],[Sold]]&gt;1000,"High Quality","Normal Quality")</f>
        <v>Normal Quality</v>
      </c>
      <c r="H779" s="12">
        <v>45375.327407407407</v>
      </c>
      <c r="I779" t="s">
        <v>506</v>
      </c>
      <c r="J779" t="s">
        <v>505</v>
      </c>
      <c r="K779" t="s">
        <v>118</v>
      </c>
    </row>
    <row r="780" spans="1:11" x14ac:dyDescent="0.35">
      <c r="A780" t="s">
        <v>9</v>
      </c>
      <c r="B780" t="s">
        <v>3</v>
      </c>
      <c r="C780" s="27">
        <v>34.99</v>
      </c>
      <c r="D780">
        <v>4</v>
      </c>
      <c r="E780">
        <v>615</v>
      </c>
      <c r="F780" s="4">
        <f t="shared" si="12"/>
        <v>21518.850000000002</v>
      </c>
      <c r="G780" t="str">
        <f>IF(Table2[[#This Row],[Sold]]&gt;1000,"High Quality","Normal Quality")</f>
        <v>Normal Quality</v>
      </c>
      <c r="H780" s="12">
        <v>45375.328738425924</v>
      </c>
      <c r="I780" t="s">
        <v>279</v>
      </c>
      <c r="J780" t="s">
        <v>266</v>
      </c>
      <c r="K780" t="s">
        <v>118</v>
      </c>
    </row>
    <row r="781" spans="1:11" x14ac:dyDescent="0.35">
      <c r="A781" t="s">
        <v>4</v>
      </c>
      <c r="B781" t="s">
        <v>3</v>
      </c>
      <c r="C781" s="27">
        <v>29.99</v>
      </c>
      <c r="D781">
        <v>10</v>
      </c>
      <c r="E781">
        <v>179</v>
      </c>
      <c r="F781" s="4">
        <f t="shared" si="12"/>
        <v>5368.21</v>
      </c>
      <c r="G781" t="str">
        <f>IF(Table2[[#This Row],[Sold]]&gt;1000,"High Quality","Normal Quality")</f>
        <v>Normal Quality</v>
      </c>
      <c r="H781" s="12">
        <v>45375.328912037039</v>
      </c>
      <c r="I781" t="s">
        <v>279</v>
      </c>
      <c r="J781" t="s">
        <v>266</v>
      </c>
      <c r="K781" t="s">
        <v>118</v>
      </c>
    </row>
    <row r="782" spans="1:11" x14ac:dyDescent="0.35">
      <c r="A782" t="s">
        <v>232</v>
      </c>
      <c r="B782" t="s">
        <v>3</v>
      </c>
      <c r="C782" s="27">
        <v>28.25</v>
      </c>
      <c r="D782">
        <v>10</v>
      </c>
      <c r="E782">
        <v>12583</v>
      </c>
      <c r="F782" s="4">
        <f t="shared" si="12"/>
        <v>355469.75</v>
      </c>
      <c r="G782" t="str">
        <f>IF(Table2[[#This Row],[Sold]]&gt;1000,"High Quality","Normal Quality")</f>
        <v>High Quality</v>
      </c>
      <c r="H782" s="12">
        <v>45375.329004629632</v>
      </c>
      <c r="I782" t="s">
        <v>290</v>
      </c>
      <c r="J782" t="s">
        <v>506</v>
      </c>
      <c r="K782" t="s">
        <v>118</v>
      </c>
    </row>
    <row r="783" spans="1:11" x14ac:dyDescent="0.35">
      <c r="A783" t="s">
        <v>239</v>
      </c>
      <c r="B783" t="s">
        <v>1</v>
      </c>
      <c r="C783" s="27">
        <v>55.16</v>
      </c>
      <c r="D783">
        <v>0</v>
      </c>
      <c r="E783">
        <v>3110</v>
      </c>
      <c r="F783" s="4">
        <f t="shared" si="12"/>
        <v>171547.59999999998</v>
      </c>
      <c r="G783" t="str">
        <f>IF(Table2[[#This Row],[Sold]]&gt;1000,"High Quality","Normal Quality")</f>
        <v>High Quality</v>
      </c>
      <c r="H783" s="12">
        <v>45375.329050925924</v>
      </c>
      <c r="I783" t="s">
        <v>290</v>
      </c>
      <c r="J783" t="s">
        <v>506</v>
      </c>
      <c r="K783" t="s">
        <v>118</v>
      </c>
    </row>
    <row r="784" spans="1:11" x14ac:dyDescent="0.35">
      <c r="A784" t="s">
        <v>72</v>
      </c>
      <c r="B784" t="s">
        <v>3</v>
      </c>
      <c r="C784" s="27">
        <v>26.52</v>
      </c>
      <c r="D784">
        <v>0</v>
      </c>
      <c r="E784">
        <v>1866</v>
      </c>
      <c r="F784" s="4">
        <f t="shared" si="12"/>
        <v>49486.32</v>
      </c>
      <c r="G784" t="str">
        <f>IF(Table2[[#This Row],[Sold]]&gt;1000,"High Quality","Normal Quality")</f>
        <v>High Quality</v>
      </c>
      <c r="H784" s="12">
        <v>45375.329965277779</v>
      </c>
      <c r="I784" t="s">
        <v>291</v>
      </c>
      <c r="J784" t="s">
        <v>274</v>
      </c>
      <c r="K784" t="s">
        <v>118</v>
      </c>
    </row>
    <row r="785" spans="1:11" x14ac:dyDescent="0.35">
      <c r="A785" t="s">
        <v>33</v>
      </c>
      <c r="B785" t="s">
        <v>1</v>
      </c>
      <c r="C785" s="27">
        <v>202.95</v>
      </c>
      <c r="D785">
        <v>0</v>
      </c>
      <c r="E785">
        <v>18</v>
      </c>
      <c r="F785" s="4">
        <f t="shared" si="12"/>
        <v>3653.1</v>
      </c>
      <c r="G785" t="str">
        <f>IF(Table2[[#This Row],[Sold]]&gt;1000,"High Quality","Normal Quality")</f>
        <v>Normal Quality</v>
      </c>
      <c r="H785" s="12">
        <v>45375.33017361111</v>
      </c>
      <c r="I785" t="s">
        <v>301</v>
      </c>
      <c r="J785" t="s">
        <v>506</v>
      </c>
      <c r="K785" t="s">
        <v>118</v>
      </c>
    </row>
    <row r="786" spans="1:11" x14ac:dyDescent="0.35">
      <c r="A786" t="s">
        <v>7</v>
      </c>
      <c r="B786" t="s">
        <v>1</v>
      </c>
      <c r="C786" s="27">
        <v>29.99</v>
      </c>
      <c r="D786">
        <v>5</v>
      </c>
      <c r="E786">
        <v>42</v>
      </c>
      <c r="F786" s="4">
        <f t="shared" si="12"/>
        <v>1259.58</v>
      </c>
      <c r="G786" t="str">
        <f>IF(Table2[[#This Row],[Sold]]&gt;1000,"High Quality","Normal Quality")</f>
        <v>Normal Quality</v>
      </c>
      <c r="H786" s="12">
        <v>45375.330405092594</v>
      </c>
      <c r="I786" t="s">
        <v>285</v>
      </c>
      <c r="J786" t="s">
        <v>286</v>
      </c>
      <c r="K786" t="s">
        <v>118</v>
      </c>
    </row>
    <row r="787" spans="1:11" x14ac:dyDescent="0.35">
      <c r="A787" t="s">
        <v>16</v>
      </c>
      <c r="B787" t="s">
        <v>1</v>
      </c>
      <c r="C787" s="27">
        <v>22.79</v>
      </c>
      <c r="D787">
        <v>52</v>
      </c>
      <c r="E787">
        <v>7</v>
      </c>
      <c r="F787" s="4">
        <f t="shared" si="12"/>
        <v>159.53</v>
      </c>
      <c r="G787" t="str">
        <f>IF(Table2[[#This Row],[Sold]]&gt;1000,"High Quality","Normal Quality")</f>
        <v>Normal Quality</v>
      </c>
      <c r="H787" s="12">
        <v>45375.33048611111</v>
      </c>
      <c r="I787" t="s">
        <v>301</v>
      </c>
      <c r="J787" t="s">
        <v>506</v>
      </c>
      <c r="K787" t="s">
        <v>118</v>
      </c>
    </row>
    <row r="788" spans="1:11" x14ac:dyDescent="0.35">
      <c r="A788" t="s">
        <v>233</v>
      </c>
      <c r="B788" t="s">
        <v>1</v>
      </c>
      <c r="C788" s="27">
        <v>155.65</v>
      </c>
      <c r="D788">
        <v>0</v>
      </c>
      <c r="E788">
        <v>593</v>
      </c>
      <c r="F788" s="4">
        <f t="shared" si="12"/>
        <v>92300.45</v>
      </c>
      <c r="G788" t="str">
        <f>IF(Table2[[#This Row],[Sold]]&gt;1000,"High Quality","Normal Quality")</f>
        <v>Normal Quality</v>
      </c>
      <c r="H788" s="12">
        <v>45375.330775462964</v>
      </c>
      <c r="I788" t="s">
        <v>301</v>
      </c>
      <c r="J788" t="s">
        <v>506</v>
      </c>
      <c r="K788" t="s">
        <v>118</v>
      </c>
    </row>
    <row r="789" spans="1:11" x14ac:dyDescent="0.35">
      <c r="A789" t="s">
        <v>5</v>
      </c>
      <c r="B789" t="s">
        <v>1</v>
      </c>
      <c r="C789" s="27">
        <v>16.91</v>
      </c>
      <c r="D789">
        <v>2</v>
      </c>
      <c r="E789">
        <v>156</v>
      </c>
      <c r="F789" s="4">
        <f t="shared" si="12"/>
        <v>2637.96</v>
      </c>
      <c r="G789" t="str">
        <f>IF(Table2[[#This Row],[Sold]]&gt;1000,"High Quality","Normal Quality")</f>
        <v>Normal Quality</v>
      </c>
      <c r="H789" s="12">
        <v>45375.33084490741</v>
      </c>
      <c r="I789" t="s">
        <v>509</v>
      </c>
      <c r="J789" t="s">
        <v>505</v>
      </c>
      <c r="K789" t="s">
        <v>118</v>
      </c>
    </row>
    <row r="790" spans="1:11" x14ac:dyDescent="0.35">
      <c r="A790" t="s">
        <v>27</v>
      </c>
      <c r="B790" t="s">
        <v>3</v>
      </c>
      <c r="C790" s="27">
        <v>32.97</v>
      </c>
      <c r="D790">
        <v>10</v>
      </c>
      <c r="E790">
        <v>5023</v>
      </c>
      <c r="F790" s="4">
        <f t="shared" si="12"/>
        <v>165608.31</v>
      </c>
      <c r="G790" t="str">
        <f>IF(Table2[[#This Row],[Sold]]&gt;1000,"High Quality","Normal Quality")</f>
        <v>High Quality</v>
      </c>
      <c r="H790" s="12">
        <v>45375.331817129627</v>
      </c>
      <c r="I790" t="s">
        <v>291</v>
      </c>
      <c r="J790" t="s">
        <v>274</v>
      </c>
      <c r="K790" t="s">
        <v>118</v>
      </c>
    </row>
    <row r="791" spans="1:11" x14ac:dyDescent="0.35">
      <c r="A791" t="s">
        <v>21</v>
      </c>
      <c r="B791" t="s">
        <v>3</v>
      </c>
      <c r="C791" s="27">
        <v>46.33</v>
      </c>
      <c r="D791">
        <v>56</v>
      </c>
      <c r="E791">
        <v>30655</v>
      </c>
      <c r="F791" s="4">
        <f t="shared" si="12"/>
        <v>1420246.15</v>
      </c>
      <c r="G791" t="str">
        <f>IF(Table2[[#This Row],[Sold]]&gt;1000,"High Quality","Normal Quality")</f>
        <v>High Quality</v>
      </c>
      <c r="H791" s="12">
        <v>45375.331956018519</v>
      </c>
      <c r="I791" t="s">
        <v>290</v>
      </c>
      <c r="J791" t="s">
        <v>506</v>
      </c>
      <c r="K791" t="s">
        <v>118</v>
      </c>
    </row>
    <row r="792" spans="1:11" x14ac:dyDescent="0.35">
      <c r="A792" t="s">
        <v>17</v>
      </c>
      <c r="B792" t="s">
        <v>45</v>
      </c>
      <c r="C792" s="27">
        <v>50.08</v>
      </c>
      <c r="D792">
        <v>9</v>
      </c>
      <c r="E792">
        <v>182</v>
      </c>
      <c r="F792" s="4">
        <f t="shared" si="12"/>
        <v>9114.56</v>
      </c>
      <c r="G792" t="str">
        <f>IF(Table2[[#This Row],[Sold]]&gt;1000,"High Quality","Normal Quality")</f>
        <v>Normal Quality</v>
      </c>
      <c r="H792" s="12">
        <v>45375.332141203704</v>
      </c>
      <c r="I792" t="s">
        <v>301</v>
      </c>
      <c r="J792" t="s">
        <v>506</v>
      </c>
      <c r="K792" t="s">
        <v>118</v>
      </c>
    </row>
    <row r="793" spans="1:11" x14ac:dyDescent="0.35">
      <c r="A793" t="s">
        <v>252</v>
      </c>
      <c r="B793" t="s">
        <v>1</v>
      </c>
      <c r="C793" s="27">
        <v>36.67</v>
      </c>
      <c r="D793">
        <v>37</v>
      </c>
      <c r="E793">
        <v>169</v>
      </c>
      <c r="F793" s="4">
        <f t="shared" si="12"/>
        <v>6197.2300000000005</v>
      </c>
      <c r="G793" t="str">
        <f>IF(Table2[[#This Row],[Sold]]&gt;1000,"High Quality","Normal Quality")</f>
        <v>Normal Quality</v>
      </c>
      <c r="H793" s="12">
        <v>45375.332476851851</v>
      </c>
      <c r="I793" t="s">
        <v>301</v>
      </c>
      <c r="J793" t="s">
        <v>506</v>
      </c>
      <c r="K793" t="s">
        <v>118</v>
      </c>
    </row>
    <row r="794" spans="1:11" x14ac:dyDescent="0.35">
      <c r="A794" t="s">
        <v>255</v>
      </c>
      <c r="B794" t="s">
        <v>45</v>
      </c>
      <c r="C794" s="27">
        <v>40.72</v>
      </c>
      <c r="D794">
        <v>0</v>
      </c>
      <c r="E794">
        <v>232</v>
      </c>
      <c r="F794" s="4">
        <f t="shared" si="12"/>
        <v>9447.0399999999991</v>
      </c>
      <c r="G794" t="str">
        <f>IF(Table2[[#This Row],[Sold]]&gt;1000,"High Quality","Normal Quality")</f>
        <v>Normal Quality</v>
      </c>
      <c r="H794" s="12">
        <v>45375.332569444443</v>
      </c>
      <c r="I794" t="s">
        <v>301</v>
      </c>
      <c r="J794" t="s">
        <v>506</v>
      </c>
      <c r="K794" t="s">
        <v>118</v>
      </c>
    </row>
    <row r="795" spans="1:11" x14ac:dyDescent="0.35">
      <c r="A795" t="s">
        <v>8</v>
      </c>
      <c r="B795" t="s">
        <v>3</v>
      </c>
      <c r="C795" s="27">
        <v>68.3</v>
      </c>
      <c r="D795">
        <v>0</v>
      </c>
      <c r="E795">
        <v>137</v>
      </c>
      <c r="F795" s="4">
        <f t="shared" si="12"/>
        <v>9357.1</v>
      </c>
      <c r="G795" t="str">
        <f>IF(Table2[[#This Row],[Sold]]&gt;1000,"High Quality","Normal Quality")</f>
        <v>Normal Quality</v>
      </c>
      <c r="H795" s="12">
        <v>45375.332673611112</v>
      </c>
      <c r="I795" t="s">
        <v>290</v>
      </c>
      <c r="J795" t="s">
        <v>506</v>
      </c>
      <c r="K795" t="s">
        <v>118</v>
      </c>
    </row>
    <row r="796" spans="1:11" x14ac:dyDescent="0.35">
      <c r="A796" t="s">
        <v>41</v>
      </c>
      <c r="B796" t="s">
        <v>3</v>
      </c>
      <c r="C796" s="27">
        <v>25.43</v>
      </c>
      <c r="D796">
        <v>3</v>
      </c>
      <c r="E796">
        <v>1925</v>
      </c>
      <c r="F796" s="4">
        <f t="shared" si="12"/>
        <v>48952.75</v>
      </c>
      <c r="G796" t="str">
        <f>IF(Table2[[#This Row],[Sold]]&gt;1000,"High Quality","Normal Quality")</f>
        <v>High Quality</v>
      </c>
      <c r="H796" s="12">
        <v>45375.334803240738</v>
      </c>
      <c r="I796" t="s">
        <v>291</v>
      </c>
      <c r="J796" t="s">
        <v>274</v>
      </c>
      <c r="K796" t="s">
        <v>118</v>
      </c>
    </row>
    <row r="797" spans="1:11" x14ac:dyDescent="0.35">
      <c r="A797" t="s">
        <v>10</v>
      </c>
      <c r="B797" t="s">
        <v>1</v>
      </c>
      <c r="C797" s="27">
        <v>65.97</v>
      </c>
      <c r="D797">
        <v>272</v>
      </c>
      <c r="E797">
        <v>37</v>
      </c>
      <c r="F797" s="4">
        <f t="shared" si="12"/>
        <v>2440.89</v>
      </c>
      <c r="G797" t="str">
        <f>IF(Table2[[#This Row],[Sold]]&gt;1000,"High Quality","Normal Quality")</f>
        <v>Normal Quality</v>
      </c>
      <c r="H797" s="12">
        <v>45375.339305555557</v>
      </c>
      <c r="I797" t="s">
        <v>511</v>
      </c>
      <c r="J797" t="s">
        <v>274</v>
      </c>
      <c r="K797" t="s">
        <v>118</v>
      </c>
    </row>
    <row r="798" spans="1:11" x14ac:dyDescent="0.35">
      <c r="A798" t="s">
        <v>229</v>
      </c>
      <c r="B798" t="s">
        <v>3</v>
      </c>
      <c r="C798" s="27">
        <v>50.44</v>
      </c>
      <c r="D798">
        <v>8</v>
      </c>
      <c r="E798">
        <v>636</v>
      </c>
      <c r="F798" s="4">
        <f t="shared" si="12"/>
        <v>32079.84</v>
      </c>
      <c r="G798" t="str">
        <f>IF(Table2[[#This Row],[Sold]]&gt;1000,"High Quality","Normal Quality")</f>
        <v>Normal Quality</v>
      </c>
      <c r="H798" s="12">
        <v>45375.33966435185</v>
      </c>
      <c r="I798" t="s">
        <v>291</v>
      </c>
      <c r="J798" t="s">
        <v>274</v>
      </c>
      <c r="K798" t="s">
        <v>118</v>
      </c>
    </row>
    <row r="799" spans="1:11" x14ac:dyDescent="0.35">
      <c r="A799" t="s">
        <v>9</v>
      </c>
      <c r="B799" t="s">
        <v>3</v>
      </c>
      <c r="C799" s="27">
        <v>23.34</v>
      </c>
      <c r="D799">
        <v>4</v>
      </c>
      <c r="E799">
        <v>972</v>
      </c>
      <c r="F799" s="4">
        <f t="shared" si="12"/>
        <v>22686.48</v>
      </c>
      <c r="G799" t="str">
        <f>IF(Table2[[#This Row],[Sold]]&gt;1000,"High Quality","Normal Quality")</f>
        <v>Normal Quality</v>
      </c>
      <c r="H799" s="12">
        <v>45375.339699074073</v>
      </c>
      <c r="I799" t="s">
        <v>291</v>
      </c>
      <c r="J799" t="s">
        <v>274</v>
      </c>
      <c r="K799" t="s">
        <v>118</v>
      </c>
    </row>
    <row r="800" spans="1:11" x14ac:dyDescent="0.35">
      <c r="A800" t="s">
        <v>4</v>
      </c>
      <c r="B800" t="s">
        <v>3</v>
      </c>
      <c r="C800" s="27">
        <v>29.99</v>
      </c>
      <c r="D800">
        <v>199</v>
      </c>
      <c r="E800">
        <v>588</v>
      </c>
      <c r="F800" s="4">
        <f t="shared" si="12"/>
        <v>17634.12</v>
      </c>
      <c r="G800" t="str">
        <f>IF(Table2[[#This Row],[Sold]]&gt;1000,"High Quality","Normal Quality")</f>
        <v>Normal Quality</v>
      </c>
      <c r="H800" s="12">
        <v>45375.339918981481</v>
      </c>
      <c r="I800" t="s">
        <v>325</v>
      </c>
      <c r="J800" t="s">
        <v>266</v>
      </c>
      <c r="K800" t="s">
        <v>118</v>
      </c>
    </row>
    <row r="801" spans="1:11" x14ac:dyDescent="0.35">
      <c r="A801" t="s">
        <v>10</v>
      </c>
      <c r="B801" t="s">
        <v>3</v>
      </c>
      <c r="C801" s="27">
        <v>33.99</v>
      </c>
      <c r="D801">
        <v>10</v>
      </c>
      <c r="E801">
        <v>573</v>
      </c>
      <c r="F801" s="4">
        <f t="shared" si="12"/>
        <v>19476.27</v>
      </c>
      <c r="G801" t="str">
        <f>IF(Table2[[#This Row],[Sold]]&gt;1000,"High Quality","Normal Quality")</f>
        <v>Normal Quality</v>
      </c>
      <c r="H801" s="12">
        <v>45375.340011574073</v>
      </c>
      <c r="I801" t="s">
        <v>325</v>
      </c>
      <c r="J801" t="s">
        <v>266</v>
      </c>
      <c r="K801" t="s">
        <v>118</v>
      </c>
    </row>
    <row r="802" spans="1:11" x14ac:dyDescent="0.35">
      <c r="A802" t="s">
        <v>36</v>
      </c>
      <c r="B802" t="s">
        <v>37</v>
      </c>
      <c r="C802" s="27">
        <v>38.99</v>
      </c>
      <c r="D802">
        <v>4</v>
      </c>
      <c r="E802">
        <v>919</v>
      </c>
      <c r="F802" s="4">
        <f t="shared" si="12"/>
        <v>35831.810000000005</v>
      </c>
      <c r="G802" t="str">
        <f>IF(Table2[[#This Row],[Sold]]&gt;1000,"High Quality","Normal Quality")</f>
        <v>Normal Quality</v>
      </c>
      <c r="H802" s="12">
        <v>45375.340150462966</v>
      </c>
      <c r="I802" t="s">
        <v>325</v>
      </c>
      <c r="J802" t="s">
        <v>266</v>
      </c>
      <c r="K802" t="s">
        <v>118</v>
      </c>
    </row>
    <row r="803" spans="1:11" x14ac:dyDescent="0.35">
      <c r="A803" t="s">
        <v>223</v>
      </c>
      <c r="B803" t="s">
        <v>3</v>
      </c>
      <c r="C803" s="27">
        <v>20.28</v>
      </c>
      <c r="D803">
        <v>0</v>
      </c>
      <c r="E803">
        <v>1613</v>
      </c>
      <c r="F803" s="4">
        <f t="shared" si="12"/>
        <v>32711.640000000003</v>
      </c>
      <c r="G803" t="str">
        <f>IF(Table2[[#This Row],[Sold]]&gt;1000,"High Quality","Normal Quality")</f>
        <v>High Quality</v>
      </c>
      <c r="H803" s="12">
        <v>45375.343136574076</v>
      </c>
      <c r="I803" t="s">
        <v>291</v>
      </c>
      <c r="J803" t="s">
        <v>274</v>
      </c>
      <c r="K803" t="s">
        <v>118</v>
      </c>
    </row>
    <row r="804" spans="1:11" x14ac:dyDescent="0.35">
      <c r="A804" t="s">
        <v>14</v>
      </c>
      <c r="B804" t="s">
        <v>1</v>
      </c>
      <c r="C804" s="27">
        <v>37.99</v>
      </c>
      <c r="D804">
        <v>2</v>
      </c>
      <c r="E804">
        <v>44</v>
      </c>
      <c r="F804" s="4">
        <f t="shared" si="12"/>
        <v>1671.5600000000002</v>
      </c>
      <c r="G804" t="str">
        <f>IF(Table2[[#This Row],[Sold]]&gt;1000,"High Quality","Normal Quality")</f>
        <v>Normal Quality</v>
      </c>
      <c r="H804" s="12">
        <v>45375.343553240738</v>
      </c>
      <c r="I804" t="s">
        <v>285</v>
      </c>
      <c r="J804" t="s">
        <v>286</v>
      </c>
      <c r="K804" t="s">
        <v>118</v>
      </c>
    </row>
    <row r="805" spans="1:11" x14ac:dyDescent="0.35">
      <c r="A805" t="s">
        <v>9</v>
      </c>
      <c r="B805" t="s">
        <v>1</v>
      </c>
      <c r="C805" s="27">
        <v>52.97</v>
      </c>
      <c r="D805">
        <v>0</v>
      </c>
      <c r="E805">
        <v>1683</v>
      </c>
      <c r="F805" s="4">
        <f t="shared" si="12"/>
        <v>89148.51</v>
      </c>
      <c r="G805" t="str">
        <f>IF(Table2[[#This Row],[Sold]]&gt;1000,"High Quality","Normal Quality")</f>
        <v>High Quality</v>
      </c>
      <c r="H805" s="12">
        <v>45375.343692129631</v>
      </c>
      <c r="I805" t="s">
        <v>290</v>
      </c>
      <c r="J805" t="s">
        <v>506</v>
      </c>
      <c r="K805" t="s">
        <v>118</v>
      </c>
    </row>
    <row r="806" spans="1:11" x14ac:dyDescent="0.35">
      <c r="A806" t="s">
        <v>32</v>
      </c>
      <c r="B806" t="s">
        <v>3</v>
      </c>
      <c r="C806" s="27">
        <v>24.14</v>
      </c>
      <c r="D806">
        <v>10</v>
      </c>
      <c r="E806">
        <v>9265</v>
      </c>
      <c r="F806" s="4">
        <f t="shared" si="12"/>
        <v>223657.1</v>
      </c>
      <c r="G806" t="str">
        <f>IF(Table2[[#This Row],[Sold]]&gt;1000,"High Quality","Normal Quality")</f>
        <v>High Quality</v>
      </c>
      <c r="H806" s="12">
        <v>45375.344583333332</v>
      </c>
      <c r="I806" t="s">
        <v>290</v>
      </c>
      <c r="J806" t="s">
        <v>506</v>
      </c>
      <c r="K806" t="s">
        <v>118</v>
      </c>
    </row>
    <row r="807" spans="1:11" x14ac:dyDescent="0.35">
      <c r="A807" t="s">
        <v>70</v>
      </c>
      <c r="B807" t="s">
        <v>1</v>
      </c>
      <c r="C807" s="27">
        <v>180.17</v>
      </c>
      <c r="D807">
        <v>0</v>
      </c>
      <c r="E807">
        <v>327</v>
      </c>
      <c r="F807" s="4">
        <f t="shared" si="12"/>
        <v>58915.59</v>
      </c>
      <c r="G807" t="str">
        <f>IF(Table2[[#This Row],[Sold]]&gt;1000,"High Quality","Normal Quality")</f>
        <v>Normal Quality</v>
      </c>
      <c r="H807" s="12">
        <v>45375.344594907408</v>
      </c>
      <c r="I807" t="s">
        <v>290</v>
      </c>
      <c r="J807" t="s">
        <v>506</v>
      </c>
      <c r="K807" t="s">
        <v>118</v>
      </c>
    </row>
    <row r="808" spans="1:11" x14ac:dyDescent="0.35">
      <c r="A808" t="s">
        <v>136</v>
      </c>
      <c r="B808" t="s">
        <v>3</v>
      </c>
      <c r="C808" s="27">
        <v>59.63</v>
      </c>
      <c r="D808">
        <v>7</v>
      </c>
      <c r="E808">
        <v>48</v>
      </c>
      <c r="F808" s="4">
        <f t="shared" si="12"/>
        <v>2862.2400000000002</v>
      </c>
      <c r="G808" t="str">
        <f>IF(Table2[[#This Row],[Sold]]&gt;1000,"High Quality","Normal Quality")</f>
        <v>Normal Quality</v>
      </c>
      <c r="H808" s="12">
        <v>45375.347361111111</v>
      </c>
      <c r="I808" t="s">
        <v>291</v>
      </c>
      <c r="J808" t="s">
        <v>274</v>
      </c>
      <c r="K808" t="s">
        <v>118</v>
      </c>
    </row>
    <row r="809" spans="1:11" x14ac:dyDescent="0.35">
      <c r="A809" t="s">
        <v>209</v>
      </c>
      <c r="B809" t="s">
        <v>3</v>
      </c>
      <c r="C809" s="27">
        <v>47.99</v>
      </c>
      <c r="D809">
        <v>3</v>
      </c>
      <c r="E809">
        <v>165</v>
      </c>
      <c r="F809" s="4">
        <f t="shared" si="12"/>
        <v>7918.35</v>
      </c>
      <c r="G809" t="str">
        <f>IF(Table2[[#This Row],[Sold]]&gt;1000,"High Quality","Normal Quality")</f>
        <v>Normal Quality</v>
      </c>
      <c r="H809" s="12">
        <v>45375.347673611112</v>
      </c>
      <c r="I809" t="s">
        <v>511</v>
      </c>
      <c r="J809" t="s">
        <v>274</v>
      </c>
      <c r="K809" t="s">
        <v>118</v>
      </c>
    </row>
    <row r="810" spans="1:11" x14ac:dyDescent="0.35">
      <c r="A810" t="s">
        <v>236</v>
      </c>
      <c r="B810" t="s">
        <v>3</v>
      </c>
      <c r="C810" s="27">
        <v>54.92</v>
      </c>
      <c r="D810">
        <v>6</v>
      </c>
      <c r="E810">
        <v>2465</v>
      </c>
      <c r="F810" s="4">
        <f t="shared" si="12"/>
        <v>135377.80000000002</v>
      </c>
      <c r="G810" t="str">
        <f>IF(Table2[[#This Row],[Sold]]&gt;1000,"High Quality","Normal Quality")</f>
        <v>High Quality</v>
      </c>
      <c r="H810" s="12">
        <v>45375.348009259258</v>
      </c>
      <c r="I810" t="s">
        <v>291</v>
      </c>
      <c r="J810" t="s">
        <v>274</v>
      </c>
      <c r="K810" t="s">
        <v>118</v>
      </c>
    </row>
    <row r="811" spans="1:11" x14ac:dyDescent="0.35">
      <c r="A811" t="s">
        <v>12</v>
      </c>
      <c r="B811" t="s">
        <v>3</v>
      </c>
      <c r="C811" s="27">
        <v>39.99</v>
      </c>
      <c r="D811">
        <v>10</v>
      </c>
      <c r="E811">
        <v>4</v>
      </c>
      <c r="F811" s="4">
        <f t="shared" si="12"/>
        <v>159.96</v>
      </c>
      <c r="G811" t="str">
        <f>IF(Table2[[#This Row],[Sold]]&gt;1000,"High Quality","Normal Quality")</f>
        <v>Normal Quality</v>
      </c>
      <c r="H811" s="12">
        <v>45375.350543981483</v>
      </c>
      <c r="I811" t="s">
        <v>377</v>
      </c>
      <c r="J811" t="s">
        <v>506</v>
      </c>
      <c r="K811" t="s">
        <v>118</v>
      </c>
    </row>
    <row r="812" spans="1:11" x14ac:dyDescent="0.35">
      <c r="A812" t="s">
        <v>4</v>
      </c>
      <c r="B812" t="s">
        <v>3</v>
      </c>
      <c r="C812" s="27">
        <v>29.99</v>
      </c>
      <c r="D812">
        <v>10</v>
      </c>
      <c r="E812">
        <v>141</v>
      </c>
      <c r="F812" s="4">
        <f t="shared" si="12"/>
        <v>4228.59</v>
      </c>
      <c r="G812" t="str">
        <f>IF(Table2[[#This Row],[Sold]]&gt;1000,"High Quality","Normal Quality")</f>
        <v>Normal Quality</v>
      </c>
      <c r="H812" s="12">
        <v>45375.35125</v>
      </c>
      <c r="I812" t="s">
        <v>449</v>
      </c>
      <c r="J812" t="s">
        <v>266</v>
      </c>
      <c r="K812" t="s">
        <v>118</v>
      </c>
    </row>
    <row r="813" spans="1:11" x14ac:dyDescent="0.35">
      <c r="A813" t="s">
        <v>236</v>
      </c>
      <c r="B813" t="s">
        <v>3</v>
      </c>
      <c r="C813" s="27">
        <v>54.91</v>
      </c>
      <c r="D813">
        <v>6</v>
      </c>
      <c r="E813">
        <v>2206</v>
      </c>
      <c r="F813" s="4">
        <f t="shared" si="12"/>
        <v>121131.45999999999</v>
      </c>
      <c r="G813" t="str">
        <f>IF(Table2[[#This Row],[Sold]]&gt;1000,"High Quality","Normal Quality")</f>
        <v>High Quality</v>
      </c>
      <c r="H813" s="12">
        <v>45375.353495370371</v>
      </c>
      <c r="I813" t="s">
        <v>290</v>
      </c>
      <c r="J813" t="s">
        <v>506</v>
      </c>
      <c r="K813" t="s">
        <v>118</v>
      </c>
    </row>
    <row r="814" spans="1:11" x14ac:dyDescent="0.35">
      <c r="A814" t="s">
        <v>93</v>
      </c>
      <c r="B814" t="s">
        <v>1</v>
      </c>
      <c r="C814" s="27">
        <v>13.94</v>
      </c>
      <c r="D814">
        <v>10</v>
      </c>
      <c r="E814">
        <v>66</v>
      </c>
      <c r="F814" s="4">
        <f t="shared" si="12"/>
        <v>920.04</v>
      </c>
      <c r="G814" t="str">
        <f>IF(Table2[[#This Row],[Sold]]&gt;1000,"High Quality","Normal Quality")</f>
        <v>Normal Quality</v>
      </c>
      <c r="H814" s="12">
        <v>45375.354421296295</v>
      </c>
      <c r="I814" t="s">
        <v>382</v>
      </c>
      <c r="J814" t="s">
        <v>267</v>
      </c>
      <c r="K814" t="s">
        <v>118</v>
      </c>
    </row>
    <row r="815" spans="1:11" x14ac:dyDescent="0.35">
      <c r="A815" t="s">
        <v>21</v>
      </c>
      <c r="B815" t="s">
        <v>1</v>
      </c>
      <c r="C815" s="27">
        <v>89.97</v>
      </c>
      <c r="D815">
        <v>258</v>
      </c>
      <c r="E815">
        <v>920</v>
      </c>
      <c r="F815" s="4">
        <f t="shared" si="12"/>
        <v>82772.399999999994</v>
      </c>
      <c r="G815" t="str">
        <f>IF(Table2[[#This Row],[Sold]]&gt;1000,"High Quality","Normal Quality")</f>
        <v>Normal Quality</v>
      </c>
      <c r="H815" s="12">
        <v>45375.355740740742</v>
      </c>
      <c r="I815" t="s">
        <v>511</v>
      </c>
      <c r="J815" t="s">
        <v>274</v>
      </c>
      <c r="K815" t="s">
        <v>118</v>
      </c>
    </row>
    <row r="816" spans="1:11" x14ac:dyDescent="0.35">
      <c r="A816" t="s">
        <v>62</v>
      </c>
      <c r="B816" t="s">
        <v>1</v>
      </c>
      <c r="C816" s="27">
        <v>90.45</v>
      </c>
      <c r="D816">
        <v>10</v>
      </c>
      <c r="E816">
        <v>19</v>
      </c>
      <c r="F816" s="4">
        <f t="shared" si="12"/>
        <v>1718.55</v>
      </c>
      <c r="G816" t="str">
        <f>IF(Table2[[#This Row],[Sold]]&gt;1000,"High Quality","Normal Quality")</f>
        <v>Normal Quality</v>
      </c>
      <c r="H816" s="12">
        <v>45375.356145833335</v>
      </c>
      <c r="I816" t="s">
        <v>509</v>
      </c>
      <c r="J816" t="s">
        <v>505</v>
      </c>
      <c r="K816" t="s">
        <v>118</v>
      </c>
    </row>
    <row r="817" spans="1:11" x14ac:dyDescent="0.35">
      <c r="A817" t="s">
        <v>58</v>
      </c>
      <c r="B817" t="s">
        <v>3</v>
      </c>
      <c r="C817" s="27">
        <v>28.11</v>
      </c>
      <c r="D817">
        <v>10</v>
      </c>
      <c r="E817">
        <v>542</v>
      </c>
      <c r="F817" s="4">
        <f t="shared" si="12"/>
        <v>15235.619999999999</v>
      </c>
      <c r="G817" t="str">
        <f>IF(Table2[[#This Row],[Sold]]&gt;1000,"High Quality","Normal Quality")</f>
        <v>Normal Quality</v>
      </c>
      <c r="H817" s="12">
        <v>45375.356365740743</v>
      </c>
      <c r="I817" t="s">
        <v>291</v>
      </c>
      <c r="J817" t="s">
        <v>274</v>
      </c>
      <c r="K817" t="s">
        <v>118</v>
      </c>
    </row>
    <row r="818" spans="1:11" x14ac:dyDescent="0.35">
      <c r="A818" t="s">
        <v>70</v>
      </c>
      <c r="B818" t="s">
        <v>1</v>
      </c>
      <c r="C818" s="27">
        <v>259.08999999999997</v>
      </c>
      <c r="D818">
        <v>3</v>
      </c>
      <c r="E818">
        <v>456</v>
      </c>
      <c r="F818" s="4">
        <f t="shared" si="12"/>
        <v>118145.04</v>
      </c>
      <c r="G818" t="str">
        <f>IF(Table2[[#This Row],[Sold]]&gt;1000,"High Quality","Normal Quality")</f>
        <v>Normal Quality</v>
      </c>
      <c r="H818" s="12">
        <v>45375.357002314813</v>
      </c>
      <c r="I818" t="s">
        <v>301</v>
      </c>
      <c r="J818" t="s">
        <v>506</v>
      </c>
      <c r="K818" t="s">
        <v>118</v>
      </c>
    </row>
    <row r="819" spans="1:11" x14ac:dyDescent="0.35">
      <c r="A819" t="s">
        <v>9</v>
      </c>
      <c r="B819" t="s">
        <v>3</v>
      </c>
      <c r="C819" s="27">
        <v>31.99</v>
      </c>
      <c r="D819">
        <v>7</v>
      </c>
      <c r="E819">
        <v>44</v>
      </c>
      <c r="F819" s="4">
        <f t="shared" si="12"/>
        <v>1407.56</v>
      </c>
      <c r="G819" t="str">
        <f>IF(Table2[[#This Row],[Sold]]&gt;1000,"High Quality","Normal Quality")</f>
        <v>Normal Quality</v>
      </c>
      <c r="H819" s="12">
        <v>45375.358182870368</v>
      </c>
      <c r="I819" t="s">
        <v>271</v>
      </c>
      <c r="J819" t="s">
        <v>266</v>
      </c>
      <c r="K819" t="s">
        <v>118</v>
      </c>
    </row>
    <row r="820" spans="1:11" x14ac:dyDescent="0.35">
      <c r="A820" t="s">
        <v>28</v>
      </c>
      <c r="B820" t="s">
        <v>3</v>
      </c>
      <c r="C820" s="27">
        <v>28.75</v>
      </c>
      <c r="D820">
        <v>10</v>
      </c>
      <c r="E820">
        <v>12739</v>
      </c>
      <c r="F820" s="4">
        <f t="shared" si="12"/>
        <v>366246.25</v>
      </c>
      <c r="G820" t="str">
        <f>IF(Table2[[#This Row],[Sold]]&gt;1000,"High Quality","Normal Quality")</f>
        <v>High Quality</v>
      </c>
      <c r="H820" s="12">
        <v>45375.363912037035</v>
      </c>
      <c r="I820" t="s">
        <v>290</v>
      </c>
      <c r="J820" t="s">
        <v>506</v>
      </c>
      <c r="K820" t="s">
        <v>118</v>
      </c>
    </row>
    <row r="821" spans="1:11" x14ac:dyDescent="0.35">
      <c r="A821" t="s">
        <v>62</v>
      </c>
      <c r="B821" t="s">
        <v>3</v>
      </c>
      <c r="C821" s="27">
        <v>66.55</v>
      </c>
      <c r="D821">
        <v>4</v>
      </c>
      <c r="E821">
        <v>7</v>
      </c>
      <c r="F821" s="4">
        <f t="shared" si="12"/>
        <v>465.84999999999997</v>
      </c>
      <c r="G821" t="str">
        <f>IF(Table2[[#This Row],[Sold]]&gt;1000,"High Quality","Normal Quality")</f>
        <v>Normal Quality</v>
      </c>
      <c r="H821" s="12">
        <v>45375.364328703705</v>
      </c>
      <c r="I821" t="s">
        <v>509</v>
      </c>
      <c r="J821" t="s">
        <v>505</v>
      </c>
      <c r="K821" t="s">
        <v>118</v>
      </c>
    </row>
    <row r="822" spans="1:11" x14ac:dyDescent="0.35">
      <c r="A822" t="s">
        <v>15</v>
      </c>
      <c r="B822" t="s">
        <v>1</v>
      </c>
      <c r="C822" s="27">
        <v>27.5</v>
      </c>
      <c r="D822">
        <v>2</v>
      </c>
      <c r="E822">
        <v>427</v>
      </c>
      <c r="F822" s="4">
        <f t="shared" si="12"/>
        <v>11742.5</v>
      </c>
      <c r="G822" t="str">
        <f>IF(Table2[[#This Row],[Sold]]&gt;1000,"High Quality","Normal Quality")</f>
        <v>Normal Quality</v>
      </c>
      <c r="H822" s="12">
        <v>45375.364502314813</v>
      </c>
      <c r="I822" t="s">
        <v>301</v>
      </c>
      <c r="J822" t="s">
        <v>506</v>
      </c>
      <c r="K822" t="s">
        <v>118</v>
      </c>
    </row>
    <row r="823" spans="1:11" x14ac:dyDescent="0.35">
      <c r="A823" t="s">
        <v>23</v>
      </c>
      <c r="B823" t="s">
        <v>3</v>
      </c>
      <c r="C823" s="27">
        <v>89.97</v>
      </c>
      <c r="D823">
        <v>71</v>
      </c>
      <c r="E823">
        <v>295</v>
      </c>
      <c r="F823" s="4">
        <f t="shared" si="12"/>
        <v>26541.15</v>
      </c>
      <c r="G823" t="str">
        <f>IF(Table2[[#This Row],[Sold]]&gt;1000,"High Quality","Normal Quality")</f>
        <v>Normal Quality</v>
      </c>
      <c r="H823" s="12">
        <v>45375.364525462966</v>
      </c>
      <c r="I823" t="s">
        <v>511</v>
      </c>
      <c r="J823" t="s">
        <v>274</v>
      </c>
      <c r="K823" t="s">
        <v>118</v>
      </c>
    </row>
    <row r="824" spans="1:11" x14ac:dyDescent="0.35">
      <c r="A824" t="s">
        <v>50</v>
      </c>
      <c r="B824" t="s">
        <v>1</v>
      </c>
      <c r="C824" s="27">
        <v>94.99</v>
      </c>
      <c r="D824">
        <v>9</v>
      </c>
      <c r="E824">
        <v>1024</v>
      </c>
      <c r="F824" s="4">
        <f t="shared" si="12"/>
        <v>97269.759999999995</v>
      </c>
      <c r="G824" t="str">
        <f>IF(Table2[[#This Row],[Sold]]&gt;1000,"High Quality","Normal Quality")</f>
        <v>High Quality</v>
      </c>
      <c r="H824" s="12">
        <v>45375.364548611113</v>
      </c>
      <c r="I824" t="s">
        <v>511</v>
      </c>
      <c r="J824" t="s">
        <v>274</v>
      </c>
      <c r="K824" t="s">
        <v>118</v>
      </c>
    </row>
    <row r="825" spans="1:11" x14ac:dyDescent="0.35">
      <c r="A825" t="s">
        <v>4</v>
      </c>
      <c r="B825" t="s">
        <v>3</v>
      </c>
      <c r="C825" s="27">
        <v>29.99</v>
      </c>
      <c r="D825">
        <v>127</v>
      </c>
      <c r="E825">
        <v>410</v>
      </c>
      <c r="F825" s="4">
        <f t="shared" si="12"/>
        <v>12295.9</v>
      </c>
      <c r="G825" t="str">
        <f>IF(Table2[[#This Row],[Sold]]&gt;1000,"High Quality","Normal Quality")</f>
        <v>Normal Quality</v>
      </c>
      <c r="H825" s="12">
        <v>45375.364756944444</v>
      </c>
      <c r="I825" t="s">
        <v>345</v>
      </c>
      <c r="J825" t="s">
        <v>266</v>
      </c>
      <c r="K825" t="s">
        <v>118</v>
      </c>
    </row>
    <row r="826" spans="1:11" x14ac:dyDescent="0.35">
      <c r="A826" t="s">
        <v>10</v>
      </c>
      <c r="B826" t="s">
        <v>1</v>
      </c>
      <c r="C826" s="27">
        <v>55.15</v>
      </c>
      <c r="D826">
        <v>10</v>
      </c>
      <c r="E826">
        <v>64</v>
      </c>
      <c r="F826" s="4">
        <f t="shared" si="12"/>
        <v>3529.6</v>
      </c>
      <c r="G826" t="str">
        <f>IF(Table2[[#This Row],[Sold]]&gt;1000,"High Quality","Normal Quality")</f>
        <v>Normal Quality</v>
      </c>
      <c r="H826" s="12">
        <v>45375.366018518522</v>
      </c>
      <c r="I826" t="s">
        <v>290</v>
      </c>
      <c r="J826" t="s">
        <v>506</v>
      </c>
      <c r="K826" t="s">
        <v>118</v>
      </c>
    </row>
    <row r="827" spans="1:11" x14ac:dyDescent="0.35">
      <c r="A827" t="s">
        <v>62</v>
      </c>
      <c r="B827" t="s">
        <v>1</v>
      </c>
      <c r="C827" s="27">
        <v>90.44</v>
      </c>
      <c r="D827">
        <v>0</v>
      </c>
      <c r="E827">
        <v>587</v>
      </c>
      <c r="F827" s="4">
        <f t="shared" si="12"/>
        <v>53088.28</v>
      </c>
      <c r="G827" t="str">
        <f>IF(Table2[[#This Row],[Sold]]&gt;1000,"High Quality","Normal Quality")</f>
        <v>Normal Quality</v>
      </c>
      <c r="H827" s="12">
        <v>45375.367384259262</v>
      </c>
      <c r="I827" t="s">
        <v>290</v>
      </c>
      <c r="J827" t="s">
        <v>506</v>
      </c>
      <c r="K827" t="s">
        <v>118</v>
      </c>
    </row>
    <row r="828" spans="1:11" x14ac:dyDescent="0.35">
      <c r="A828" t="s">
        <v>126</v>
      </c>
      <c r="B828" t="s">
        <v>1</v>
      </c>
      <c r="C828" s="27">
        <v>53.42</v>
      </c>
      <c r="D828">
        <v>10</v>
      </c>
      <c r="E828">
        <v>4</v>
      </c>
      <c r="F828" s="4">
        <f t="shared" si="12"/>
        <v>213.68</v>
      </c>
      <c r="G828" t="str">
        <f>IF(Table2[[#This Row],[Sold]]&gt;1000,"High Quality","Normal Quality")</f>
        <v>Normal Quality</v>
      </c>
      <c r="H828" s="12">
        <v>45375.367962962962</v>
      </c>
      <c r="I828" t="s">
        <v>301</v>
      </c>
      <c r="J828" t="s">
        <v>506</v>
      </c>
      <c r="K828" t="s">
        <v>118</v>
      </c>
    </row>
    <row r="829" spans="1:11" x14ac:dyDescent="0.35">
      <c r="A829" t="s">
        <v>10</v>
      </c>
      <c r="B829" t="s">
        <v>1</v>
      </c>
      <c r="C829" s="27">
        <v>18.89</v>
      </c>
      <c r="D829">
        <v>0</v>
      </c>
      <c r="E829">
        <v>125</v>
      </c>
      <c r="F829" s="4">
        <f t="shared" si="12"/>
        <v>2361.25</v>
      </c>
      <c r="G829" t="str">
        <f>IF(Table2[[#This Row],[Sold]]&gt;1000,"High Quality","Normal Quality")</f>
        <v>Normal Quality</v>
      </c>
      <c r="H829" s="12">
        <v>45375.36818287037</v>
      </c>
      <c r="I829" t="s">
        <v>506</v>
      </c>
      <c r="J829" t="s">
        <v>505</v>
      </c>
      <c r="K829" t="s">
        <v>118</v>
      </c>
    </row>
    <row r="830" spans="1:11" x14ac:dyDescent="0.35">
      <c r="A830" t="s">
        <v>70</v>
      </c>
      <c r="B830" t="s">
        <v>1</v>
      </c>
      <c r="C830" s="27">
        <v>212.89</v>
      </c>
      <c r="D830">
        <v>72</v>
      </c>
      <c r="E830">
        <v>53</v>
      </c>
      <c r="F830" s="4">
        <f t="shared" si="12"/>
        <v>11283.17</v>
      </c>
      <c r="G830" t="str">
        <f>IF(Table2[[#This Row],[Sold]]&gt;1000,"High Quality","Normal Quality")</f>
        <v>Normal Quality</v>
      </c>
      <c r="H830" s="12">
        <v>45375.368425925924</v>
      </c>
      <c r="I830" t="s">
        <v>301</v>
      </c>
      <c r="J830" t="s">
        <v>506</v>
      </c>
      <c r="K830" t="s">
        <v>118</v>
      </c>
    </row>
    <row r="831" spans="1:11" x14ac:dyDescent="0.35">
      <c r="A831" t="s">
        <v>85</v>
      </c>
      <c r="B831" t="s">
        <v>1</v>
      </c>
      <c r="C831" s="27">
        <v>74.92</v>
      </c>
      <c r="D831">
        <v>33</v>
      </c>
      <c r="E831">
        <v>116</v>
      </c>
      <c r="F831" s="4">
        <f t="shared" si="12"/>
        <v>8690.7199999999993</v>
      </c>
      <c r="G831" t="str">
        <f>IF(Table2[[#This Row],[Sold]]&gt;1000,"High Quality","Normal Quality")</f>
        <v>Normal Quality</v>
      </c>
      <c r="H831" s="12">
        <v>45375.368460648147</v>
      </c>
      <c r="I831" t="s">
        <v>301</v>
      </c>
      <c r="J831" t="s">
        <v>506</v>
      </c>
      <c r="K831" t="s">
        <v>118</v>
      </c>
    </row>
    <row r="832" spans="1:11" x14ac:dyDescent="0.35">
      <c r="A832" t="s">
        <v>72</v>
      </c>
      <c r="B832" t="s">
        <v>1</v>
      </c>
      <c r="C832" s="27">
        <v>57.46</v>
      </c>
      <c r="D832">
        <v>3</v>
      </c>
      <c r="E832">
        <v>202</v>
      </c>
      <c r="F832" s="4">
        <f t="shared" si="12"/>
        <v>11606.92</v>
      </c>
      <c r="G832" t="str">
        <f>IF(Table2[[#This Row],[Sold]]&gt;1000,"High Quality","Normal Quality")</f>
        <v>Normal Quality</v>
      </c>
      <c r="H832" s="12">
        <v>45375.368506944447</v>
      </c>
      <c r="I832" t="s">
        <v>301</v>
      </c>
      <c r="J832" t="s">
        <v>506</v>
      </c>
      <c r="K832" t="s">
        <v>118</v>
      </c>
    </row>
    <row r="833" spans="1:11" x14ac:dyDescent="0.35">
      <c r="A833" t="s">
        <v>2</v>
      </c>
      <c r="B833" t="s">
        <v>3</v>
      </c>
      <c r="C833" s="27">
        <v>13.86</v>
      </c>
      <c r="D833">
        <v>33</v>
      </c>
      <c r="E833">
        <v>1146</v>
      </c>
      <c r="F833" s="4">
        <f t="shared" si="12"/>
        <v>15883.56</v>
      </c>
      <c r="G833" t="str">
        <f>IF(Table2[[#This Row],[Sold]]&gt;1000,"High Quality","Normal Quality")</f>
        <v>High Quality</v>
      </c>
      <c r="H833" s="12">
        <v>45375.369606481479</v>
      </c>
      <c r="I833" t="s">
        <v>324</v>
      </c>
      <c r="J833" t="s">
        <v>269</v>
      </c>
      <c r="K833" t="s">
        <v>118</v>
      </c>
    </row>
    <row r="834" spans="1:11" x14ac:dyDescent="0.35">
      <c r="A834" t="s">
        <v>2</v>
      </c>
      <c r="B834" t="s">
        <v>1</v>
      </c>
      <c r="C834" s="27">
        <v>15.99</v>
      </c>
      <c r="D834">
        <v>10</v>
      </c>
      <c r="E834">
        <v>81</v>
      </c>
      <c r="F834" s="4">
        <f t="shared" ref="F834:F897" si="13">C:C*E:E</f>
        <v>1295.19</v>
      </c>
      <c r="G834" t="str">
        <f>IF(Table2[[#This Row],[Sold]]&gt;1000,"High Quality","Normal Quality")</f>
        <v>Normal Quality</v>
      </c>
      <c r="H834" s="12">
        <v>45375.370300925926</v>
      </c>
      <c r="I834" t="s">
        <v>273</v>
      </c>
      <c r="J834" t="s">
        <v>274</v>
      </c>
      <c r="K834" t="s">
        <v>118</v>
      </c>
    </row>
    <row r="835" spans="1:11" x14ac:dyDescent="0.35">
      <c r="A835" t="s">
        <v>85</v>
      </c>
      <c r="B835" t="s">
        <v>3</v>
      </c>
      <c r="C835" s="27">
        <v>24.98</v>
      </c>
      <c r="D835">
        <v>6</v>
      </c>
      <c r="E835">
        <v>8</v>
      </c>
      <c r="F835" s="4">
        <f t="shared" si="13"/>
        <v>199.84</v>
      </c>
      <c r="G835" t="str">
        <f>IF(Table2[[#This Row],[Sold]]&gt;1000,"High Quality","Normal Quality")</f>
        <v>Normal Quality</v>
      </c>
      <c r="H835" s="12">
        <v>45375.371481481481</v>
      </c>
      <c r="I835" t="s">
        <v>506</v>
      </c>
      <c r="J835" t="s">
        <v>505</v>
      </c>
      <c r="K835" t="s">
        <v>118</v>
      </c>
    </row>
    <row r="836" spans="1:11" x14ac:dyDescent="0.35">
      <c r="A836" t="s">
        <v>91</v>
      </c>
      <c r="B836" t="s">
        <v>1</v>
      </c>
      <c r="C836" s="27">
        <v>32.89</v>
      </c>
      <c r="D836">
        <v>10</v>
      </c>
      <c r="E836">
        <v>8</v>
      </c>
      <c r="F836" s="4">
        <f t="shared" si="13"/>
        <v>263.12</v>
      </c>
      <c r="G836" t="str">
        <f>IF(Table2[[#This Row],[Sold]]&gt;1000,"High Quality","Normal Quality")</f>
        <v>Normal Quality</v>
      </c>
      <c r="H836" s="12">
        <v>45375.372731481482</v>
      </c>
      <c r="I836" t="s">
        <v>509</v>
      </c>
      <c r="J836" t="s">
        <v>505</v>
      </c>
      <c r="K836" t="s">
        <v>118</v>
      </c>
    </row>
    <row r="837" spans="1:11" x14ac:dyDescent="0.35">
      <c r="A837" t="s">
        <v>56</v>
      </c>
      <c r="B837" t="s">
        <v>1</v>
      </c>
      <c r="C837" s="27">
        <v>17.850000000000001</v>
      </c>
      <c r="D837">
        <v>2</v>
      </c>
      <c r="E837">
        <v>29</v>
      </c>
      <c r="F837" s="4">
        <f t="shared" si="13"/>
        <v>517.65000000000009</v>
      </c>
      <c r="G837" t="str">
        <f>IF(Table2[[#This Row],[Sold]]&gt;1000,"High Quality","Normal Quality")</f>
        <v>Normal Quality</v>
      </c>
      <c r="H837" s="12">
        <v>45375.372743055559</v>
      </c>
      <c r="I837" t="s">
        <v>509</v>
      </c>
      <c r="J837" t="s">
        <v>505</v>
      </c>
      <c r="K837" t="s">
        <v>118</v>
      </c>
    </row>
    <row r="838" spans="1:11" x14ac:dyDescent="0.35">
      <c r="A838" t="s">
        <v>9</v>
      </c>
      <c r="B838" t="s">
        <v>3</v>
      </c>
      <c r="C838" s="27">
        <v>35.99</v>
      </c>
      <c r="D838">
        <v>2</v>
      </c>
      <c r="E838">
        <v>4520</v>
      </c>
      <c r="F838" s="4">
        <f t="shared" si="13"/>
        <v>162674.80000000002</v>
      </c>
      <c r="G838" t="str">
        <f>IF(Table2[[#This Row],[Sold]]&gt;1000,"High Quality","Normal Quality")</f>
        <v>High Quality</v>
      </c>
      <c r="H838" s="12">
        <v>45375.373171296298</v>
      </c>
      <c r="I838" t="s">
        <v>290</v>
      </c>
      <c r="J838" t="s">
        <v>506</v>
      </c>
      <c r="K838" t="s">
        <v>118</v>
      </c>
    </row>
    <row r="839" spans="1:11" x14ac:dyDescent="0.35">
      <c r="A839" t="s">
        <v>19</v>
      </c>
      <c r="B839" t="s">
        <v>1</v>
      </c>
      <c r="C839" s="27">
        <v>49.99</v>
      </c>
      <c r="D839">
        <v>10</v>
      </c>
      <c r="E839">
        <v>187</v>
      </c>
      <c r="F839" s="4">
        <f t="shared" si="13"/>
        <v>9348.130000000001</v>
      </c>
      <c r="G839" t="str">
        <f>IF(Table2[[#This Row],[Sold]]&gt;1000,"High Quality","Normal Quality")</f>
        <v>Normal Quality</v>
      </c>
      <c r="H839" s="12">
        <v>45375.376840277779</v>
      </c>
      <c r="I839" t="s">
        <v>509</v>
      </c>
      <c r="J839" t="s">
        <v>505</v>
      </c>
      <c r="K839" t="s">
        <v>118</v>
      </c>
    </row>
    <row r="840" spans="1:11" x14ac:dyDescent="0.35">
      <c r="A840" t="s">
        <v>255</v>
      </c>
      <c r="B840" t="s">
        <v>3</v>
      </c>
      <c r="C840" s="27">
        <v>21.91</v>
      </c>
      <c r="D840">
        <v>3</v>
      </c>
      <c r="E840">
        <v>1831</v>
      </c>
      <c r="F840" s="4">
        <f t="shared" si="13"/>
        <v>40117.21</v>
      </c>
      <c r="G840" t="str">
        <f>IF(Table2[[#This Row],[Sold]]&gt;1000,"High Quality","Normal Quality")</f>
        <v>High Quality</v>
      </c>
      <c r="H840" s="12">
        <v>45375.379247685189</v>
      </c>
      <c r="I840" t="s">
        <v>291</v>
      </c>
      <c r="J840" t="s">
        <v>274</v>
      </c>
      <c r="K840" t="s">
        <v>118</v>
      </c>
    </row>
    <row r="841" spans="1:11" x14ac:dyDescent="0.35">
      <c r="A841" t="s">
        <v>2</v>
      </c>
      <c r="B841" t="s">
        <v>1</v>
      </c>
      <c r="C841" s="27">
        <v>15.89</v>
      </c>
      <c r="D841">
        <v>4</v>
      </c>
      <c r="E841">
        <v>17</v>
      </c>
      <c r="F841" s="4">
        <f t="shared" si="13"/>
        <v>270.13</v>
      </c>
      <c r="G841" t="str">
        <f>IF(Table2[[#This Row],[Sold]]&gt;1000,"High Quality","Normal Quality")</f>
        <v>Normal Quality</v>
      </c>
      <c r="H841" s="12">
        <v>45375.38071759259</v>
      </c>
      <c r="I841" t="s">
        <v>541</v>
      </c>
      <c r="J841" t="s">
        <v>277</v>
      </c>
      <c r="K841" t="s">
        <v>536</v>
      </c>
    </row>
    <row r="842" spans="1:11" x14ac:dyDescent="0.35">
      <c r="A842" t="s">
        <v>2</v>
      </c>
      <c r="B842" t="s">
        <v>1</v>
      </c>
      <c r="C842" s="27">
        <v>15.89</v>
      </c>
      <c r="D842">
        <v>0</v>
      </c>
      <c r="E842">
        <v>8</v>
      </c>
      <c r="F842" s="4">
        <f t="shared" si="13"/>
        <v>127.12</v>
      </c>
      <c r="G842" t="str">
        <f>IF(Table2[[#This Row],[Sold]]&gt;1000,"High Quality","Normal Quality")</f>
        <v>Normal Quality</v>
      </c>
      <c r="H842" s="12">
        <v>45375.380752314813</v>
      </c>
      <c r="I842" t="s">
        <v>541</v>
      </c>
      <c r="J842" t="s">
        <v>277</v>
      </c>
      <c r="K842" t="s">
        <v>118</v>
      </c>
    </row>
    <row r="843" spans="1:11" x14ac:dyDescent="0.35">
      <c r="A843" t="s">
        <v>82</v>
      </c>
      <c r="B843" t="s">
        <v>3</v>
      </c>
      <c r="C843" s="27">
        <v>17.989999999999998</v>
      </c>
      <c r="D843">
        <v>0</v>
      </c>
      <c r="E843">
        <v>1955</v>
      </c>
      <c r="F843" s="4">
        <f t="shared" si="13"/>
        <v>35170.449999999997</v>
      </c>
      <c r="G843" t="str">
        <f>IF(Table2[[#This Row],[Sold]]&gt;1000,"High Quality","Normal Quality")</f>
        <v>High Quality</v>
      </c>
      <c r="H843" s="12">
        <v>45375.382152777776</v>
      </c>
      <c r="I843" t="s">
        <v>291</v>
      </c>
      <c r="J843" t="s">
        <v>274</v>
      </c>
      <c r="K843" t="s">
        <v>118</v>
      </c>
    </row>
    <row r="844" spans="1:11" x14ac:dyDescent="0.35">
      <c r="A844" t="s">
        <v>2</v>
      </c>
      <c r="B844" t="s">
        <v>1</v>
      </c>
      <c r="C844" s="27">
        <v>15.99</v>
      </c>
      <c r="D844">
        <v>9</v>
      </c>
      <c r="E844">
        <v>594</v>
      </c>
      <c r="F844" s="4">
        <f t="shared" si="13"/>
        <v>9498.06</v>
      </c>
      <c r="G844" t="str">
        <f>IF(Table2[[#This Row],[Sold]]&gt;1000,"High Quality","Normal Quality")</f>
        <v>Normal Quality</v>
      </c>
      <c r="H844" s="12">
        <v>45375.38349537037</v>
      </c>
      <c r="I844" t="s">
        <v>273</v>
      </c>
      <c r="J844" t="s">
        <v>274</v>
      </c>
      <c r="K844" t="s">
        <v>118</v>
      </c>
    </row>
    <row r="845" spans="1:11" x14ac:dyDescent="0.35">
      <c r="A845" t="s">
        <v>13</v>
      </c>
      <c r="B845" t="s">
        <v>3</v>
      </c>
      <c r="C845" s="27">
        <v>45.99</v>
      </c>
      <c r="D845">
        <v>96</v>
      </c>
      <c r="E845">
        <v>2452</v>
      </c>
      <c r="F845" s="4">
        <f t="shared" si="13"/>
        <v>112767.48000000001</v>
      </c>
      <c r="G845" t="str">
        <f>IF(Table2[[#This Row],[Sold]]&gt;1000,"High Quality","Normal Quality")</f>
        <v>High Quality</v>
      </c>
      <c r="H845" s="12">
        <v>45375.38721064815</v>
      </c>
      <c r="I845" t="s">
        <v>290</v>
      </c>
      <c r="J845" t="s">
        <v>506</v>
      </c>
      <c r="K845" t="s">
        <v>118</v>
      </c>
    </row>
    <row r="846" spans="1:11" x14ac:dyDescent="0.35">
      <c r="A846" t="s">
        <v>232</v>
      </c>
      <c r="B846" t="s">
        <v>1</v>
      </c>
      <c r="C846" s="27">
        <v>75.650000000000006</v>
      </c>
      <c r="D846">
        <v>4</v>
      </c>
      <c r="E846">
        <v>16</v>
      </c>
      <c r="F846" s="4">
        <f t="shared" si="13"/>
        <v>1210.4000000000001</v>
      </c>
      <c r="G846" t="str">
        <f>IF(Table2[[#This Row],[Sold]]&gt;1000,"High Quality","Normal Quality")</f>
        <v>Normal Quality</v>
      </c>
      <c r="H846" s="12">
        <v>45375.389050925929</v>
      </c>
      <c r="I846" t="s">
        <v>290</v>
      </c>
      <c r="J846" t="s">
        <v>506</v>
      </c>
      <c r="K846" t="s">
        <v>118</v>
      </c>
    </row>
    <row r="847" spans="1:11" x14ac:dyDescent="0.35">
      <c r="A847" t="s">
        <v>79</v>
      </c>
      <c r="B847" t="s">
        <v>1</v>
      </c>
      <c r="C847" s="27">
        <v>135.49</v>
      </c>
      <c r="D847">
        <v>10</v>
      </c>
      <c r="E847">
        <v>64</v>
      </c>
      <c r="F847" s="4">
        <f t="shared" si="13"/>
        <v>8671.36</v>
      </c>
      <c r="G847" t="str">
        <f>IF(Table2[[#This Row],[Sold]]&gt;1000,"High Quality","Normal Quality")</f>
        <v>Normal Quality</v>
      </c>
      <c r="H847" s="12">
        <v>45375.389050925929</v>
      </c>
      <c r="I847" t="s">
        <v>290</v>
      </c>
      <c r="J847" t="s">
        <v>506</v>
      </c>
      <c r="K847" t="s">
        <v>118</v>
      </c>
    </row>
    <row r="848" spans="1:11" x14ac:dyDescent="0.35">
      <c r="A848" t="s">
        <v>159</v>
      </c>
      <c r="B848" t="s">
        <v>3</v>
      </c>
      <c r="C848" s="27">
        <v>41.19</v>
      </c>
      <c r="D848">
        <v>3</v>
      </c>
      <c r="E848">
        <v>258</v>
      </c>
      <c r="F848" s="4">
        <f t="shared" si="13"/>
        <v>10627.019999999999</v>
      </c>
      <c r="G848" t="str">
        <f>IF(Table2[[#This Row],[Sold]]&gt;1000,"High Quality","Normal Quality")</f>
        <v>Normal Quality</v>
      </c>
      <c r="H848" s="12">
        <v>45375.390381944446</v>
      </c>
      <c r="I848" t="s">
        <v>291</v>
      </c>
      <c r="J848" t="s">
        <v>274</v>
      </c>
      <c r="K848" t="s">
        <v>118</v>
      </c>
    </row>
    <row r="849" spans="1:11" x14ac:dyDescent="0.35">
      <c r="A849" t="s">
        <v>63</v>
      </c>
      <c r="B849" t="s">
        <v>1</v>
      </c>
      <c r="C849" s="27">
        <v>36.81</v>
      </c>
      <c r="D849">
        <v>10</v>
      </c>
      <c r="E849">
        <v>1234</v>
      </c>
      <c r="F849" s="4">
        <f t="shared" si="13"/>
        <v>45423.54</v>
      </c>
      <c r="G849" t="str">
        <f>IF(Table2[[#This Row],[Sold]]&gt;1000,"High Quality","Normal Quality")</f>
        <v>High Quality</v>
      </c>
      <c r="H849" s="12">
        <v>45375.390787037039</v>
      </c>
      <c r="I849" t="s">
        <v>291</v>
      </c>
      <c r="J849" t="s">
        <v>274</v>
      </c>
      <c r="K849" t="s">
        <v>118</v>
      </c>
    </row>
    <row r="850" spans="1:11" x14ac:dyDescent="0.35">
      <c r="A850" t="s">
        <v>25</v>
      </c>
      <c r="B850" t="s">
        <v>1</v>
      </c>
      <c r="C850" s="27">
        <v>53.99</v>
      </c>
      <c r="D850">
        <v>3</v>
      </c>
      <c r="E850">
        <v>140</v>
      </c>
      <c r="F850" s="4">
        <f t="shared" si="13"/>
        <v>7558.6</v>
      </c>
      <c r="G850" t="str">
        <f>IF(Table2[[#This Row],[Sold]]&gt;1000,"High Quality","Normal Quality")</f>
        <v>Normal Quality</v>
      </c>
      <c r="H850" s="12">
        <v>45375.391099537039</v>
      </c>
      <c r="I850" t="s">
        <v>329</v>
      </c>
      <c r="J850" t="s">
        <v>274</v>
      </c>
      <c r="K850" t="s">
        <v>118</v>
      </c>
    </row>
    <row r="851" spans="1:11" x14ac:dyDescent="0.35">
      <c r="A851" t="s">
        <v>17</v>
      </c>
      <c r="B851" t="s">
        <v>1</v>
      </c>
      <c r="C851" s="27">
        <v>75.95</v>
      </c>
      <c r="D851">
        <v>2</v>
      </c>
      <c r="E851">
        <v>3</v>
      </c>
      <c r="F851" s="4">
        <f t="shared" si="13"/>
        <v>227.85000000000002</v>
      </c>
      <c r="G851" t="str">
        <f>IF(Table2[[#This Row],[Sold]]&gt;1000,"High Quality","Normal Quality")</f>
        <v>Normal Quality</v>
      </c>
      <c r="H851" s="12">
        <v>45375.393321759257</v>
      </c>
      <c r="I851" t="s">
        <v>301</v>
      </c>
      <c r="J851" t="s">
        <v>506</v>
      </c>
      <c r="K851" t="s">
        <v>118</v>
      </c>
    </row>
    <row r="852" spans="1:11" x14ac:dyDescent="0.35">
      <c r="A852" t="s">
        <v>16</v>
      </c>
      <c r="B852" t="s">
        <v>3</v>
      </c>
      <c r="C852" s="27">
        <v>59.43</v>
      </c>
      <c r="D852">
        <v>10</v>
      </c>
      <c r="E852">
        <v>3691</v>
      </c>
      <c r="F852" s="4">
        <f t="shared" si="13"/>
        <v>219356.13</v>
      </c>
      <c r="G852" t="str">
        <f>IF(Table2[[#This Row],[Sold]]&gt;1000,"High Quality","Normal Quality")</f>
        <v>High Quality</v>
      </c>
      <c r="H852" s="12">
        <v>45375.393796296295</v>
      </c>
      <c r="I852" t="s">
        <v>290</v>
      </c>
      <c r="J852" t="s">
        <v>506</v>
      </c>
      <c r="K852" t="s">
        <v>118</v>
      </c>
    </row>
    <row r="853" spans="1:11" x14ac:dyDescent="0.35">
      <c r="A853" t="s">
        <v>64</v>
      </c>
      <c r="B853" t="s">
        <v>37</v>
      </c>
      <c r="C853" s="27">
        <v>17.12</v>
      </c>
      <c r="D853">
        <v>10</v>
      </c>
      <c r="E853">
        <v>597</v>
      </c>
      <c r="F853" s="4">
        <f t="shared" si="13"/>
        <v>10220.640000000001</v>
      </c>
      <c r="G853" t="str">
        <f>IF(Table2[[#This Row],[Sold]]&gt;1000,"High Quality","Normal Quality")</f>
        <v>Normal Quality</v>
      </c>
      <c r="H853" s="12">
        <v>45375.397349537037</v>
      </c>
      <c r="I853" t="s">
        <v>291</v>
      </c>
      <c r="J853" t="s">
        <v>274</v>
      </c>
      <c r="K853" t="s">
        <v>118</v>
      </c>
    </row>
    <row r="854" spans="1:11" x14ac:dyDescent="0.35">
      <c r="A854" t="s">
        <v>26</v>
      </c>
      <c r="B854" t="s">
        <v>3</v>
      </c>
      <c r="C854" s="27">
        <v>40.6</v>
      </c>
      <c r="D854">
        <v>161</v>
      </c>
      <c r="E854">
        <v>5582</v>
      </c>
      <c r="F854" s="4">
        <f t="shared" si="13"/>
        <v>226629.2</v>
      </c>
      <c r="G854" t="str">
        <f>IF(Table2[[#This Row],[Sold]]&gt;1000,"High Quality","Normal Quality")</f>
        <v>High Quality</v>
      </c>
      <c r="H854" s="12">
        <v>45375.399375000001</v>
      </c>
      <c r="I854" t="s">
        <v>291</v>
      </c>
      <c r="J854" t="s">
        <v>274</v>
      </c>
      <c r="K854" t="s">
        <v>118</v>
      </c>
    </row>
    <row r="855" spans="1:11" x14ac:dyDescent="0.35">
      <c r="A855" t="s">
        <v>61</v>
      </c>
      <c r="B855" t="s">
        <v>1</v>
      </c>
      <c r="C855" s="27">
        <v>74.8</v>
      </c>
      <c r="D855">
        <v>0</v>
      </c>
      <c r="E855">
        <v>430</v>
      </c>
      <c r="F855" s="4">
        <f t="shared" si="13"/>
        <v>32164</v>
      </c>
      <c r="G855" t="str">
        <f>IF(Table2[[#This Row],[Sold]]&gt;1000,"High Quality","Normal Quality")</f>
        <v>Normal Quality</v>
      </c>
      <c r="H855" s="12">
        <v>45375.400578703702</v>
      </c>
      <c r="I855" t="s">
        <v>291</v>
      </c>
      <c r="J855" t="s">
        <v>274</v>
      </c>
      <c r="K855" t="s">
        <v>118</v>
      </c>
    </row>
    <row r="856" spans="1:11" x14ac:dyDescent="0.35">
      <c r="A856" t="s">
        <v>71</v>
      </c>
      <c r="B856" t="s">
        <v>3</v>
      </c>
      <c r="C856" s="27">
        <v>14.98</v>
      </c>
      <c r="D856">
        <v>6</v>
      </c>
      <c r="E856">
        <v>418</v>
      </c>
      <c r="F856" s="4">
        <f t="shared" si="13"/>
        <v>6261.64</v>
      </c>
      <c r="G856" t="str">
        <f>IF(Table2[[#This Row],[Sold]]&gt;1000,"High Quality","Normal Quality")</f>
        <v>Normal Quality</v>
      </c>
      <c r="H856" s="12">
        <v>45375.400613425925</v>
      </c>
      <c r="I856" t="s">
        <v>290</v>
      </c>
      <c r="J856" t="s">
        <v>506</v>
      </c>
      <c r="K856" t="s">
        <v>118</v>
      </c>
    </row>
    <row r="857" spans="1:11" x14ac:dyDescent="0.35">
      <c r="A857" t="s">
        <v>12</v>
      </c>
      <c r="B857" t="s">
        <v>3</v>
      </c>
      <c r="C857" s="27">
        <v>36.880000000000003</v>
      </c>
      <c r="D857">
        <v>10</v>
      </c>
      <c r="E857">
        <v>19899</v>
      </c>
      <c r="F857" s="4">
        <f t="shared" si="13"/>
        <v>733875.12</v>
      </c>
      <c r="G857" t="str">
        <f>IF(Table2[[#This Row],[Sold]]&gt;1000,"High Quality","Normal Quality")</f>
        <v>High Quality</v>
      </c>
      <c r="H857" s="12">
        <v>45375.400625000002</v>
      </c>
      <c r="I857" t="s">
        <v>290</v>
      </c>
      <c r="J857" t="s">
        <v>506</v>
      </c>
      <c r="K857" t="s">
        <v>118</v>
      </c>
    </row>
    <row r="858" spans="1:11" x14ac:dyDescent="0.35">
      <c r="A858" t="s">
        <v>37</v>
      </c>
      <c r="B858" t="s">
        <v>1</v>
      </c>
      <c r="C858" s="27">
        <v>68.89</v>
      </c>
      <c r="D858">
        <v>0</v>
      </c>
      <c r="E858">
        <v>25</v>
      </c>
      <c r="F858" s="4">
        <f t="shared" si="13"/>
        <v>1722.25</v>
      </c>
      <c r="G858" t="str">
        <f>IF(Table2[[#This Row],[Sold]]&gt;1000,"High Quality","Normal Quality")</f>
        <v>Normal Quality</v>
      </c>
      <c r="H858" s="12">
        <v>45375.40084490741</v>
      </c>
      <c r="I858" t="s">
        <v>506</v>
      </c>
      <c r="J858" t="s">
        <v>505</v>
      </c>
      <c r="K858" t="s">
        <v>118</v>
      </c>
    </row>
    <row r="859" spans="1:11" x14ac:dyDescent="0.35">
      <c r="A859" t="s">
        <v>73</v>
      </c>
      <c r="B859" t="s">
        <v>37</v>
      </c>
      <c r="C859" s="27">
        <v>16.71</v>
      </c>
      <c r="D859">
        <v>7</v>
      </c>
      <c r="E859">
        <v>7816</v>
      </c>
      <c r="F859" s="4">
        <f t="shared" si="13"/>
        <v>130605.36</v>
      </c>
      <c r="G859" t="str">
        <f>IF(Table2[[#This Row],[Sold]]&gt;1000,"High Quality","Normal Quality")</f>
        <v>High Quality</v>
      </c>
      <c r="H859" s="12">
        <v>45375.404224537036</v>
      </c>
      <c r="I859" t="s">
        <v>291</v>
      </c>
      <c r="J859" t="s">
        <v>274</v>
      </c>
      <c r="K859" t="s">
        <v>118</v>
      </c>
    </row>
    <row r="860" spans="1:11" x14ac:dyDescent="0.35">
      <c r="A860" t="s">
        <v>232</v>
      </c>
      <c r="B860" t="s">
        <v>3</v>
      </c>
      <c r="C860" s="27">
        <v>30.95</v>
      </c>
      <c r="D860">
        <v>10</v>
      </c>
      <c r="E860">
        <v>36</v>
      </c>
      <c r="F860" s="4">
        <f t="shared" si="13"/>
        <v>1114.2</v>
      </c>
      <c r="G860" t="str">
        <f>IF(Table2[[#This Row],[Sold]]&gt;1000,"High Quality","Normal Quality")</f>
        <v>Normal Quality</v>
      </c>
      <c r="H860" s="12">
        <v>45375.407476851855</v>
      </c>
      <c r="I860" t="s">
        <v>278</v>
      </c>
      <c r="J860" t="s">
        <v>266</v>
      </c>
      <c r="K860" t="s">
        <v>118</v>
      </c>
    </row>
    <row r="861" spans="1:11" x14ac:dyDescent="0.35">
      <c r="A861" t="s">
        <v>9</v>
      </c>
      <c r="B861" t="s">
        <v>3</v>
      </c>
      <c r="C861" s="27">
        <v>36.99</v>
      </c>
      <c r="D861">
        <v>10</v>
      </c>
      <c r="E861">
        <v>39</v>
      </c>
      <c r="F861" s="4">
        <f t="shared" si="13"/>
        <v>1442.6100000000001</v>
      </c>
      <c r="G861" t="str">
        <f>IF(Table2[[#This Row],[Sold]]&gt;1000,"High Quality","Normal Quality")</f>
        <v>Normal Quality</v>
      </c>
      <c r="H861" s="12">
        <v>45375.407569444447</v>
      </c>
      <c r="I861" t="s">
        <v>278</v>
      </c>
      <c r="J861" t="s">
        <v>266</v>
      </c>
      <c r="K861" t="s">
        <v>118</v>
      </c>
    </row>
    <row r="862" spans="1:11" x14ac:dyDescent="0.35">
      <c r="A862" t="s">
        <v>25</v>
      </c>
      <c r="B862" t="s">
        <v>1</v>
      </c>
      <c r="C862" s="27">
        <v>45.11</v>
      </c>
      <c r="D862">
        <v>756</v>
      </c>
      <c r="E862">
        <v>258</v>
      </c>
      <c r="F862" s="4">
        <f t="shared" si="13"/>
        <v>11638.38</v>
      </c>
      <c r="G862" t="str">
        <f>IF(Table2[[#This Row],[Sold]]&gt;1000,"High Quality","Normal Quality")</f>
        <v>Normal Quality</v>
      </c>
      <c r="H862" s="12">
        <v>45375.410046296296</v>
      </c>
      <c r="I862" t="s">
        <v>509</v>
      </c>
      <c r="J862" t="s">
        <v>505</v>
      </c>
      <c r="K862" t="s">
        <v>118</v>
      </c>
    </row>
    <row r="863" spans="1:11" x14ac:dyDescent="0.35">
      <c r="A863" t="s">
        <v>13</v>
      </c>
      <c r="B863" t="s">
        <v>3</v>
      </c>
      <c r="C863" s="27">
        <v>49.99</v>
      </c>
      <c r="D863">
        <v>10</v>
      </c>
      <c r="E863">
        <v>165</v>
      </c>
      <c r="F863" s="4">
        <f t="shared" si="13"/>
        <v>8248.35</v>
      </c>
      <c r="G863" t="str">
        <f>IF(Table2[[#This Row],[Sold]]&gt;1000,"High Quality","Normal Quality")</f>
        <v>Normal Quality</v>
      </c>
      <c r="H863" s="12">
        <v>45375.411145833335</v>
      </c>
      <c r="I863" t="s">
        <v>288</v>
      </c>
      <c r="J863" t="s">
        <v>508</v>
      </c>
      <c r="K863" t="s">
        <v>118</v>
      </c>
    </row>
    <row r="864" spans="1:11" x14ac:dyDescent="0.35">
      <c r="A864" t="s">
        <v>20</v>
      </c>
      <c r="B864" t="s">
        <v>1</v>
      </c>
      <c r="C864" s="27">
        <v>34.5</v>
      </c>
      <c r="D864">
        <v>59</v>
      </c>
      <c r="E864">
        <v>16</v>
      </c>
      <c r="F864" s="4">
        <f t="shared" si="13"/>
        <v>552</v>
      </c>
      <c r="G864" t="str">
        <f>IF(Table2[[#This Row],[Sold]]&gt;1000,"High Quality","Normal Quality")</f>
        <v>Normal Quality</v>
      </c>
      <c r="H864" s="12">
        <v>45375.412546296298</v>
      </c>
      <c r="I864" t="s">
        <v>291</v>
      </c>
      <c r="J864" t="s">
        <v>274</v>
      </c>
      <c r="K864" t="s">
        <v>118</v>
      </c>
    </row>
    <row r="865" spans="1:11" x14ac:dyDescent="0.35">
      <c r="A865" t="s">
        <v>255</v>
      </c>
      <c r="B865" t="s">
        <v>3</v>
      </c>
      <c r="C865" s="27">
        <v>23.01</v>
      </c>
      <c r="D865">
        <v>2</v>
      </c>
      <c r="E865">
        <v>2611</v>
      </c>
      <c r="F865" s="4">
        <f t="shared" si="13"/>
        <v>60079.11</v>
      </c>
      <c r="G865" t="str">
        <f>IF(Table2[[#This Row],[Sold]]&gt;1000,"High Quality","Normal Quality")</f>
        <v>High Quality</v>
      </c>
      <c r="H865" s="12">
        <v>45375.413912037038</v>
      </c>
      <c r="I865" t="s">
        <v>290</v>
      </c>
      <c r="J865" t="s">
        <v>506</v>
      </c>
      <c r="K865" t="s">
        <v>118</v>
      </c>
    </row>
    <row r="866" spans="1:11" x14ac:dyDescent="0.35">
      <c r="A866" t="s">
        <v>2</v>
      </c>
      <c r="B866" t="s">
        <v>1</v>
      </c>
      <c r="C866" s="27">
        <v>14.99</v>
      </c>
      <c r="D866">
        <v>10</v>
      </c>
      <c r="E866">
        <v>358</v>
      </c>
      <c r="F866" s="4">
        <f t="shared" si="13"/>
        <v>5366.42</v>
      </c>
      <c r="G866" t="str">
        <f>IF(Table2[[#This Row],[Sold]]&gt;1000,"High Quality","Normal Quality")</f>
        <v>Normal Quality</v>
      </c>
      <c r="H866" s="12">
        <v>45375.414050925923</v>
      </c>
      <c r="I866" t="s">
        <v>273</v>
      </c>
      <c r="J866" t="s">
        <v>274</v>
      </c>
      <c r="K866" t="s">
        <v>118</v>
      </c>
    </row>
    <row r="867" spans="1:11" x14ac:dyDescent="0.35">
      <c r="A867" t="s">
        <v>229</v>
      </c>
      <c r="B867" t="s">
        <v>3</v>
      </c>
      <c r="C867" s="27">
        <v>59</v>
      </c>
      <c r="D867">
        <v>10</v>
      </c>
      <c r="E867">
        <v>601</v>
      </c>
      <c r="F867" s="4">
        <f t="shared" si="13"/>
        <v>35459</v>
      </c>
      <c r="G867" t="str">
        <f>IF(Table2[[#This Row],[Sold]]&gt;1000,"High Quality","Normal Quality")</f>
        <v>Normal Quality</v>
      </c>
      <c r="H867" s="12">
        <v>45375.414687500001</v>
      </c>
      <c r="I867" t="s">
        <v>511</v>
      </c>
      <c r="J867" t="s">
        <v>274</v>
      </c>
      <c r="K867" t="s">
        <v>118</v>
      </c>
    </row>
    <row r="868" spans="1:11" x14ac:dyDescent="0.35">
      <c r="A868" t="s">
        <v>24</v>
      </c>
      <c r="B868" t="s">
        <v>3</v>
      </c>
      <c r="C868" s="27">
        <v>25.81</v>
      </c>
      <c r="D868">
        <v>40</v>
      </c>
      <c r="E868">
        <v>1424</v>
      </c>
      <c r="F868" s="4">
        <f t="shared" si="13"/>
        <v>36753.439999999995</v>
      </c>
      <c r="G868" t="str">
        <f>IF(Table2[[#This Row],[Sold]]&gt;1000,"High Quality","Normal Quality")</f>
        <v>High Quality</v>
      </c>
      <c r="H868" s="12">
        <v>45375.415381944447</v>
      </c>
      <c r="I868" t="s">
        <v>291</v>
      </c>
      <c r="J868" t="s">
        <v>274</v>
      </c>
      <c r="K868" t="s">
        <v>118</v>
      </c>
    </row>
    <row r="869" spans="1:11" x14ac:dyDescent="0.35">
      <c r="A869" t="s">
        <v>10</v>
      </c>
      <c r="B869" t="s">
        <v>1</v>
      </c>
      <c r="C869" s="27">
        <v>114.99</v>
      </c>
      <c r="D869">
        <v>3</v>
      </c>
      <c r="E869">
        <v>13</v>
      </c>
      <c r="F869" s="4">
        <f t="shared" si="13"/>
        <v>1494.87</v>
      </c>
      <c r="G869" t="str">
        <f>IF(Table2[[#This Row],[Sold]]&gt;1000,"High Quality","Normal Quality")</f>
        <v>Normal Quality</v>
      </c>
      <c r="H869" s="12">
        <v>45375.416759259257</v>
      </c>
      <c r="I869" t="s">
        <v>424</v>
      </c>
      <c r="J869" t="s">
        <v>505</v>
      </c>
      <c r="K869" t="s">
        <v>118</v>
      </c>
    </row>
    <row r="870" spans="1:11" x14ac:dyDescent="0.35">
      <c r="A870" t="s">
        <v>52</v>
      </c>
      <c r="B870" t="s">
        <v>1</v>
      </c>
      <c r="C870" s="27">
        <v>99.99</v>
      </c>
      <c r="D870">
        <v>9</v>
      </c>
      <c r="E870">
        <v>8</v>
      </c>
      <c r="F870" s="4">
        <f t="shared" si="13"/>
        <v>799.92</v>
      </c>
      <c r="G870" t="str">
        <f>IF(Table2[[#This Row],[Sold]]&gt;1000,"High Quality","Normal Quality")</f>
        <v>Normal Quality</v>
      </c>
      <c r="H870" s="12">
        <v>45375.417650462965</v>
      </c>
      <c r="I870" t="s">
        <v>545</v>
      </c>
      <c r="J870" t="s">
        <v>283</v>
      </c>
      <c r="K870" t="s">
        <v>333</v>
      </c>
    </row>
    <row r="871" spans="1:11" x14ac:dyDescent="0.35">
      <c r="A871" t="s">
        <v>31</v>
      </c>
      <c r="B871" t="s">
        <v>1</v>
      </c>
      <c r="C871" s="27">
        <v>124.99</v>
      </c>
      <c r="D871">
        <v>10</v>
      </c>
      <c r="E871">
        <v>13</v>
      </c>
      <c r="F871" s="4">
        <f t="shared" si="13"/>
        <v>1624.87</v>
      </c>
      <c r="G871" t="str">
        <f>IF(Table2[[#This Row],[Sold]]&gt;1000,"High Quality","Normal Quality")</f>
        <v>Normal Quality</v>
      </c>
      <c r="H871" s="12">
        <v>45375.417650462965</v>
      </c>
      <c r="I871" t="s">
        <v>379</v>
      </c>
      <c r="J871" t="s">
        <v>318</v>
      </c>
      <c r="K871" t="s">
        <v>536</v>
      </c>
    </row>
    <row r="872" spans="1:11" x14ac:dyDescent="0.35">
      <c r="A872" t="s">
        <v>138</v>
      </c>
      <c r="B872" t="s">
        <v>37</v>
      </c>
      <c r="C872" s="27">
        <v>21.79</v>
      </c>
      <c r="D872">
        <v>10</v>
      </c>
      <c r="E872">
        <v>488</v>
      </c>
      <c r="F872" s="4">
        <f t="shared" si="13"/>
        <v>10633.52</v>
      </c>
      <c r="G872" t="str">
        <f>IF(Table2[[#This Row],[Sold]]&gt;1000,"High Quality","Normal Quality")</f>
        <v>Normal Quality</v>
      </c>
      <c r="H872" s="12">
        <v>45375.418773148151</v>
      </c>
      <c r="I872" t="s">
        <v>290</v>
      </c>
      <c r="J872" t="s">
        <v>506</v>
      </c>
      <c r="K872" t="s">
        <v>118</v>
      </c>
    </row>
    <row r="873" spans="1:11" x14ac:dyDescent="0.35">
      <c r="A873" t="s">
        <v>0</v>
      </c>
      <c r="B873" t="s">
        <v>1</v>
      </c>
      <c r="C873" s="27">
        <v>84.99</v>
      </c>
      <c r="D873">
        <v>7</v>
      </c>
      <c r="E873">
        <v>116</v>
      </c>
      <c r="F873" s="4">
        <f t="shared" si="13"/>
        <v>9858.84</v>
      </c>
      <c r="G873" t="str">
        <f>IF(Table2[[#This Row],[Sold]]&gt;1000,"High Quality","Normal Quality")</f>
        <v>Normal Quality</v>
      </c>
      <c r="H873" s="12">
        <v>45375.418796296297</v>
      </c>
      <c r="I873" t="s">
        <v>265</v>
      </c>
      <c r="J873" t="s">
        <v>266</v>
      </c>
      <c r="K873" t="s">
        <v>118</v>
      </c>
    </row>
    <row r="874" spans="1:11" x14ac:dyDescent="0.35">
      <c r="A874" t="s">
        <v>231</v>
      </c>
      <c r="B874" t="s">
        <v>3</v>
      </c>
      <c r="C874" s="27">
        <v>144.99</v>
      </c>
      <c r="D874">
        <v>10</v>
      </c>
      <c r="E874">
        <v>145</v>
      </c>
      <c r="F874" s="4">
        <f t="shared" si="13"/>
        <v>21023.550000000003</v>
      </c>
      <c r="G874" t="str">
        <f>IF(Table2[[#This Row],[Sold]]&gt;1000,"High Quality","Normal Quality")</f>
        <v>Normal Quality</v>
      </c>
      <c r="H874" s="12">
        <v>45375.421712962961</v>
      </c>
      <c r="I874" t="s">
        <v>511</v>
      </c>
      <c r="J874" t="s">
        <v>274</v>
      </c>
      <c r="K874" t="s">
        <v>118</v>
      </c>
    </row>
    <row r="875" spans="1:11" x14ac:dyDescent="0.35">
      <c r="A875" t="s">
        <v>2</v>
      </c>
      <c r="B875" t="s">
        <v>1</v>
      </c>
      <c r="C875" s="27">
        <v>12.98</v>
      </c>
      <c r="D875">
        <v>10</v>
      </c>
      <c r="E875">
        <v>103</v>
      </c>
      <c r="F875" s="4">
        <f t="shared" si="13"/>
        <v>1336.94</v>
      </c>
      <c r="G875" t="str">
        <f>IF(Table2[[#This Row],[Sold]]&gt;1000,"High Quality","Normal Quality")</f>
        <v>Normal Quality</v>
      </c>
      <c r="H875" s="12">
        <v>45375.423958333333</v>
      </c>
      <c r="I875" t="s">
        <v>512</v>
      </c>
      <c r="J875" t="s">
        <v>506</v>
      </c>
      <c r="K875" t="s">
        <v>118</v>
      </c>
    </row>
    <row r="876" spans="1:11" x14ac:dyDescent="0.35">
      <c r="A876" t="s">
        <v>12</v>
      </c>
      <c r="B876" t="s">
        <v>3</v>
      </c>
      <c r="C876" s="27">
        <v>66.39</v>
      </c>
      <c r="D876">
        <v>10</v>
      </c>
      <c r="E876">
        <v>1819</v>
      </c>
      <c r="F876" s="4">
        <f t="shared" si="13"/>
        <v>120763.41</v>
      </c>
      <c r="G876" t="str">
        <f>IF(Table2[[#This Row],[Sold]]&gt;1000,"High Quality","Normal Quality")</f>
        <v>High Quality</v>
      </c>
      <c r="H876" s="12">
        <v>45375.425092592595</v>
      </c>
      <c r="I876" t="s">
        <v>291</v>
      </c>
      <c r="J876" t="s">
        <v>274</v>
      </c>
      <c r="K876" t="s">
        <v>118</v>
      </c>
    </row>
    <row r="877" spans="1:11" x14ac:dyDescent="0.35">
      <c r="A877" t="s">
        <v>15</v>
      </c>
      <c r="B877" t="s">
        <v>1</v>
      </c>
      <c r="C877" s="27">
        <v>19.41</v>
      </c>
      <c r="D877">
        <v>3</v>
      </c>
      <c r="E877">
        <v>501</v>
      </c>
      <c r="F877" s="4">
        <f t="shared" si="13"/>
        <v>9724.41</v>
      </c>
      <c r="G877" t="str">
        <f>IF(Table2[[#This Row],[Sold]]&gt;1000,"High Quality","Normal Quality")</f>
        <v>Normal Quality</v>
      </c>
      <c r="H877" s="12">
        <v>45375.425810185188</v>
      </c>
      <c r="I877" t="s">
        <v>291</v>
      </c>
      <c r="J877" t="s">
        <v>274</v>
      </c>
      <c r="K877" t="s">
        <v>118</v>
      </c>
    </row>
    <row r="878" spans="1:11" x14ac:dyDescent="0.35">
      <c r="A878" t="s">
        <v>106</v>
      </c>
      <c r="B878" t="s">
        <v>1</v>
      </c>
      <c r="C878" s="27">
        <v>19.89</v>
      </c>
      <c r="D878">
        <v>47</v>
      </c>
      <c r="E878">
        <v>21</v>
      </c>
      <c r="F878" s="4">
        <f t="shared" si="13"/>
        <v>417.69</v>
      </c>
      <c r="G878" t="str">
        <f>IF(Table2[[#This Row],[Sold]]&gt;1000,"High Quality","Normal Quality")</f>
        <v>Normal Quality</v>
      </c>
      <c r="H878" s="12">
        <v>45375.425891203704</v>
      </c>
      <c r="I878" t="s">
        <v>285</v>
      </c>
      <c r="J878" t="s">
        <v>286</v>
      </c>
      <c r="K878" t="s">
        <v>118</v>
      </c>
    </row>
    <row r="879" spans="1:11" x14ac:dyDescent="0.35">
      <c r="A879" t="s">
        <v>2</v>
      </c>
      <c r="B879" t="s">
        <v>1</v>
      </c>
      <c r="C879" s="27">
        <v>14.99</v>
      </c>
      <c r="D879">
        <v>12</v>
      </c>
      <c r="E879">
        <v>172</v>
      </c>
      <c r="F879" s="4">
        <f t="shared" si="13"/>
        <v>2578.2800000000002</v>
      </c>
      <c r="G879" t="str">
        <f>IF(Table2[[#This Row],[Sold]]&gt;1000,"High Quality","Normal Quality")</f>
        <v>Normal Quality</v>
      </c>
      <c r="H879" s="12">
        <v>45375.427870370368</v>
      </c>
      <c r="I879" t="s">
        <v>512</v>
      </c>
      <c r="J879" t="s">
        <v>506</v>
      </c>
      <c r="K879" t="s">
        <v>118</v>
      </c>
    </row>
    <row r="880" spans="1:11" x14ac:dyDescent="0.35">
      <c r="A880" t="s">
        <v>50</v>
      </c>
      <c r="B880" t="s">
        <v>3</v>
      </c>
      <c r="C880" s="27">
        <v>51.99</v>
      </c>
      <c r="D880">
        <v>0</v>
      </c>
      <c r="E880">
        <v>248</v>
      </c>
      <c r="F880" s="4">
        <f t="shared" si="13"/>
        <v>12893.52</v>
      </c>
      <c r="G880" t="str">
        <f>IF(Table2[[#This Row],[Sold]]&gt;1000,"High Quality","Normal Quality")</f>
        <v>Normal Quality</v>
      </c>
      <c r="H880" s="12">
        <v>45375.428993055553</v>
      </c>
      <c r="I880" t="s">
        <v>325</v>
      </c>
      <c r="J880" t="s">
        <v>266</v>
      </c>
      <c r="K880" t="s">
        <v>118</v>
      </c>
    </row>
    <row r="881" spans="1:11" x14ac:dyDescent="0.35">
      <c r="A881" t="s">
        <v>24</v>
      </c>
      <c r="B881" t="s">
        <v>3</v>
      </c>
      <c r="C881" s="27">
        <v>52.62</v>
      </c>
      <c r="D881">
        <v>0</v>
      </c>
      <c r="E881">
        <v>5098</v>
      </c>
      <c r="F881" s="4">
        <f t="shared" si="13"/>
        <v>268256.76</v>
      </c>
      <c r="G881" t="str">
        <f>IF(Table2[[#This Row],[Sold]]&gt;1000,"High Quality","Normal Quality")</f>
        <v>High Quality</v>
      </c>
      <c r="H881" s="12">
        <v>45375.429224537038</v>
      </c>
      <c r="I881" t="s">
        <v>290</v>
      </c>
      <c r="J881" t="s">
        <v>506</v>
      </c>
      <c r="K881" t="s">
        <v>118</v>
      </c>
    </row>
    <row r="882" spans="1:11" x14ac:dyDescent="0.35">
      <c r="A882" t="s">
        <v>26</v>
      </c>
      <c r="B882" t="s">
        <v>3</v>
      </c>
      <c r="C882" s="27">
        <v>25.98</v>
      </c>
      <c r="D882">
        <v>207</v>
      </c>
      <c r="E882">
        <v>1536</v>
      </c>
      <c r="F882" s="4">
        <f t="shared" si="13"/>
        <v>39905.279999999999</v>
      </c>
      <c r="G882" t="str">
        <f>IF(Table2[[#This Row],[Sold]]&gt;1000,"High Quality","Normal Quality")</f>
        <v>High Quality</v>
      </c>
      <c r="H882" s="12">
        <v>45375.429224537038</v>
      </c>
      <c r="I882" t="s">
        <v>290</v>
      </c>
      <c r="J882" t="s">
        <v>506</v>
      </c>
      <c r="K882" t="s">
        <v>118</v>
      </c>
    </row>
    <row r="883" spans="1:11" x14ac:dyDescent="0.35">
      <c r="A883" t="s">
        <v>37</v>
      </c>
      <c r="B883" t="s">
        <v>3</v>
      </c>
      <c r="C883" s="27">
        <v>38.94</v>
      </c>
      <c r="D883">
        <v>5</v>
      </c>
      <c r="E883">
        <v>2247</v>
      </c>
      <c r="F883" s="4">
        <f t="shared" si="13"/>
        <v>87498.18</v>
      </c>
      <c r="G883" t="str">
        <f>IF(Table2[[#This Row],[Sold]]&gt;1000,"High Quality","Normal Quality")</f>
        <v>High Quality</v>
      </c>
      <c r="H883" s="12">
        <v>45375.429236111115</v>
      </c>
      <c r="I883" t="s">
        <v>291</v>
      </c>
      <c r="J883" t="s">
        <v>274</v>
      </c>
      <c r="K883" t="s">
        <v>118</v>
      </c>
    </row>
    <row r="884" spans="1:11" x14ac:dyDescent="0.35">
      <c r="A884" t="s">
        <v>10</v>
      </c>
      <c r="B884" t="s">
        <v>3</v>
      </c>
      <c r="C884" s="27">
        <v>63.69</v>
      </c>
      <c r="D884">
        <v>0</v>
      </c>
      <c r="E884">
        <v>4733</v>
      </c>
      <c r="F884" s="4">
        <f t="shared" si="13"/>
        <v>301444.76999999996</v>
      </c>
      <c r="G884" t="str">
        <f>IF(Table2[[#This Row],[Sold]]&gt;1000,"High Quality","Normal Quality")</f>
        <v>High Quality</v>
      </c>
      <c r="H884" s="12">
        <v>45375.429247685184</v>
      </c>
      <c r="I884" t="s">
        <v>290</v>
      </c>
      <c r="J884" t="s">
        <v>506</v>
      </c>
      <c r="K884" t="s">
        <v>118</v>
      </c>
    </row>
    <row r="885" spans="1:11" x14ac:dyDescent="0.35">
      <c r="A885" t="s">
        <v>77</v>
      </c>
      <c r="B885" t="s">
        <v>3</v>
      </c>
      <c r="C885" s="27">
        <v>16.39</v>
      </c>
      <c r="D885">
        <v>9</v>
      </c>
      <c r="E885">
        <v>1630</v>
      </c>
      <c r="F885" s="4">
        <f t="shared" si="13"/>
        <v>26715.7</v>
      </c>
      <c r="G885" t="str">
        <f>IF(Table2[[#This Row],[Sold]]&gt;1000,"High Quality","Normal Quality")</f>
        <v>High Quality</v>
      </c>
      <c r="H885" s="12">
        <v>45375.429259259261</v>
      </c>
      <c r="I885" t="s">
        <v>291</v>
      </c>
      <c r="J885" t="s">
        <v>274</v>
      </c>
      <c r="K885" t="s">
        <v>118</v>
      </c>
    </row>
    <row r="886" spans="1:11" x14ac:dyDescent="0.35">
      <c r="A886" t="s">
        <v>229</v>
      </c>
      <c r="B886" t="s">
        <v>3</v>
      </c>
      <c r="C886" s="27">
        <v>34.72</v>
      </c>
      <c r="D886">
        <v>2</v>
      </c>
      <c r="E886">
        <v>627</v>
      </c>
      <c r="F886" s="4">
        <f t="shared" si="13"/>
        <v>21769.439999999999</v>
      </c>
      <c r="G886" t="str">
        <f>IF(Table2[[#This Row],[Sold]]&gt;1000,"High Quality","Normal Quality")</f>
        <v>Normal Quality</v>
      </c>
      <c r="H886" s="12">
        <v>45375.430659722224</v>
      </c>
      <c r="I886" t="s">
        <v>291</v>
      </c>
      <c r="J886" t="s">
        <v>274</v>
      </c>
      <c r="K886" t="s">
        <v>118</v>
      </c>
    </row>
    <row r="887" spans="1:11" x14ac:dyDescent="0.35">
      <c r="A887" t="s">
        <v>20</v>
      </c>
      <c r="B887" t="s">
        <v>1</v>
      </c>
      <c r="C887" s="27">
        <v>38.409999999999997</v>
      </c>
      <c r="D887">
        <v>5</v>
      </c>
      <c r="E887">
        <v>147</v>
      </c>
      <c r="F887" s="4">
        <f t="shared" si="13"/>
        <v>5646.2699999999995</v>
      </c>
      <c r="G887" t="str">
        <f>IF(Table2[[#This Row],[Sold]]&gt;1000,"High Quality","Normal Quality")</f>
        <v>Normal Quality</v>
      </c>
      <c r="H887" s="12">
        <v>45375.431342592594</v>
      </c>
      <c r="I887" t="s">
        <v>301</v>
      </c>
      <c r="J887" t="s">
        <v>506</v>
      </c>
      <c r="K887" t="s">
        <v>118</v>
      </c>
    </row>
    <row r="888" spans="1:11" x14ac:dyDescent="0.35">
      <c r="A888" t="s">
        <v>126</v>
      </c>
      <c r="B888" t="s">
        <v>1</v>
      </c>
      <c r="C888" s="27">
        <v>38.979999999999997</v>
      </c>
      <c r="D888">
        <v>10</v>
      </c>
      <c r="E888">
        <v>129</v>
      </c>
      <c r="F888" s="4">
        <f t="shared" si="13"/>
        <v>5028.4199999999992</v>
      </c>
      <c r="G888" t="str">
        <f>IF(Table2[[#This Row],[Sold]]&gt;1000,"High Quality","Normal Quality")</f>
        <v>Normal Quality</v>
      </c>
      <c r="H888" s="12">
        <v>45375.431388888886</v>
      </c>
      <c r="I888" t="s">
        <v>301</v>
      </c>
      <c r="J888" t="s">
        <v>506</v>
      </c>
      <c r="K888" t="s">
        <v>118</v>
      </c>
    </row>
    <row r="889" spans="1:11" x14ac:dyDescent="0.35">
      <c r="A889" t="s">
        <v>236</v>
      </c>
      <c r="B889" t="s">
        <v>45</v>
      </c>
      <c r="C889" s="27">
        <v>24.35</v>
      </c>
      <c r="D889">
        <v>5</v>
      </c>
      <c r="E889">
        <v>88</v>
      </c>
      <c r="F889" s="4">
        <f t="shared" si="13"/>
        <v>2142.8000000000002</v>
      </c>
      <c r="G889" t="str">
        <f>IF(Table2[[#This Row],[Sold]]&gt;1000,"High Quality","Normal Quality")</f>
        <v>Normal Quality</v>
      </c>
      <c r="H889" s="12">
        <v>45375.431516203702</v>
      </c>
      <c r="I889" t="s">
        <v>301</v>
      </c>
      <c r="J889" t="s">
        <v>506</v>
      </c>
      <c r="K889" t="s">
        <v>118</v>
      </c>
    </row>
    <row r="890" spans="1:11" x14ac:dyDescent="0.35">
      <c r="A890" t="s">
        <v>119</v>
      </c>
      <c r="B890" t="s">
        <v>1</v>
      </c>
      <c r="C890" s="27">
        <v>74.59</v>
      </c>
      <c r="D890">
        <v>4</v>
      </c>
      <c r="E890">
        <v>1</v>
      </c>
      <c r="F890" s="4">
        <f t="shared" si="13"/>
        <v>74.59</v>
      </c>
      <c r="G890" t="str">
        <f>IF(Table2[[#This Row],[Sold]]&gt;1000,"High Quality","Normal Quality")</f>
        <v>Normal Quality</v>
      </c>
      <c r="H890" s="12">
        <v>45375.432337962964</v>
      </c>
      <c r="I890" t="s">
        <v>506</v>
      </c>
      <c r="J890" t="s">
        <v>505</v>
      </c>
      <c r="K890" t="s">
        <v>118</v>
      </c>
    </row>
    <row r="891" spans="1:11" x14ac:dyDescent="0.35">
      <c r="A891" t="s">
        <v>10</v>
      </c>
      <c r="B891" t="s">
        <v>1</v>
      </c>
      <c r="C891" s="27">
        <v>40.99</v>
      </c>
      <c r="D891">
        <v>3</v>
      </c>
      <c r="E891">
        <v>16</v>
      </c>
      <c r="F891" s="4">
        <f t="shared" si="13"/>
        <v>655.84</v>
      </c>
      <c r="G891" t="str">
        <f>IF(Table2[[#This Row],[Sold]]&gt;1000,"High Quality","Normal Quality")</f>
        <v>Normal Quality</v>
      </c>
      <c r="H891" s="12">
        <v>45375.434421296297</v>
      </c>
      <c r="I891" t="s">
        <v>325</v>
      </c>
      <c r="J891" t="s">
        <v>266</v>
      </c>
      <c r="K891" t="s">
        <v>118</v>
      </c>
    </row>
    <row r="892" spans="1:11" x14ac:dyDescent="0.35">
      <c r="A892" t="s">
        <v>51</v>
      </c>
      <c r="B892" t="s">
        <v>3</v>
      </c>
      <c r="C892" s="27">
        <v>38.24</v>
      </c>
      <c r="D892">
        <v>65</v>
      </c>
      <c r="E892">
        <v>13549</v>
      </c>
      <c r="F892" s="4">
        <f t="shared" si="13"/>
        <v>518113.76</v>
      </c>
      <c r="G892" t="str">
        <f>IF(Table2[[#This Row],[Sold]]&gt;1000,"High Quality","Normal Quality")</f>
        <v>High Quality</v>
      </c>
      <c r="H892" s="12">
        <v>45375.43540509259</v>
      </c>
      <c r="I892" t="s">
        <v>290</v>
      </c>
      <c r="J892" t="s">
        <v>506</v>
      </c>
      <c r="K892" t="s">
        <v>118</v>
      </c>
    </row>
    <row r="893" spans="1:11" x14ac:dyDescent="0.35">
      <c r="A893" t="s">
        <v>12</v>
      </c>
      <c r="B893" t="s">
        <v>3</v>
      </c>
      <c r="C893" s="27">
        <v>39.770000000000003</v>
      </c>
      <c r="D893">
        <v>0</v>
      </c>
      <c r="E893">
        <v>31718</v>
      </c>
      <c r="F893" s="4">
        <f t="shared" si="13"/>
        <v>1261424.8600000001</v>
      </c>
      <c r="G893" t="str">
        <f>IF(Table2[[#This Row],[Sold]]&gt;1000,"High Quality","Normal Quality")</f>
        <v>High Quality</v>
      </c>
      <c r="H893" s="12">
        <v>45375.43540509259</v>
      </c>
      <c r="I893" t="s">
        <v>290</v>
      </c>
      <c r="J893" t="s">
        <v>506</v>
      </c>
      <c r="K893" t="s">
        <v>118</v>
      </c>
    </row>
    <row r="894" spans="1:11" x14ac:dyDescent="0.35">
      <c r="A894" t="s">
        <v>12</v>
      </c>
      <c r="B894" t="s">
        <v>3</v>
      </c>
      <c r="C894" s="27">
        <v>20.37</v>
      </c>
      <c r="D894">
        <v>0</v>
      </c>
      <c r="E894">
        <v>4569</v>
      </c>
      <c r="F894" s="4">
        <f t="shared" si="13"/>
        <v>93070.53</v>
      </c>
      <c r="G894" t="str">
        <f>IF(Table2[[#This Row],[Sold]]&gt;1000,"High Quality","Normal Quality")</f>
        <v>High Quality</v>
      </c>
      <c r="H894" s="12">
        <v>45375.43540509259</v>
      </c>
      <c r="I894" t="s">
        <v>290</v>
      </c>
      <c r="J894" t="s">
        <v>506</v>
      </c>
      <c r="K894" t="s">
        <v>118</v>
      </c>
    </row>
    <row r="895" spans="1:11" x14ac:dyDescent="0.35">
      <c r="A895" t="s">
        <v>133</v>
      </c>
      <c r="B895" t="s">
        <v>3</v>
      </c>
      <c r="C895" s="27">
        <v>50.79</v>
      </c>
      <c r="D895">
        <v>0</v>
      </c>
      <c r="E895">
        <v>7506</v>
      </c>
      <c r="F895" s="4">
        <f t="shared" si="13"/>
        <v>381229.74</v>
      </c>
      <c r="G895" t="str">
        <f>IF(Table2[[#This Row],[Sold]]&gt;1000,"High Quality","Normal Quality")</f>
        <v>High Quality</v>
      </c>
      <c r="H895" s="12">
        <v>45375.43540509259</v>
      </c>
      <c r="I895" t="s">
        <v>290</v>
      </c>
      <c r="J895" t="s">
        <v>506</v>
      </c>
      <c r="K895" t="s">
        <v>118</v>
      </c>
    </row>
    <row r="896" spans="1:11" x14ac:dyDescent="0.35">
      <c r="A896" t="s">
        <v>231</v>
      </c>
      <c r="B896" t="s">
        <v>3</v>
      </c>
      <c r="C896" s="27">
        <v>58.95</v>
      </c>
      <c r="D896">
        <v>10</v>
      </c>
      <c r="E896">
        <v>545</v>
      </c>
      <c r="F896" s="4">
        <f t="shared" si="13"/>
        <v>32127.75</v>
      </c>
      <c r="G896" t="str">
        <f>IF(Table2[[#This Row],[Sold]]&gt;1000,"High Quality","Normal Quality")</f>
        <v>Normal Quality</v>
      </c>
      <c r="H896" s="12">
        <v>45375.43550925926</v>
      </c>
      <c r="I896" t="s">
        <v>291</v>
      </c>
      <c r="J896" t="s">
        <v>274</v>
      </c>
      <c r="K896" t="s">
        <v>118</v>
      </c>
    </row>
    <row r="897" spans="1:11" x14ac:dyDescent="0.35">
      <c r="A897" t="s">
        <v>132</v>
      </c>
      <c r="B897" t="s">
        <v>1</v>
      </c>
      <c r="C897" s="27">
        <v>13.5</v>
      </c>
      <c r="D897">
        <v>31</v>
      </c>
      <c r="E897">
        <v>17</v>
      </c>
      <c r="F897" s="4">
        <f t="shared" si="13"/>
        <v>229.5</v>
      </c>
      <c r="G897" t="str">
        <f>IF(Table2[[#This Row],[Sold]]&gt;1000,"High Quality","Normal Quality")</f>
        <v>Normal Quality</v>
      </c>
      <c r="H897" s="12">
        <v>45383.908194444448</v>
      </c>
      <c r="I897" t="s">
        <v>514</v>
      </c>
      <c r="J897" t="s">
        <v>505</v>
      </c>
      <c r="K897" t="s">
        <v>118</v>
      </c>
    </row>
    <row r="898" spans="1:11" x14ac:dyDescent="0.35">
      <c r="A898" t="s">
        <v>133</v>
      </c>
      <c r="B898" t="s">
        <v>3</v>
      </c>
      <c r="C898" s="27">
        <v>17.95</v>
      </c>
      <c r="D898">
        <v>310</v>
      </c>
      <c r="E898">
        <v>75</v>
      </c>
      <c r="F898" s="4">
        <f t="shared" ref="F898:F961" si="14">C:C*E:E</f>
        <v>1346.25</v>
      </c>
      <c r="G898" t="str">
        <f>IF(Table2[[#This Row],[Sold]]&gt;1000,"High Quality","Normal Quality")</f>
        <v>Normal Quality</v>
      </c>
      <c r="H898" s="12">
        <v>45384.475416666668</v>
      </c>
      <c r="I898" t="s">
        <v>352</v>
      </c>
      <c r="J898" t="s">
        <v>353</v>
      </c>
      <c r="K898" t="s">
        <v>118</v>
      </c>
    </row>
    <row r="899" spans="1:11" x14ac:dyDescent="0.35">
      <c r="A899" t="s">
        <v>17</v>
      </c>
      <c r="B899" t="s">
        <v>1</v>
      </c>
      <c r="C899" s="27">
        <v>11</v>
      </c>
      <c r="D899">
        <v>10</v>
      </c>
      <c r="E899">
        <v>702</v>
      </c>
      <c r="F899" s="4">
        <f t="shared" si="14"/>
        <v>7722</v>
      </c>
      <c r="G899" t="str">
        <f>IF(Table2[[#This Row],[Sold]]&gt;1000,"High Quality","Normal Quality")</f>
        <v>Normal Quality</v>
      </c>
      <c r="H899" s="12">
        <v>45387.036111111112</v>
      </c>
      <c r="I899" t="s">
        <v>514</v>
      </c>
      <c r="J899" t="s">
        <v>505</v>
      </c>
      <c r="K899" t="s">
        <v>118</v>
      </c>
    </row>
    <row r="900" spans="1:11" x14ac:dyDescent="0.35">
      <c r="A900" t="s">
        <v>17</v>
      </c>
      <c r="B900" t="s">
        <v>1</v>
      </c>
      <c r="C900" s="27">
        <v>7.5</v>
      </c>
      <c r="D900">
        <v>24</v>
      </c>
      <c r="E900">
        <v>115</v>
      </c>
      <c r="F900" s="4">
        <f t="shared" si="14"/>
        <v>862.5</v>
      </c>
      <c r="G900" t="str">
        <f>IF(Table2[[#This Row],[Sold]]&gt;1000,"High Quality","Normal Quality")</f>
        <v>Normal Quality</v>
      </c>
      <c r="H900" s="12">
        <v>45387.036886574075</v>
      </c>
      <c r="I900" t="s">
        <v>514</v>
      </c>
      <c r="J900" t="s">
        <v>505</v>
      </c>
      <c r="K900" t="s">
        <v>118</v>
      </c>
    </row>
    <row r="901" spans="1:11" x14ac:dyDescent="0.35">
      <c r="A901" t="s">
        <v>43</v>
      </c>
      <c r="B901" t="s">
        <v>3</v>
      </c>
      <c r="C901" s="27">
        <v>16.989999999999998</v>
      </c>
      <c r="D901">
        <v>4</v>
      </c>
      <c r="E901">
        <v>28</v>
      </c>
      <c r="F901" s="4">
        <f t="shared" si="14"/>
        <v>475.71999999999997</v>
      </c>
      <c r="G901" t="str">
        <f>IF(Table2[[#This Row],[Sold]]&gt;1000,"High Quality","Normal Quality")</f>
        <v>Normal Quality</v>
      </c>
      <c r="H901" s="12">
        <v>45390.210127314815</v>
      </c>
      <c r="I901" t="s">
        <v>352</v>
      </c>
      <c r="J901" t="s">
        <v>353</v>
      </c>
      <c r="K901" t="s">
        <v>118</v>
      </c>
    </row>
    <row r="902" spans="1:11" x14ac:dyDescent="0.35">
      <c r="A902" t="s">
        <v>215</v>
      </c>
      <c r="B902" t="s">
        <v>1</v>
      </c>
      <c r="C902" s="27">
        <v>14.7</v>
      </c>
      <c r="D902">
        <v>7</v>
      </c>
      <c r="E902">
        <v>119</v>
      </c>
      <c r="F902" s="4">
        <f t="shared" si="14"/>
        <v>1749.3</v>
      </c>
      <c r="G902" t="str">
        <f>IF(Table2[[#This Row],[Sold]]&gt;1000,"High Quality","Normal Quality")</f>
        <v>Normal Quality</v>
      </c>
      <c r="H902" s="12">
        <v>45391.249432870369</v>
      </c>
      <c r="I902" t="s">
        <v>321</v>
      </c>
      <c r="J902" t="s">
        <v>269</v>
      </c>
      <c r="K902" t="s">
        <v>118</v>
      </c>
    </row>
    <row r="903" spans="1:11" x14ac:dyDescent="0.35">
      <c r="A903" t="s">
        <v>9</v>
      </c>
      <c r="B903" t="s">
        <v>3</v>
      </c>
      <c r="C903" s="27">
        <v>25</v>
      </c>
      <c r="D903">
        <v>3</v>
      </c>
      <c r="E903">
        <v>8</v>
      </c>
      <c r="F903" s="4">
        <f t="shared" si="14"/>
        <v>200</v>
      </c>
      <c r="G903" t="str">
        <f>IF(Table2[[#This Row],[Sold]]&gt;1000,"High Quality","Normal Quality")</f>
        <v>Normal Quality</v>
      </c>
      <c r="H903" s="12">
        <v>45393.190057870372</v>
      </c>
      <c r="I903" t="s">
        <v>475</v>
      </c>
      <c r="J903" t="s">
        <v>396</v>
      </c>
      <c r="K903" t="s">
        <v>118</v>
      </c>
    </row>
    <row r="904" spans="1:11" x14ac:dyDescent="0.35">
      <c r="A904" t="s">
        <v>240</v>
      </c>
      <c r="B904" t="s">
        <v>1</v>
      </c>
      <c r="C904" s="27">
        <v>25.7</v>
      </c>
      <c r="D904">
        <v>10</v>
      </c>
      <c r="E904">
        <v>72</v>
      </c>
      <c r="F904" s="4">
        <f t="shared" si="14"/>
        <v>1850.3999999999999</v>
      </c>
      <c r="G904" t="str">
        <f>IF(Table2[[#This Row],[Sold]]&gt;1000,"High Quality","Normal Quality")</f>
        <v>Normal Quality</v>
      </c>
      <c r="H904" s="12">
        <v>45394.322164351855</v>
      </c>
      <c r="I904" t="s">
        <v>506</v>
      </c>
      <c r="J904" t="s">
        <v>505</v>
      </c>
      <c r="K904" t="s">
        <v>118</v>
      </c>
    </row>
    <row r="905" spans="1:11" x14ac:dyDescent="0.35">
      <c r="A905" t="s">
        <v>62</v>
      </c>
      <c r="B905" t="s">
        <v>3</v>
      </c>
      <c r="C905" s="27">
        <v>8.8800000000000008</v>
      </c>
      <c r="D905">
        <v>5</v>
      </c>
      <c r="E905">
        <v>21</v>
      </c>
      <c r="F905" s="4">
        <f t="shared" si="14"/>
        <v>186.48000000000002</v>
      </c>
      <c r="G905" t="str">
        <f>IF(Table2[[#This Row],[Sold]]&gt;1000,"High Quality","Normal Quality")</f>
        <v>Normal Quality</v>
      </c>
      <c r="H905" s="12">
        <v>45394.367789351854</v>
      </c>
      <c r="I905" t="s">
        <v>523</v>
      </c>
      <c r="J905" t="s">
        <v>286</v>
      </c>
      <c r="K905" t="s">
        <v>118</v>
      </c>
    </row>
    <row r="906" spans="1:11" x14ac:dyDescent="0.35">
      <c r="A906" t="s">
        <v>27</v>
      </c>
      <c r="B906" t="s">
        <v>1</v>
      </c>
      <c r="C906" s="27">
        <v>37.590000000000003</v>
      </c>
      <c r="D906">
        <v>10</v>
      </c>
      <c r="E906">
        <v>78</v>
      </c>
      <c r="F906" s="4">
        <f t="shared" si="14"/>
        <v>2932.0200000000004</v>
      </c>
      <c r="G906" t="str">
        <f>IF(Table2[[#This Row],[Sold]]&gt;1000,"High Quality","Normal Quality")</f>
        <v>Normal Quality</v>
      </c>
      <c r="H906" s="12">
        <v>45394.398587962962</v>
      </c>
      <c r="I906" t="s">
        <v>301</v>
      </c>
      <c r="J906" t="s">
        <v>506</v>
      </c>
      <c r="K906" t="s">
        <v>118</v>
      </c>
    </row>
    <row r="907" spans="1:11" x14ac:dyDescent="0.35">
      <c r="A907" t="s">
        <v>36</v>
      </c>
      <c r="B907" t="s">
        <v>37</v>
      </c>
      <c r="C907" s="27">
        <v>49.99</v>
      </c>
      <c r="D907">
        <v>5</v>
      </c>
      <c r="E907">
        <v>381</v>
      </c>
      <c r="F907" s="4">
        <f t="shared" si="14"/>
        <v>19046.190000000002</v>
      </c>
      <c r="G907" t="str">
        <f>IF(Table2[[#This Row],[Sold]]&gt;1000,"High Quality","Normal Quality")</f>
        <v>Normal Quality</v>
      </c>
      <c r="H907" s="12">
        <v>45394.459629629629</v>
      </c>
      <c r="I907" t="s">
        <v>380</v>
      </c>
      <c r="J907" t="s">
        <v>505</v>
      </c>
      <c r="K907" t="s">
        <v>118</v>
      </c>
    </row>
    <row r="908" spans="1:11" x14ac:dyDescent="0.35">
      <c r="A908" t="s">
        <v>235</v>
      </c>
      <c r="B908" t="s">
        <v>37</v>
      </c>
      <c r="C908" s="27">
        <v>59.97</v>
      </c>
      <c r="D908">
        <v>150</v>
      </c>
      <c r="E908">
        <v>35</v>
      </c>
      <c r="F908" s="4">
        <f t="shared" si="14"/>
        <v>2098.9499999999998</v>
      </c>
      <c r="G908" t="str">
        <f>IF(Table2[[#This Row],[Sold]]&gt;1000,"High Quality","Normal Quality")</f>
        <v>Normal Quality</v>
      </c>
      <c r="H908" s="12">
        <v>45394.58866898148</v>
      </c>
      <c r="I908" t="s">
        <v>427</v>
      </c>
      <c r="J908" t="s">
        <v>428</v>
      </c>
      <c r="K908" t="s">
        <v>118</v>
      </c>
    </row>
    <row r="909" spans="1:11" x14ac:dyDescent="0.35">
      <c r="A909" t="s">
        <v>131</v>
      </c>
      <c r="B909" t="s">
        <v>3</v>
      </c>
      <c r="C909" s="27">
        <v>14.98</v>
      </c>
      <c r="D909">
        <v>0</v>
      </c>
      <c r="E909">
        <v>206</v>
      </c>
      <c r="F909" s="4">
        <f t="shared" si="14"/>
        <v>3085.88</v>
      </c>
      <c r="G909" t="str">
        <f>IF(Table2[[#This Row],[Sold]]&gt;1000,"High Quality","Normal Quality")</f>
        <v>Normal Quality</v>
      </c>
      <c r="H909" s="12">
        <v>45394.664652777778</v>
      </c>
      <c r="I909" t="s">
        <v>324</v>
      </c>
      <c r="J909" t="s">
        <v>269</v>
      </c>
      <c r="K909" t="s">
        <v>118</v>
      </c>
    </row>
    <row r="910" spans="1:11" x14ac:dyDescent="0.35">
      <c r="A910" t="s">
        <v>46</v>
      </c>
      <c r="B910" t="s">
        <v>1</v>
      </c>
      <c r="C910" s="27">
        <v>20</v>
      </c>
      <c r="D910">
        <v>8</v>
      </c>
      <c r="E910">
        <v>16</v>
      </c>
      <c r="F910" s="4">
        <f t="shared" si="14"/>
        <v>320</v>
      </c>
      <c r="G910" t="str">
        <f>IF(Table2[[#This Row],[Sold]]&gt;1000,"High Quality","Normal Quality")</f>
        <v>Normal Quality</v>
      </c>
      <c r="H910" s="12">
        <v>45394.893113425926</v>
      </c>
      <c r="I910" t="s">
        <v>335</v>
      </c>
      <c r="J910" t="s">
        <v>282</v>
      </c>
      <c r="K910" t="s">
        <v>118</v>
      </c>
    </row>
    <row r="911" spans="1:11" x14ac:dyDescent="0.35">
      <c r="A911" t="s">
        <v>112</v>
      </c>
      <c r="B911" t="s">
        <v>3</v>
      </c>
      <c r="C911" s="27">
        <v>94.99</v>
      </c>
      <c r="D911">
        <v>9</v>
      </c>
      <c r="E911">
        <v>24</v>
      </c>
      <c r="F911" s="4">
        <f t="shared" si="14"/>
        <v>2279.7599999999998</v>
      </c>
      <c r="G911" t="str">
        <f>IF(Table2[[#This Row],[Sold]]&gt;1000,"High Quality","Normal Quality")</f>
        <v>Normal Quality</v>
      </c>
      <c r="H911" s="12">
        <v>45396.682233796295</v>
      </c>
      <c r="I911" t="s">
        <v>509</v>
      </c>
      <c r="J911" t="s">
        <v>505</v>
      </c>
      <c r="K911" t="s">
        <v>118</v>
      </c>
    </row>
    <row r="912" spans="1:11" x14ac:dyDescent="0.35">
      <c r="A912" t="s">
        <v>193</v>
      </c>
      <c r="B912" t="s">
        <v>3</v>
      </c>
      <c r="C912" s="27">
        <v>52.99</v>
      </c>
      <c r="D912">
        <v>6</v>
      </c>
      <c r="E912">
        <v>117</v>
      </c>
      <c r="F912" s="4">
        <f t="shared" si="14"/>
        <v>6199.83</v>
      </c>
      <c r="G912" t="str">
        <f>IF(Table2[[#This Row],[Sold]]&gt;1000,"High Quality","Normal Quality")</f>
        <v>Normal Quality</v>
      </c>
      <c r="H912" s="12">
        <v>45397.429826388892</v>
      </c>
      <c r="I912" t="s">
        <v>285</v>
      </c>
      <c r="J912" t="s">
        <v>286</v>
      </c>
      <c r="K912" t="s">
        <v>118</v>
      </c>
    </row>
    <row r="913" spans="1:11" x14ac:dyDescent="0.35">
      <c r="A913" t="s">
        <v>240</v>
      </c>
      <c r="B913" t="s">
        <v>1</v>
      </c>
      <c r="C913" s="27">
        <v>21.8</v>
      </c>
      <c r="D913">
        <v>9</v>
      </c>
      <c r="E913">
        <v>7</v>
      </c>
      <c r="F913" s="4">
        <f t="shared" si="14"/>
        <v>152.6</v>
      </c>
      <c r="G913" t="str">
        <f>IF(Table2[[#This Row],[Sold]]&gt;1000,"High Quality","Normal Quality")</f>
        <v>Normal Quality</v>
      </c>
      <c r="H913" s="12">
        <v>45398.575949074075</v>
      </c>
      <c r="I913" t="s">
        <v>506</v>
      </c>
      <c r="J913" t="s">
        <v>505</v>
      </c>
      <c r="K913" t="s">
        <v>118</v>
      </c>
    </row>
    <row r="914" spans="1:11" x14ac:dyDescent="0.35">
      <c r="A914" t="s">
        <v>2</v>
      </c>
      <c r="B914" t="s">
        <v>150</v>
      </c>
      <c r="C914" s="27">
        <v>7.19</v>
      </c>
      <c r="D914">
        <v>10</v>
      </c>
      <c r="E914">
        <v>131</v>
      </c>
      <c r="F914" s="4">
        <f t="shared" si="14"/>
        <v>941.8900000000001</v>
      </c>
      <c r="G914" t="str">
        <f>IF(Table2[[#This Row],[Sold]]&gt;1000,"High Quality","Normal Quality")</f>
        <v>Normal Quality</v>
      </c>
      <c r="H914" s="12">
        <v>45399.987430555557</v>
      </c>
      <c r="I914" t="s">
        <v>273</v>
      </c>
      <c r="J914" t="s">
        <v>274</v>
      </c>
      <c r="K914" t="s">
        <v>118</v>
      </c>
    </row>
    <row r="915" spans="1:11" x14ac:dyDescent="0.35">
      <c r="A915" t="s">
        <v>39</v>
      </c>
      <c r="B915" t="s">
        <v>1</v>
      </c>
      <c r="C915" s="27">
        <v>69.989999999999995</v>
      </c>
      <c r="D915">
        <v>10</v>
      </c>
      <c r="E915">
        <v>11</v>
      </c>
      <c r="F915" s="4">
        <f t="shared" si="14"/>
        <v>769.89</v>
      </c>
      <c r="G915" t="str">
        <f>IF(Table2[[#This Row],[Sold]]&gt;1000,"High Quality","Normal Quality")</f>
        <v>Normal Quality</v>
      </c>
      <c r="H915" s="12">
        <v>45403.812893518516</v>
      </c>
      <c r="I915" t="s">
        <v>333</v>
      </c>
      <c r="J915" t="s">
        <v>283</v>
      </c>
      <c r="K915" t="s">
        <v>333</v>
      </c>
    </row>
    <row r="916" spans="1:11" x14ac:dyDescent="0.35">
      <c r="A916" t="s">
        <v>69</v>
      </c>
      <c r="B916" t="s">
        <v>1</v>
      </c>
      <c r="C916" s="27">
        <v>22.95</v>
      </c>
      <c r="D916">
        <v>6</v>
      </c>
      <c r="E916">
        <v>647</v>
      </c>
      <c r="F916" s="4">
        <f t="shared" si="14"/>
        <v>14848.65</v>
      </c>
      <c r="G916" t="str">
        <f>IF(Table2[[#This Row],[Sold]]&gt;1000,"High Quality","Normal Quality")</f>
        <v>Normal Quality</v>
      </c>
      <c r="H916" s="12">
        <v>45403.890069444446</v>
      </c>
      <c r="I916" t="s">
        <v>358</v>
      </c>
      <c r="J916" t="s">
        <v>274</v>
      </c>
      <c r="K916" t="s">
        <v>118</v>
      </c>
    </row>
    <row r="917" spans="1:11" x14ac:dyDescent="0.35">
      <c r="A917" t="s">
        <v>10</v>
      </c>
      <c r="B917" t="s">
        <v>1</v>
      </c>
      <c r="C917" s="27">
        <v>77.989999999999995</v>
      </c>
      <c r="D917">
        <v>4</v>
      </c>
      <c r="E917">
        <v>9</v>
      </c>
      <c r="F917" s="4">
        <f t="shared" si="14"/>
        <v>701.91</v>
      </c>
      <c r="G917" t="str">
        <f>IF(Table2[[#This Row],[Sold]]&gt;1000,"High Quality","Normal Quality")</f>
        <v>Normal Quality</v>
      </c>
      <c r="H917" s="12">
        <v>45403.962939814817</v>
      </c>
      <c r="I917" t="s">
        <v>285</v>
      </c>
      <c r="J917" t="s">
        <v>286</v>
      </c>
      <c r="K917" t="s">
        <v>118</v>
      </c>
    </row>
    <row r="918" spans="1:11" x14ac:dyDescent="0.35">
      <c r="A918" t="s">
        <v>27</v>
      </c>
      <c r="B918" t="s">
        <v>1</v>
      </c>
      <c r="C918" s="27">
        <v>8.99</v>
      </c>
      <c r="D918">
        <v>6</v>
      </c>
      <c r="E918">
        <v>8</v>
      </c>
      <c r="F918" s="4">
        <f t="shared" si="14"/>
        <v>71.92</v>
      </c>
      <c r="G918" t="str">
        <f>IF(Table2[[#This Row],[Sold]]&gt;1000,"High Quality","Normal Quality")</f>
        <v>Normal Quality</v>
      </c>
      <c r="H918" s="12">
        <v>45404.232361111113</v>
      </c>
      <c r="I918" t="s">
        <v>489</v>
      </c>
      <c r="J918" t="s">
        <v>286</v>
      </c>
      <c r="K918" t="s">
        <v>118</v>
      </c>
    </row>
    <row r="919" spans="1:11" x14ac:dyDescent="0.35">
      <c r="A919" t="s">
        <v>128</v>
      </c>
      <c r="B919" t="s">
        <v>3</v>
      </c>
      <c r="C919" s="27">
        <v>20.079999999999998</v>
      </c>
      <c r="D919">
        <v>7</v>
      </c>
      <c r="E919">
        <v>518</v>
      </c>
      <c r="F919" s="4">
        <f t="shared" si="14"/>
        <v>10401.439999999999</v>
      </c>
      <c r="G919" t="str">
        <f>IF(Table2[[#This Row],[Sold]]&gt;1000,"High Quality","Normal Quality")</f>
        <v>Normal Quality</v>
      </c>
      <c r="H919" s="12">
        <v>45405.164837962962</v>
      </c>
      <c r="I919" t="s">
        <v>291</v>
      </c>
      <c r="J919" t="s">
        <v>274</v>
      </c>
      <c r="K919" t="s">
        <v>118</v>
      </c>
    </row>
    <row r="920" spans="1:11" x14ac:dyDescent="0.35">
      <c r="A920" t="s">
        <v>4</v>
      </c>
      <c r="B920" t="s">
        <v>3</v>
      </c>
      <c r="C920" s="27">
        <v>51.99</v>
      </c>
      <c r="D920">
        <v>3</v>
      </c>
      <c r="E920">
        <v>28</v>
      </c>
      <c r="F920" s="4">
        <f t="shared" si="14"/>
        <v>1455.72</v>
      </c>
      <c r="G920" t="str">
        <f>IF(Table2[[#This Row],[Sold]]&gt;1000,"High Quality","Normal Quality")</f>
        <v>Normal Quality</v>
      </c>
      <c r="H920" s="12">
        <v>45405.205069444448</v>
      </c>
      <c r="I920" t="s">
        <v>273</v>
      </c>
      <c r="J920" t="s">
        <v>274</v>
      </c>
      <c r="K920" t="s">
        <v>118</v>
      </c>
    </row>
    <row r="921" spans="1:11" x14ac:dyDescent="0.35">
      <c r="A921" t="s">
        <v>26</v>
      </c>
      <c r="B921" t="s">
        <v>3</v>
      </c>
      <c r="C921" s="27">
        <v>21.95</v>
      </c>
      <c r="D921">
        <v>0</v>
      </c>
      <c r="E921">
        <v>189</v>
      </c>
      <c r="F921" s="4">
        <f t="shared" si="14"/>
        <v>4148.55</v>
      </c>
      <c r="G921" t="str">
        <f>IF(Table2[[#This Row],[Sold]]&gt;1000,"High Quality","Normal Quality")</f>
        <v>Normal Quality</v>
      </c>
      <c r="H921" s="12">
        <v>45405.816307870373</v>
      </c>
      <c r="I921" t="s">
        <v>506</v>
      </c>
      <c r="J921" t="s">
        <v>505</v>
      </c>
      <c r="K921" t="s">
        <v>118</v>
      </c>
    </row>
    <row r="922" spans="1:11" x14ac:dyDescent="0.35">
      <c r="A922" t="s">
        <v>31</v>
      </c>
      <c r="B922" t="s">
        <v>1</v>
      </c>
      <c r="C922" s="27">
        <v>69.989999999999995</v>
      </c>
      <c r="D922">
        <v>900</v>
      </c>
      <c r="E922">
        <v>44</v>
      </c>
      <c r="F922" s="4">
        <f t="shared" si="14"/>
        <v>3079.56</v>
      </c>
      <c r="G922" t="str">
        <f>IF(Table2[[#This Row],[Sold]]&gt;1000,"High Quality","Normal Quality")</f>
        <v>Normal Quality</v>
      </c>
      <c r="H922" s="12">
        <v>45405.85119212963</v>
      </c>
      <c r="I922" t="s">
        <v>510</v>
      </c>
      <c r="J922" t="s">
        <v>506</v>
      </c>
      <c r="K922" t="s">
        <v>118</v>
      </c>
    </row>
    <row r="923" spans="1:11" x14ac:dyDescent="0.35">
      <c r="A923" t="s">
        <v>15</v>
      </c>
      <c r="B923" t="s">
        <v>1</v>
      </c>
      <c r="C923" s="27">
        <v>85</v>
      </c>
      <c r="D923">
        <v>10</v>
      </c>
      <c r="E923">
        <v>10</v>
      </c>
      <c r="F923" s="4">
        <f t="shared" si="14"/>
        <v>850</v>
      </c>
      <c r="G923" t="str">
        <f>IF(Table2[[#This Row],[Sold]]&gt;1000,"High Quality","Normal Quality")</f>
        <v>Normal Quality</v>
      </c>
      <c r="H923" s="12">
        <v>45406.652777777781</v>
      </c>
      <c r="I923" t="s">
        <v>273</v>
      </c>
      <c r="J923" t="s">
        <v>274</v>
      </c>
      <c r="K923" t="s">
        <v>118</v>
      </c>
    </row>
    <row r="924" spans="1:11" x14ac:dyDescent="0.35">
      <c r="A924" t="s">
        <v>72</v>
      </c>
      <c r="B924" t="s">
        <v>1</v>
      </c>
      <c r="C924" s="27">
        <v>31.47</v>
      </c>
      <c r="D924">
        <v>8</v>
      </c>
      <c r="E924">
        <v>397</v>
      </c>
      <c r="F924" s="4">
        <f t="shared" si="14"/>
        <v>12493.59</v>
      </c>
      <c r="G924" t="str">
        <f>IF(Table2[[#This Row],[Sold]]&gt;1000,"High Quality","Normal Quality")</f>
        <v>Normal Quality</v>
      </c>
      <c r="H924" s="12">
        <v>45406.957048611112</v>
      </c>
      <c r="I924" t="s">
        <v>291</v>
      </c>
      <c r="J924" t="s">
        <v>274</v>
      </c>
      <c r="K924" t="s">
        <v>118</v>
      </c>
    </row>
    <row r="925" spans="1:11" x14ac:dyDescent="0.35">
      <c r="A925" t="s">
        <v>248</v>
      </c>
      <c r="B925" t="s">
        <v>3</v>
      </c>
      <c r="C925" s="27">
        <v>40.950000000000003</v>
      </c>
      <c r="D925">
        <v>4</v>
      </c>
      <c r="E925">
        <v>14</v>
      </c>
      <c r="F925" s="4">
        <f t="shared" si="14"/>
        <v>573.30000000000007</v>
      </c>
      <c r="G925" t="str">
        <f>IF(Table2[[#This Row],[Sold]]&gt;1000,"High Quality","Normal Quality")</f>
        <v>Normal Quality</v>
      </c>
      <c r="H925" s="12">
        <v>45408.355694444443</v>
      </c>
      <c r="I925" t="s">
        <v>480</v>
      </c>
      <c r="J925" t="s">
        <v>286</v>
      </c>
      <c r="K925" t="s">
        <v>118</v>
      </c>
    </row>
    <row r="926" spans="1:11" x14ac:dyDescent="0.35">
      <c r="A926" t="s">
        <v>62</v>
      </c>
      <c r="B926" t="s">
        <v>3</v>
      </c>
      <c r="C926" s="27">
        <v>76.5</v>
      </c>
      <c r="D926">
        <v>0</v>
      </c>
      <c r="E926">
        <v>8</v>
      </c>
      <c r="F926" s="4">
        <f t="shared" si="14"/>
        <v>612</v>
      </c>
      <c r="G926" t="str">
        <f>IF(Table2[[#This Row],[Sold]]&gt;1000,"High Quality","Normal Quality")</f>
        <v>Normal Quality</v>
      </c>
      <c r="H926" s="12">
        <v>45408.42119212963</v>
      </c>
      <c r="I926" t="s">
        <v>380</v>
      </c>
      <c r="J926" t="s">
        <v>505</v>
      </c>
      <c r="K926" t="s">
        <v>118</v>
      </c>
    </row>
    <row r="927" spans="1:11" x14ac:dyDescent="0.35">
      <c r="A927" t="s">
        <v>9</v>
      </c>
      <c r="B927" t="s">
        <v>3</v>
      </c>
      <c r="C927" s="27">
        <v>29.99</v>
      </c>
      <c r="D927">
        <v>5</v>
      </c>
      <c r="E927">
        <v>8</v>
      </c>
      <c r="F927" s="4">
        <f t="shared" si="14"/>
        <v>239.92</v>
      </c>
      <c r="G927" t="str">
        <f>IF(Table2[[#This Row],[Sold]]&gt;1000,"High Quality","Normal Quality")</f>
        <v>Normal Quality</v>
      </c>
      <c r="H927" s="12">
        <v>45408.851990740739</v>
      </c>
      <c r="I927" t="s">
        <v>452</v>
      </c>
      <c r="J927" t="s">
        <v>428</v>
      </c>
      <c r="K927" t="s">
        <v>118</v>
      </c>
    </row>
    <row r="928" spans="1:11" x14ac:dyDescent="0.35">
      <c r="A928" t="s">
        <v>201</v>
      </c>
      <c r="B928" t="s">
        <v>1</v>
      </c>
      <c r="C928" s="27">
        <v>19.989999999999998</v>
      </c>
      <c r="D928">
        <v>10</v>
      </c>
      <c r="E928">
        <v>122</v>
      </c>
      <c r="F928" s="4">
        <f t="shared" si="14"/>
        <v>2438.7799999999997</v>
      </c>
      <c r="G928" t="str">
        <f>IF(Table2[[#This Row],[Sold]]&gt;1000,"High Quality","Normal Quality")</f>
        <v>Normal Quality</v>
      </c>
      <c r="H928" s="12">
        <v>45410.393750000003</v>
      </c>
      <c r="I928" t="s">
        <v>369</v>
      </c>
      <c r="J928" t="s">
        <v>506</v>
      </c>
      <c r="K928" t="s">
        <v>118</v>
      </c>
    </row>
    <row r="929" spans="1:11" x14ac:dyDescent="0.35">
      <c r="A929" t="s">
        <v>2</v>
      </c>
      <c r="B929" t="s">
        <v>1</v>
      </c>
      <c r="C929" s="27">
        <v>13.99</v>
      </c>
      <c r="D929">
        <v>10</v>
      </c>
      <c r="E929">
        <v>8</v>
      </c>
      <c r="F929" s="4">
        <f t="shared" si="14"/>
        <v>111.92</v>
      </c>
      <c r="G929" t="str">
        <f>IF(Table2[[#This Row],[Sold]]&gt;1000,"High Quality","Normal Quality")</f>
        <v>Normal Quality</v>
      </c>
      <c r="H929" s="12">
        <v>45410.84679398148</v>
      </c>
      <c r="I929" t="s">
        <v>271</v>
      </c>
      <c r="J929" t="s">
        <v>266</v>
      </c>
      <c r="K929" t="s">
        <v>118</v>
      </c>
    </row>
    <row r="930" spans="1:11" x14ac:dyDescent="0.35">
      <c r="A930" t="s">
        <v>2</v>
      </c>
      <c r="B930" t="s">
        <v>1</v>
      </c>
      <c r="C930" s="27">
        <v>13.99</v>
      </c>
      <c r="D930">
        <v>10</v>
      </c>
      <c r="E930">
        <v>9</v>
      </c>
      <c r="F930" s="4">
        <f t="shared" si="14"/>
        <v>125.91</v>
      </c>
      <c r="G930" t="str">
        <f>IF(Table2[[#This Row],[Sold]]&gt;1000,"High Quality","Normal Quality")</f>
        <v>Normal Quality</v>
      </c>
      <c r="H930" s="12">
        <v>45410.84679398148</v>
      </c>
      <c r="I930" t="s">
        <v>271</v>
      </c>
      <c r="J930" t="s">
        <v>266</v>
      </c>
      <c r="K930" t="s">
        <v>118</v>
      </c>
    </row>
    <row r="931" spans="1:11" x14ac:dyDescent="0.35">
      <c r="A931" t="s">
        <v>234</v>
      </c>
      <c r="B931" t="s">
        <v>1</v>
      </c>
      <c r="C931" s="27">
        <v>49.99</v>
      </c>
      <c r="D931">
        <v>3</v>
      </c>
      <c r="E931">
        <v>12</v>
      </c>
      <c r="F931" s="4">
        <f t="shared" si="14"/>
        <v>599.88</v>
      </c>
      <c r="G931" t="str">
        <f>IF(Table2[[#This Row],[Sold]]&gt;1000,"High Quality","Normal Quality")</f>
        <v>Normal Quality</v>
      </c>
      <c r="H931" s="12">
        <v>45411.74386574074</v>
      </c>
      <c r="I931" t="s">
        <v>510</v>
      </c>
      <c r="J931" t="s">
        <v>505</v>
      </c>
      <c r="K931" t="s">
        <v>118</v>
      </c>
    </row>
    <row r="932" spans="1:11" x14ac:dyDescent="0.35">
      <c r="A932" t="s">
        <v>2</v>
      </c>
      <c r="B932" t="s">
        <v>1</v>
      </c>
      <c r="C932" s="27">
        <v>16.989999999999998</v>
      </c>
      <c r="D932">
        <v>6</v>
      </c>
      <c r="E932">
        <v>404</v>
      </c>
      <c r="F932" s="4">
        <f t="shared" si="14"/>
        <v>6863.9599999999991</v>
      </c>
      <c r="G932" t="str">
        <f>IF(Table2[[#This Row],[Sold]]&gt;1000,"High Quality","Normal Quality")</f>
        <v>Normal Quality</v>
      </c>
      <c r="H932" s="12">
        <v>45411.751400462963</v>
      </c>
      <c r="I932" t="s">
        <v>543</v>
      </c>
      <c r="J932" t="s">
        <v>267</v>
      </c>
      <c r="K932" t="s">
        <v>536</v>
      </c>
    </row>
    <row r="933" spans="1:11" x14ac:dyDescent="0.35">
      <c r="A933" t="s">
        <v>16</v>
      </c>
      <c r="B933" t="s">
        <v>3</v>
      </c>
      <c r="C933" s="27">
        <v>65.989999999999995</v>
      </c>
      <c r="D933">
        <v>0</v>
      </c>
      <c r="E933">
        <v>17</v>
      </c>
      <c r="F933" s="4">
        <f t="shared" si="14"/>
        <v>1121.83</v>
      </c>
      <c r="G933" t="str">
        <f>IF(Table2[[#This Row],[Sold]]&gt;1000,"High Quality","Normal Quality")</f>
        <v>Normal Quality</v>
      </c>
      <c r="H933" s="12">
        <v>45411.764386574076</v>
      </c>
      <c r="I933" t="s">
        <v>322</v>
      </c>
      <c r="J933" t="s">
        <v>282</v>
      </c>
      <c r="K933" t="s">
        <v>118</v>
      </c>
    </row>
    <row r="934" spans="1:11" x14ac:dyDescent="0.35">
      <c r="A934" t="s">
        <v>231</v>
      </c>
      <c r="B934" t="s">
        <v>3</v>
      </c>
      <c r="C934" s="27">
        <v>75.989999999999995</v>
      </c>
      <c r="D934">
        <v>7</v>
      </c>
      <c r="E934">
        <v>19</v>
      </c>
      <c r="F934" s="4">
        <f t="shared" si="14"/>
        <v>1443.81</v>
      </c>
      <c r="G934" t="str">
        <f>IF(Table2[[#This Row],[Sold]]&gt;1000,"High Quality","Normal Quality")</f>
        <v>Normal Quality</v>
      </c>
      <c r="H934" s="12">
        <v>45411.796817129631</v>
      </c>
      <c r="I934" t="s">
        <v>322</v>
      </c>
      <c r="J934" t="s">
        <v>282</v>
      </c>
      <c r="K934" t="s">
        <v>118</v>
      </c>
    </row>
    <row r="935" spans="1:11" x14ac:dyDescent="0.35">
      <c r="A935" t="s">
        <v>142</v>
      </c>
      <c r="B935" t="s">
        <v>3</v>
      </c>
      <c r="C935" s="27">
        <v>27.84</v>
      </c>
      <c r="D935">
        <v>0</v>
      </c>
      <c r="E935">
        <v>85</v>
      </c>
      <c r="F935" s="4">
        <f t="shared" si="14"/>
        <v>2366.4</v>
      </c>
      <c r="G935" t="str">
        <f>IF(Table2[[#This Row],[Sold]]&gt;1000,"High Quality","Normal Quality")</f>
        <v>Normal Quality</v>
      </c>
      <c r="H935" s="12">
        <v>45412.281481481485</v>
      </c>
      <c r="I935" t="s">
        <v>291</v>
      </c>
      <c r="J935" t="s">
        <v>274</v>
      </c>
      <c r="K935" t="s">
        <v>118</v>
      </c>
    </row>
    <row r="936" spans="1:11" x14ac:dyDescent="0.35">
      <c r="A936" t="s">
        <v>80</v>
      </c>
      <c r="B936" t="s">
        <v>1</v>
      </c>
      <c r="C936" s="27">
        <v>35</v>
      </c>
      <c r="D936">
        <v>10</v>
      </c>
      <c r="E936">
        <v>36</v>
      </c>
      <c r="F936" s="4">
        <f t="shared" si="14"/>
        <v>1260</v>
      </c>
      <c r="G936" t="str">
        <f>IF(Table2[[#This Row],[Sold]]&gt;1000,"High Quality","Normal Quality")</f>
        <v>Normal Quality</v>
      </c>
      <c r="H936" s="12">
        <v>45412.372523148151</v>
      </c>
      <c r="I936" t="s">
        <v>275</v>
      </c>
      <c r="J936" t="s">
        <v>506</v>
      </c>
      <c r="K936" t="s">
        <v>118</v>
      </c>
    </row>
    <row r="937" spans="1:11" x14ac:dyDescent="0.35">
      <c r="A937" t="s">
        <v>129</v>
      </c>
      <c r="B937" t="s">
        <v>130</v>
      </c>
      <c r="C937" s="27">
        <v>9.99</v>
      </c>
      <c r="D937">
        <v>3</v>
      </c>
      <c r="E937">
        <v>94</v>
      </c>
      <c r="F937" s="4">
        <f t="shared" si="14"/>
        <v>939.06000000000006</v>
      </c>
      <c r="G937" t="str">
        <f>IF(Table2[[#This Row],[Sold]]&gt;1000,"High Quality","Normal Quality")</f>
        <v>Normal Quality</v>
      </c>
      <c r="H937" s="12">
        <v>45412.487372685187</v>
      </c>
      <c r="I937" t="s">
        <v>404</v>
      </c>
      <c r="J937" t="s">
        <v>286</v>
      </c>
      <c r="K937" t="s">
        <v>118</v>
      </c>
    </row>
    <row r="938" spans="1:11" x14ac:dyDescent="0.35">
      <c r="A938" t="s">
        <v>0</v>
      </c>
      <c r="B938" t="s">
        <v>3</v>
      </c>
      <c r="C938" s="27">
        <v>67.989999999999995</v>
      </c>
      <c r="D938">
        <v>4</v>
      </c>
      <c r="E938">
        <v>28</v>
      </c>
      <c r="F938" s="4">
        <f t="shared" si="14"/>
        <v>1903.7199999999998</v>
      </c>
      <c r="G938" t="str">
        <f>IF(Table2[[#This Row],[Sold]]&gt;1000,"High Quality","Normal Quality")</f>
        <v>Normal Quality</v>
      </c>
      <c r="H938" s="12">
        <v>45412.798020833332</v>
      </c>
      <c r="I938" t="s">
        <v>421</v>
      </c>
      <c r="J938" t="s">
        <v>506</v>
      </c>
      <c r="K938" t="s">
        <v>118</v>
      </c>
    </row>
    <row r="939" spans="1:11" x14ac:dyDescent="0.35">
      <c r="A939" t="s">
        <v>140</v>
      </c>
      <c r="B939" t="s">
        <v>3</v>
      </c>
      <c r="C939" s="27">
        <v>39.99</v>
      </c>
      <c r="D939">
        <v>0</v>
      </c>
      <c r="E939">
        <v>11</v>
      </c>
      <c r="F939" s="4">
        <f t="shared" si="14"/>
        <v>439.89000000000004</v>
      </c>
      <c r="G939" t="str">
        <f>IF(Table2[[#This Row],[Sold]]&gt;1000,"High Quality","Normal Quality")</f>
        <v>Normal Quality</v>
      </c>
      <c r="H939" s="12">
        <v>45412.841284722221</v>
      </c>
      <c r="I939" t="s">
        <v>465</v>
      </c>
      <c r="J939" t="s">
        <v>506</v>
      </c>
      <c r="K939" t="s">
        <v>333</v>
      </c>
    </row>
    <row r="940" spans="1:11" x14ac:dyDescent="0.35">
      <c r="A940" t="s">
        <v>12</v>
      </c>
      <c r="B940" t="s">
        <v>3</v>
      </c>
      <c r="C940" s="27">
        <v>37.99</v>
      </c>
      <c r="D940">
        <v>10</v>
      </c>
      <c r="E940">
        <v>26</v>
      </c>
      <c r="F940" s="4">
        <f t="shared" si="14"/>
        <v>987.74</v>
      </c>
      <c r="G940" t="str">
        <f>IF(Table2[[#This Row],[Sold]]&gt;1000,"High Quality","Normal Quality")</f>
        <v>Normal Quality</v>
      </c>
      <c r="H940" s="12">
        <v>45352</v>
      </c>
      <c r="I940" t="s">
        <v>285</v>
      </c>
      <c r="J940" t="s">
        <v>286</v>
      </c>
      <c r="K940" t="s">
        <v>118</v>
      </c>
    </row>
    <row r="941" spans="1:11" x14ac:dyDescent="0.35">
      <c r="A941" t="s">
        <v>57</v>
      </c>
      <c r="B941" t="s">
        <v>3</v>
      </c>
      <c r="C941" s="27">
        <v>16.91</v>
      </c>
      <c r="D941">
        <v>224</v>
      </c>
      <c r="E941">
        <v>825</v>
      </c>
      <c r="F941" s="4">
        <f t="shared" si="14"/>
        <v>13950.75</v>
      </c>
      <c r="G941" t="str">
        <f>IF(Table2[[#This Row],[Sold]]&gt;1000,"High Quality","Normal Quality")</f>
        <v>Normal Quality</v>
      </c>
      <c r="H941" s="12">
        <v>45353</v>
      </c>
      <c r="I941" t="s">
        <v>301</v>
      </c>
      <c r="J941" t="s">
        <v>506</v>
      </c>
      <c r="K941" t="s">
        <v>118</v>
      </c>
    </row>
    <row r="942" spans="1:11" x14ac:dyDescent="0.35">
      <c r="A942" t="s">
        <v>2</v>
      </c>
      <c r="B942" t="s">
        <v>1</v>
      </c>
      <c r="C942" s="27">
        <v>25.99</v>
      </c>
      <c r="D942">
        <v>7</v>
      </c>
      <c r="E942">
        <v>38</v>
      </c>
      <c r="F942" s="4">
        <f t="shared" si="14"/>
        <v>987.61999999999989</v>
      </c>
      <c r="G942" t="str">
        <f>IF(Table2[[#This Row],[Sold]]&gt;1000,"High Quality","Normal Quality")</f>
        <v>Normal Quality</v>
      </c>
      <c r="H942" s="12">
        <v>45354</v>
      </c>
      <c r="I942" t="s">
        <v>403</v>
      </c>
      <c r="J942" t="s">
        <v>286</v>
      </c>
      <c r="K942" t="s">
        <v>118</v>
      </c>
    </row>
    <row r="943" spans="1:11" x14ac:dyDescent="0.35">
      <c r="A943" t="s">
        <v>9</v>
      </c>
      <c r="B943" t="s">
        <v>3</v>
      </c>
      <c r="C943" s="27">
        <v>49.99</v>
      </c>
      <c r="D943">
        <v>5</v>
      </c>
      <c r="E943">
        <v>243</v>
      </c>
      <c r="F943" s="4">
        <f t="shared" si="14"/>
        <v>12147.57</v>
      </c>
      <c r="G943" t="str">
        <f>IF(Table2[[#This Row],[Sold]]&gt;1000,"High Quality","Normal Quality")</f>
        <v>Normal Quality</v>
      </c>
      <c r="H943" s="12">
        <v>45355</v>
      </c>
      <c r="I943" t="s">
        <v>285</v>
      </c>
      <c r="J943" t="s">
        <v>286</v>
      </c>
      <c r="K943" t="s">
        <v>118</v>
      </c>
    </row>
    <row r="944" spans="1:11" x14ac:dyDescent="0.35">
      <c r="A944" t="s">
        <v>193</v>
      </c>
      <c r="B944" t="s">
        <v>3</v>
      </c>
      <c r="C944" s="27">
        <v>99.99</v>
      </c>
      <c r="D944">
        <v>2</v>
      </c>
      <c r="E944">
        <v>65</v>
      </c>
      <c r="F944" s="4">
        <f t="shared" si="14"/>
        <v>6499.3499999999995</v>
      </c>
      <c r="G944" t="str">
        <f>IF(Table2[[#This Row],[Sold]]&gt;1000,"High Quality","Normal Quality")</f>
        <v>Normal Quality</v>
      </c>
      <c r="H944" s="12">
        <v>45356</v>
      </c>
      <c r="I944" t="s">
        <v>285</v>
      </c>
      <c r="J944" t="s">
        <v>286</v>
      </c>
      <c r="K944" t="s">
        <v>118</v>
      </c>
    </row>
    <row r="945" spans="1:11" x14ac:dyDescent="0.35">
      <c r="A945" t="s">
        <v>92</v>
      </c>
      <c r="B945" t="s">
        <v>1</v>
      </c>
      <c r="C945" s="27">
        <v>47.99</v>
      </c>
      <c r="D945">
        <v>82</v>
      </c>
      <c r="E945">
        <v>13</v>
      </c>
      <c r="F945" s="4">
        <f t="shared" si="14"/>
        <v>623.87</v>
      </c>
      <c r="G945" t="str">
        <f>IF(Table2[[#This Row],[Sold]]&gt;1000,"High Quality","Normal Quality")</f>
        <v>Normal Quality</v>
      </c>
      <c r="H945" s="12">
        <v>45357</v>
      </c>
      <c r="I945" t="s">
        <v>397</v>
      </c>
      <c r="J945" t="s">
        <v>315</v>
      </c>
      <c r="K945" t="s">
        <v>118</v>
      </c>
    </row>
    <row r="946" spans="1:11" x14ac:dyDescent="0.35">
      <c r="A946" t="s">
        <v>9</v>
      </c>
      <c r="B946" t="s">
        <v>3</v>
      </c>
      <c r="C946" s="27">
        <v>28.99</v>
      </c>
      <c r="D946">
        <v>4</v>
      </c>
      <c r="E946">
        <v>180</v>
      </c>
      <c r="F946" s="4">
        <f t="shared" si="14"/>
        <v>5218.2</v>
      </c>
      <c r="G946" t="str">
        <f>IF(Table2[[#This Row],[Sold]]&gt;1000,"High Quality","Normal Quality")</f>
        <v>Normal Quality</v>
      </c>
      <c r="H946" s="12">
        <v>45358</v>
      </c>
      <c r="I946" t="s">
        <v>285</v>
      </c>
      <c r="J946" t="s">
        <v>286</v>
      </c>
      <c r="K946" t="s">
        <v>118</v>
      </c>
    </row>
    <row r="947" spans="1:11" x14ac:dyDescent="0.35">
      <c r="A947" t="s">
        <v>216</v>
      </c>
      <c r="B947" t="s">
        <v>1</v>
      </c>
      <c r="C947" s="27">
        <v>99</v>
      </c>
      <c r="D947">
        <v>0</v>
      </c>
      <c r="E947">
        <v>177</v>
      </c>
      <c r="F947" s="4">
        <f t="shared" si="14"/>
        <v>17523</v>
      </c>
      <c r="G947" t="str">
        <f>IF(Table2[[#This Row],[Sold]]&gt;1000,"High Quality","Normal Quality")</f>
        <v>Normal Quality</v>
      </c>
      <c r="H947" s="12">
        <v>45359</v>
      </c>
      <c r="I947" t="s">
        <v>555</v>
      </c>
      <c r="J947" t="s">
        <v>457</v>
      </c>
      <c r="K947" t="s">
        <v>118</v>
      </c>
    </row>
    <row r="948" spans="1:11" x14ac:dyDescent="0.35">
      <c r="A948" t="s">
        <v>153</v>
      </c>
      <c r="B948" t="s">
        <v>1</v>
      </c>
      <c r="C948" s="27">
        <v>8.99</v>
      </c>
      <c r="D948">
        <v>10</v>
      </c>
      <c r="E948">
        <v>76</v>
      </c>
      <c r="F948" s="4">
        <f t="shared" si="14"/>
        <v>683.24</v>
      </c>
      <c r="G948" t="str">
        <f>IF(Table2[[#This Row],[Sold]]&gt;1000,"High Quality","Normal Quality")</f>
        <v>Normal Quality</v>
      </c>
      <c r="H948" s="12">
        <v>45360</v>
      </c>
      <c r="I948" t="s">
        <v>532</v>
      </c>
      <c r="J948" t="s">
        <v>505</v>
      </c>
      <c r="K948" t="s">
        <v>118</v>
      </c>
    </row>
    <row r="949" spans="1:11" x14ac:dyDescent="0.35">
      <c r="A949" t="s">
        <v>228</v>
      </c>
      <c r="B949" t="s">
        <v>105</v>
      </c>
      <c r="C949" s="27">
        <v>15.95</v>
      </c>
      <c r="D949">
        <v>3</v>
      </c>
      <c r="E949">
        <v>257</v>
      </c>
      <c r="F949" s="4">
        <f t="shared" si="14"/>
        <v>4099.1499999999996</v>
      </c>
      <c r="G949" t="str">
        <f>IF(Table2[[#This Row],[Sold]]&gt;1000,"High Quality","Normal Quality")</f>
        <v>Normal Quality</v>
      </c>
      <c r="H949" s="12">
        <v>45361</v>
      </c>
      <c r="I949" t="s">
        <v>418</v>
      </c>
      <c r="J949" t="s">
        <v>505</v>
      </c>
      <c r="K949" t="s">
        <v>118</v>
      </c>
    </row>
    <row r="950" spans="1:11" x14ac:dyDescent="0.35">
      <c r="A950" t="s">
        <v>4</v>
      </c>
      <c r="B950" t="s">
        <v>3</v>
      </c>
      <c r="C950" s="27">
        <v>54.99</v>
      </c>
      <c r="D950">
        <v>60</v>
      </c>
      <c r="E950">
        <v>384</v>
      </c>
      <c r="F950" s="4">
        <f t="shared" si="14"/>
        <v>21116.16</v>
      </c>
      <c r="G950" t="str">
        <f>IF(Table2[[#This Row],[Sold]]&gt;1000,"High Quality","Normal Quality")</f>
        <v>Normal Quality</v>
      </c>
      <c r="H950" s="12">
        <v>45362</v>
      </c>
      <c r="I950" t="s">
        <v>285</v>
      </c>
      <c r="J950" t="s">
        <v>286</v>
      </c>
      <c r="K950" t="s">
        <v>118</v>
      </c>
    </row>
    <row r="951" spans="1:11" x14ac:dyDescent="0.35">
      <c r="A951" t="s">
        <v>46</v>
      </c>
      <c r="B951" t="s">
        <v>1</v>
      </c>
      <c r="C951" s="27">
        <v>20</v>
      </c>
      <c r="D951">
        <v>5</v>
      </c>
      <c r="E951">
        <v>23</v>
      </c>
      <c r="F951" s="4">
        <f t="shared" si="14"/>
        <v>460</v>
      </c>
      <c r="G951" t="str">
        <f>IF(Table2[[#This Row],[Sold]]&gt;1000,"High Quality","Normal Quality")</f>
        <v>Normal Quality</v>
      </c>
      <c r="H951" s="12">
        <v>45378</v>
      </c>
      <c r="I951" t="s">
        <v>335</v>
      </c>
      <c r="J951" t="s">
        <v>282</v>
      </c>
      <c r="K951" t="s">
        <v>118</v>
      </c>
    </row>
    <row r="952" spans="1:11" x14ac:dyDescent="0.35">
      <c r="A952" t="s">
        <v>2</v>
      </c>
      <c r="B952" t="s">
        <v>1</v>
      </c>
      <c r="C952" s="27">
        <v>48</v>
      </c>
      <c r="D952">
        <v>3</v>
      </c>
      <c r="E952">
        <v>7</v>
      </c>
      <c r="F952" s="4">
        <f t="shared" si="14"/>
        <v>336</v>
      </c>
      <c r="G952" t="str">
        <f>IF(Table2[[#This Row],[Sold]]&gt;1000,"High Quality","Normal Quality")</f>
        <v>Normal Quality</v>
      </c>
      <c r="H952" s="12">
        <v>45378</v>
      </c>
      <c r="I952" t="s">
        <v>343</v>
      </c>
      <c r="J952" t="s">
        <v>286</v>
      </c>
      <c r="K952" t="s">
        <v>118</v>
      </c>
    </row>
    <row r="953" spans="1:11" x14ac:dyDescent="0.35">
      <c r="A953" t="s">
        <v>46</v>
      </c>
      <c r="B953" t="s">
        <v>1</v>
      </c>
      <c r="C953" s="27">
        <v>20</v>
      </c>
      <c r="D953">
        <v>8</v>
      </c>
      <c r="E953">
        <v>0</v>
      </c>
      <c r="F953" s="4">
        <f t="shared" si="14"/>
        <v>0</v>
      </c>
      <c r="G953" t="str">
        <f>IF(Table2[[#This Row],[Sold]]&gt;1000,"High Quality","Normal Quality")</f>
        <v>Normal Quality</v>
      </c>
      <c r="H953" s="12">
        <v>45378</v>
      </c>
      <c r="I953" t="s">
        <v>335</v>
      </c>
      <c r="J953" t="s">
        <v>282</v>
      </c>
      <c r="K953" t="s">
        <v>118</v>
      </c>
    </row>
    <row r="954" spans="1:11" x14ac:dyDescent="0.35">
      <c r="A954" t="s">
        <v>235</v>
      </c>
      <c r="B954" t="s">
        <v>37</v>
      </c>
      <c r="C954" s="27">
        <v>28.95</v>
      </c>
      <c r="D954">
        <v>0</v>
      </c>
      <c r="E954">
        <v>5</v>
      </c>
      <c r="F954" s="4">
        <f t="shared" si="14"/>
        <v>144.75</v>
      </c>
      <c r="G954" t="str">
        <f>IF(Table2[[#This Row],[Sold]]&gt;1000,"High Quality","Normal Quality")</f>
        <v>Normal Quality</v>
      </c>
      <c r="H954" s="12">
        <v>45378</v>
      </c>
      <c r="I954" t="s">
        <v>350</v>
      </c>
      <c r="J954" t="s">
        <v>315</v>
      </c>
      <c r="K954" t="s">
        <v>118</v>
      </c>
    </row>
    <row r="955" spans="1:11" x14ac:dyDescent="0.35">
      <c r="A955" t="s">
        <v>235</v>
      </c>
      <c r="B955" t="s">
        <v>37</v>
      </c>
      <c r="C955" s="27">
        <v>35.68</v>
      </c>
      <c r="D955">
        <v>10</v>
      </c>
      <c r="E955">
        <v>12</v>
      </c>
      <c r="F955" s="4">
        <f t="shared" si="14"/>
        <v>428.15999999999997</v>
      </c>
      <c r="G955" t="str">
        <f>IF(Table2[[#This Row],[Sold]]&gt;1000,"High Quality","Normal Quality")</f>
        <v>Normal Quality</v>
      </c>
      <c r="H955" s="12">
        <v>45378</v>
      </c>
      <c r="I955" t="s">
        <v>350</v>
      </c>
      <c r="J955" t="s">
        <v>315</v>
      </c>
      <c r="K955" t="s">
        <v>118</v>
      </c>
    </row>
    <row r="956" spans="1:11" x14ac:dyDescent="0.35">
      <c r="A956" t="s">
        <v>17</v>
      </c>
      <c r="B956" t="s">
        <v>1</v>
      </c>
      <c r="C956" s="27">
        <v>16</v>
      </c>
      <c r="D956">
        <v>6</v>
      </c>
      <c r="E956">
        <v>41</v>
      </c>
      <c r="F956" s="4">
        <f t="shared" si="14"/>
        <v>656</v>
      </c>
      <c r="G956" t="str">
        <f>IF(Table2[[#This Row],[Sold]]&gt;1000,"High Quality","Normal Quality")</f>
        <v>Normal Quality</v>
      </c>
      <c r="H956" s="12">
        <v>45378</v>
      </c>
      <c r="I956" t="s">
        <v>514</v>
      </c>
      <c r="J956" t="s">
        <v>505</v>
      </c>
      <c r="K956" t="s">
        <v>118</v>
      </c>
    </row>
    <row r="957" spans="1:11" x14ac:dyDescent="0.35">
      <c r="A957" t="s">
        <v>4</v>
      </c>
      <c r="B957" t="s">
        <v>1</v>
      </c>
      <c r="C957" s="27">
        <v>15.99</v>
      </c>
      <c r="D957">
        <v>0</v>
      </c>
      <c r="E957">
        <v>20</v>
      </c>
      <c r="F957" s="4">
        <f t="shared" si="14"/>
        <v>319.8</v>
      </c>
      <c r="G957" t="str">
        <f>IF(Table2[[#This Row],[Sold]]&gt;1000,"High Quality","Normal Quality")</f>
        <v>Normal Quality</v>
      </c>
      <c r="H957" s="12">
        <v>45378</v>
      </c>
      <c r="I957" t="s">
        <v>370</v>
      </c>
      <c r="J957" t="s">
        <v>315</v>
      </c>
      <c r="K957" t="s">
        <v>118</v>
      </c>
    </row>
    <row r="958" spans="1:11" x14ac:dyDescent="0.35">
      <c r="A958" t="s">
        <v>4</v>
      </c>
      <c r="B958" t="s">
        <v>1</v>
      </c>
      <c r="C958" s="27">
        <v>19.95</v>
      </c>
      <c r="D958">
        <v>10</v>
      </c>
      <c r="E958">
        <v>6</v>
      </c>
      <c r="F958" s="4">
        <f t="shared" si="14"/>
        <v>119.69999999999999</v>
      </c>
      <c r="G958" t="str">
        <f>IF(Table2[[#This Row],[Sold]]&gt;1000,"High Quality","Normal Quality")</f>
        <v>Normal Quality</v>
      </c>
      <c r="H958" s="12">
        <v>45378</v>
      </c>
      <c r="I958" t="s">
        <v>372</v>
      </c>
      <c r="J958" t="s">
        <v>274</v>
      </c>
      <c r="K958" t="s">
        <v>118</v>
      </c>
    </row>
    <row r="959" spans="1:11" x14ac:dyDescent="0.35">
      <c r="A959" t="s">
        <v>15</v>
      </c>
      <c r="B959" t="s">
        <v>1</v>
      </c>
      <c r="C959" s="27">
        <v>38.97</v>
      </c>
      <c r="D959">
        <v>4</v>
      </c>
      <c r="E959">
        <v>4</v>
      </c>
      <c r="F959" s="4">
        <f t="shared" si="14"/>
        <v>155.88</v>
      </c>
      <c r="G959" t="str">
        <f>IF(Table2[[#This Row],[Sold]]&gt;1000,"High Quality","Normal Quality")</f>
        <v>Normal Quality</v>
      </c>
      <c r="H959" s="12">
        <v>45378</v>
      </c>
      <c r="I959" t="s">
        <v>369</v>
      </c>
      <c r="J959" t="s">
        <v>506</v>
      </c>
      <c r="K959" t="s">
        <v>118</v>
      </c>
    </row>
    <row r="960" spans="1:11" x14ac:dyDescent="0.35">
      <c r="A960" t="s">
        <v>204</v>
      </c>
      <c r="B960" t="s">
        <v>3</v>
      </c>
      <c r="C960" s="27">
        <v>22</v>
      </c>
      <c r="D960">
        <v>2</v>
      </c>
      <c r="E960">
        <v>1</v>
      </c>
      <c r="F960" s="4">
        <f t="shared" si="14"/>
        <v>22</v>
      </c>
      <c r="G960" t="str">
        <f>IF(Table2[[#This Row],[Sold]]&gt;1000,"High Quality","Normal Quality")</f>
        <v>Normal Quality</v>
      </c>
      <c r="H960" s="12">
        <v>45378</v>
      </c>
      <c r="I960" t="s">
        <v>285</v>
      </c>
      <c r="J960" t="s">
        <v>286</v>
      </c>
      <c r="K960" t="s">
        <v>118</v>
      </c>
    </row>
    <row r="961" spans="1:11" x14ac:dyDescent="0.35">
      <c r="A961" t="s">
        <v>15</v>
      </c>
      <c r="B961" t="s">
        <v>1</v>
      </c>
      <c r="C961" s="27">
        <v>125</v>
      </c>
      <c r="D961">
        <v>10</v>
      </c>
      <c r="E961">
        <v>2</v>
      </c>
      <c r="F961" s="4">
        <f t="shared" si="14"/>
        <v>250</v>
      </c>
      <c r="G961" t="str">
        <f>IF(Table2[[#This Row],[Sold]]&gt;1000,"High Quality","Normal Quality")</f>
        <v>Normal Quality</v>
      </c>
      <c r="H961" s="12">
        <v>45378</v>
      </c>
      <c r="I961" t="s">
        <v>273</v>
      </c>
      <c r="J961" t="s">
        <v>274</v>
      </c>
      <c r="K961" t="s">
        <v>118</v>
      </c>
    </row>
    <row r="962" spans="1:11" x14ac:dyDescent="0.35">
      <c r="A962" t="s">
        <v>50</v>
      </c>
      <c r="B962" t="s">
        <v>1</v>
      </c>
      <c r="C962" s="27">
        <v>169</v>
      </c>
      <c r="D962">
        <v>0</v>
      </c>
      <c r="E962">
        <v>0</v>
      </c>
      <c r="F962" s="4">
        <f t="shared" ref="F962:F1001" si="15">C:C*E:E</f>
        <v>0</v>
      </c>
      <c r="G962" t="str">
        <f>IF(Table2[[#This Row],[Sold]]&gt;1000,"High Quality","Normal Quality")</f>
        <v>Normal Quality</v>
      </c>
      <c r="H962" s="12">
        <v>45378</v>
      </c>
      <c r="I962" t="s">
        <v>393</v>
      </c>
      <c r="J962" t="s">
        <v>286</v>
      </c>
      <c r="K962" t="s">
        <v>118</v>
      </c>
    </row>
    <row r="963" spans="1:11" x14ac:dyDescent="0.35">
      <c r="A963" t="s">
        <v>44</v>
      </c>
      <c r="B963" t="s">
        <v>3</v>
      </c>
      <c r="C963" s="27">
        <v>47.34</v>
      </c>
      <c r="D963">
        <v>12</v>
      </c>
      <c r="E963">
        <v>14</v>
      </c>
      <c r="F963" s="4">
        <f t="shared" si="15"/>
        <v>662.76</v>
      </c>
      <c r="G963" t="str">
        <f>IF(Table2[[#This Row],[Sold]]&gt;1000,"High Quality","Normal Quality")</f>
        <v>Normal Quality</v>
      </c>
      <c r="H963" s="12">
        <v>45378</v>
      </c>
      <c r="I963" t="s">
        <v>400</v>
      </c>
      <c r="J963" t="s">
        <v>282</v>
      </c>
      <c r="K963" t="s">
        <v>118</v>
      </c>
    </row>
    <row r="964" spans="1:11" x14ac:dyDescent="0.35">
      <c r="A964" t="s">
        <v>4</v>
      </c>
      <c r="B964" t="s">
        <v>3</v>
      </c>
      <c r="C964" s="27">
        <v>28.99</v>
      </c>
      <c r="D964">
        <v>7</v>
      </c>
      <c r="E964">
        <v>10</v>
      </c>
      <c r="F964" s="4">
        <f t="shared" si="15"/>
        <v>289.89999999999998</v>
      </c>
      <c r="G964" t="str">
        <f>IF(Table2[[#This Row],[Sold]]&gt;1000,"High Quality","Normal Quality")</f>
        <v>Normal Quality</v>
      </c>
      <c r="H964" s="12">
        <v>45378</v>
      </c>
      <c r="I964" t="s">
        <v>293</v>
      </c>
      <c r="J964" t="s">
        <v>505</v>
      </c>
      <c r="K964" t="s">
        <v>118</v>
      </c>
    </row>
    <row r="965" spans="1:11" x14ac:dyDescent="0.35">
      <c r="A965" t="s">
        <v>206</v>
      </c>
      <c r="B965" t="s">
        <v>45</v>
      </c>
      <c r="C965" s="27">
        <v>34.68</v>
      </c>
      <c r="D965">
        <v>0</v>
      </c>
      <c r="E965">
        <v>2</v>
      </c>
      <c r="F965" s="4">
        <f t="shared" si="15"/>
        <v>69.36</v>
      </c>
      <c r="G965" t="str">
        <f>IF(Table2[[#This Row],[Sold]]&gt;1000,"High Quality","Normal Quality")</f>
        <v>Normal Quality</v>
      </c>
      <c r="H965" s="12">
        <v>45378</v>
      </c>
      <c r="I965" t="s">
        <v>334</v>
      </c>
      <c r="J965" t="s">
        <v>274</v>
      </c>
      <c r="K965" t="s">
        <v>118</v>
      </c>
    </row>
    <row r="966" spans="1:11" x14ac:dyDescent="0.35">
      <c r="A966" t="s">
        <v>102</v>
      </c>
      <c r="B966" t="s">
        <v>37</v>
      </c>
      <c r="C966" s="27">
        <v>28.97</v>
      </c>
      <c r="D966">
        <v>8</v>
      </c>
      <c r="E966">
        <v>12</v>
      </c>
      <c r="F966" s="4">
        <f t="shared" si="15"/>
        <v>347.64</v>
      </c>
      <c r="G966" t="str">
        <f>IF(Table2[[#This Row],[Sold]]&gt;1000,"High Quality","Normal Quality")</f>
        <v>Normal Quality</v>
      </c>
      <c r="H966" s="12">
        <v>45378</v>
      </c>
      <c r="I966" t="s">
        <v>350</v>
      </c>
      <c r="J966" t="s">
        <v>315</v>
      </c>
      <c r="K966" t="s">
        <v>118</v>
      </c>
    </row>
    <row r="967" spans="1:11" x14ac:dyDescent="0.35">
      <c r="A967" t="s">
        <v>13</v>
      </c>
      <c r="B967" t="s">
        <v>1</v>
      </c>
      <c r="C967" s="27">
        <v>140</v>
      </c>
      <c r="D967">
        <v>0</v>
      </c>
      <c r="E967">
        <v>2</v>
      </c>
      <c r="F967" s="4">
        <f t="shared" si="15"/>
        <v>280</v>
      </c>
      <c r="G967" t="str">
        <f>IF(Table2[[#This Row],[Sold]]&gt;1000,"High Quality","Normal Quality")</f>
        <v>Normal Quality</v>
      </c>
      <c r="H967" s="12">
        <v>45378</v>
      </c>
      <c r="I967" t="s">
        <v>412</v>
      </c>
      <c r="J967" t="s">
        <v>505</v>
      </c>
      <c r="K967" t="s">
        <v>118</v>
      </c>
    </row>
    <row r="968" spans="1:11" x14ac:dyDescent="0.35">
      <c r="A968" t="s">
        <v>133</v>
      </c>
      <c r="B968" t="s">
        <v>1</v>
      </c>
      <c r="C968" s="27">
        <v>52.99</v>
      </c>
      <c r="D968">
        <v>0</v>
      </c>
      <c r="E968">
        <v>7</v>
      </c>
      <c r="F968" s="4">
        <f t="shared" si="15"/>
        <v>370.93</v>
      </c>
      <c r="G968" t="str">
        <f>IF(Table2[[#This Row],[Sold]]&gt;1000,"High Quality","Normal Quality")</f>
        <v>Normal Quality</v>
      </c>
      <c r="H968" s="12">
        <v>45378</v>
      </c>
      <c r="I968" t="s">
        <v>285</v>
      </c>
      <c r="J968" t="s">
        <v>286</v>
      </c>
      <c r="K968" t="s">
        <v>118</v>
      </c>
    </row>
    <row r="969" spans="1:11" x14ac:dyDescent="0.35">
      <c r="A969" t="s">
        <v>32</v>
      </c>
      <c r="B969" t="s">
        <v>3</v>
      </c>
      <c r="C969" s="27">
        <v>24.15</v>
      </c>
      <c r="D969">
        <v>8</v>
      </c>
      <c r="E969">
        <v>14</v>
      </c>
      <c r="F969" s="4">
        <f t="shared" si="15"/>
        <v>338.09999999999997</v>
      </c>
      <c r="G969" t="str">
        <f>IF(Table2[[#This Row],[Sold]]&gt;1000,"High Quality","Normal Quality")</f>
        <v>Normal Quality</v>
      </c>
      <c r="H969" s="12">
        <v>45378</v>
      </c>
      <c r="I969" t="s">
        <v>285</v>
      </c>
      <c r="J969" t="s">
        <v>286</v>
      </c>
      <c r="K969" t="s">
        <v>118</v>
      </c>
    </row>
    <row r="970" spans="1:11" x14ac:dyDescent="0.35">
      <c r="A970" t="s">
        <v>106</v>
      </c>
      <c r="B970" t="s">
        <v>1</v>
      </c>
      <c r="C970" s="27">
        <v>34.99</v>
      </c>
      <c r="D970">
        <v>5</v>
      </c>
      <c r="E970">
        <v>4</v>
      </c>
      <c r="F970" s="4">
        <f t="shared" si="15"/>
        <v>139.96</v>
      </c>
      <c r="G970" t="str">
        <f>IF(Table2[[#This Row],[Sold]]&gt;1000,"High Quality","Normal Quality")</f>
        <v>Normal Quality</v>
      </c>
      <c r="H970" s="12">
        <v>45378</v>
      </c>
      <c r="I970" t="s">
        <v>419</v>
      </c>
      <c r="J970" t="s">
        <v>315</v>
      </c>
      <c r="K970" t="s">
        <v>118</v>
      </c>
    </row>
    <row r="971" spans="1:11" x14ac:dyDescent="0.35">
      <c r="A971" t="s">
        <v>236</v>
      </c>
      <c r="B971" t="s">
        <v>3</v>
      </c>
      <c r="C971" s="27">
        <v>26.95</v>
      </c>
      <c r="D971">
        <v>10</v>
      </c>
      <c r="E971">
        <v>5</v>
      </c>
      <c r="F971" s="4">
        <f t="shared" si="15"/>
        <v>134.75</v>
      </c>
      <c r="G971" t="str">
        <f>IF(Table2[[#This Row],[Sold]]&gt;1000,"High Quality","Normal Quality")</f>
        <v>Normal Quality</v>
      </c>
      <c r="H971" s="12">
        <v>45378</v>
      </c>
      <c r="I971" t="s">
        <v>375</v>
      </c>
      <c r="J971" t="s">
        <v>376</v>
      </c>
      <c r="K971" t="s">
        <v>118</v>
      </c>
    </row>
    <row r="972" spans="1:11" x14ac:dyDescent="0.35">
      <c r="A972" t="s">
        <v>2</v>
      </c>
      <c r="B972" t="s">
        <v>37</v>
      </c>
      <c r="C972" s="27">
        <v>18</v>
      </c>
      <c r="D972">
        <v>3</v>
      </c>
      <c r="E972">
        <v>3</v>
      </c>
      <c r="F972" s="4">
        <f t="shared" si="15"/>
        <v>54</v>
      </c>
      <c r="G972" t="str">
        <f>IF(Table2[[#This Row],[Sold]]&gt;1000,"High Quality","Normal Quality")</f>
        <v>Normal Quality</v>
      </c>
      <c r="H972" s="12">
        <v>45378</v>
      </c>
      <c r="I972" t="s">
        <v>521</v>
      </c>
      <c r="J972" t="s">
        <v>347</v>
      </c>
      <c r="K972" t="s">
        <v>118</v>
      </c>
    </row>
    <row r="973" spans="1:11" x14ac:dyDescent="0.35">
      <c r="A973" t="s">
        <v>210</v>
      </c>
      <c r="B973" t="s">
        <v>3</v>
      </c>
      <c r="C973" s="27">
        <v>11.58</v>
      </c>
      <c r="D973">
        <v>7</v>
      </c>
      <c r="E973">
        <v>17</v>
      </c>
      <c r="F973" s="4">
        <f t="shared" si="15"/>
        <v>196.86</v>
      </c>
      <c r="G973" t="str">
        <f>IF(Table2[[#This Row],[Sold]]&gt;1000,"High Quality","Normal Quality")</f>
        <v>Normal Quality</v>
      </c>
      <c r="H973" s="12">
        <v>45378</v>
      </c>
      <c r="I973" t="s">
        <v>506</v>
      </c>
      <c r="J973" t="s">
        <v>505</v>
      </c>
      <c r="K973" t="s">
        <v>118</v>
      </c>
    </row>
    <row r="974" spans="1:11" x14ac:dyDescent="0.35">
      <c r="A974" t="s">
        <v>62</v>
      </c>
      <c r="B974" t="s">
        <v>3</v>
      </c>
      <c r="C974" s="27">
        <v>79.989999999999995</v>
      </c>
      <c r="D974">
        <v>10</v>
      </c>
      <c r="E974">
        <v>1</v>
      </c>
      <c r="F974" s="4">
        <f t="shared" si="15"/>
        <v>79.989999999999995</v>
      </c>
      <c r="G974" t="str">
        <f>IF(Table2[[#This Row],[Sold]]&gt;1000,"High Quality","Normal Quality")</f>
        <v>Normal Quality</v>
      </c>
      <c r="H974" s="12">
        <v>45378</v>
      </c>
      <c r="I974" t="s">
        <v>422</v>
      </c>
      <c r="J974" t="s">
        <v>376</v>
      </c>
      <c r="K974" t="s">
        <v>118</v>
      </c>
    </row>
    <row r="975" spans="1:11" x14ac:dyDescent="0.35">
      <c r="A975" t="s">
        <v>113</v>
      </c>
      <c r="B975" t="s">
        <v>1</v>
      </c>
      <c r="C975" s="27">
        <v>17.989999999999998</v>
      </c>
      <c r="D975">
        <v>0</v>
      </c>
      <c r="E975">
        <v>1</v>
      </c>
      <c r="F975" s="4">
        <f t="shared" si="15"/>
        <v>17.989999999999998</v>
      </c>
      <c r="G975" t="str">
        <f>IF(Table2[[#This Row],[Sold]]&gt;1000,"High Quality","Normal Quality")</f>
        <v>Normal Quality</v>
      </c>
      <c r="H975" s="12">
        <v>45378</v>
      </c>
      <c r="I975" t="s">
        <v>423</v>
      </c>
      <c r="J975" t="s">
        <v>267</v>
      </c>
      <c r="K975" t="s">
        <v>118</v>
      </c>
    </row>
    <row r="976" spans="1:11" x14ac:dyDescent="0.35">
      <c r="A976" t="s">
        <v>10</v>
      </c>
      <c r="B976" t="s">
        <v>3</v>
      </c>
      <c r="C976" s="27">
        <v>27.99</v>
      </c>
      <c r="D976">
        <v>10</v>
      </c>
      <c r="E976">
        <v>9</v>
      </c>
      <c r="F976" s="4">
        <f t="shared" si="15"/>
        <v>251.91</v>
      </c>
      <c r="G976" t="str">
        <f>IF(Table2[[#This Row],[Sold]]&gt;1000,"High Quality","Normal Quality")</f>
        <v>Normal Quality</v>
      </c>
      <c r="H976" s="12">
        <v>45378</v>
      </c>
      <c r="I976" t="s">
        <v>522</v>
      </c>
      <c r="J976" t="s">
        <v>506</v>
      </c>
      <c r="K976" t="s">
        <v>118</v>
      </c>
    </row>
    <row r="977" spans="1:11" x14ac:dyDescent="0.35">
      <c r="A977" t="s">
        <v>10</v>
      </c>
      <c r="B977" t="s">
        <v>1</v>
      </c>
      <c r="C977" s="27">
        <v>75</v>
      </c>
      <c r="D977">
        <v>10</v>
      </c>
      <c r="E977">
        <v>1</v>
      </c>
      <c r="F977" s="4">
        <f t="shared" si="15"/>
        <v>75</v>
      </c>
      <c r="G977" t="str">
        <f>IF(Table2[[#This Row],[Sold]]&gt;1000,"High Quality","Normal Quality")</f>
        <v>Normal Quality</v>
      </c>
      <c r="H977" s="12">
        <v>45378</v>
      </c>
      <c r="I977" t="s">
        <v>412</v>
      </c>
      <c r="J977" t="s">
        <v>505</v>
      </c>
      <c r="K977" t="s">
        <v>118</v>
      </c>
    </row>
    <row r="978" spans="1:11" x14ac:dyDescent="0.35">
      <c r="A978" t="s">
        <v>211</v>
      </c>
      <c r="B978" t="s">
        <v>45</v>
      </c>
      <c r="C978" s="27">
        <v>36.68</v>
      </c>
      <c r="D978">
        <v>5</v>
      </c>
      <c r="E978">
        <v>1</v>
      </c>
      <c r="F978" s="4">
        <f t="shared" si="15"/>
        <v>36.68</v>
      </c>
      <c r="G978" t="str">
        <f>IF(Table2[[#This Row],[Sold]]&gt;1000,"High Quality","Normal Quality")</f>
        <v>Normal Quality</v>
      </c>
      <c r="H978" s="12">
        <v>45378</v>
      </c>
      <c r="I978" t="s">
        <v>334</v>
      </c>
      <c r="J978" t="s">
        <v>274</v>
      </c>
      <c r="K978" t="s">
        <v>118</v>
      </c>
    </row>
    <row r="979" spans="1:11" x14ac:dyDescent="0.35">
      <c r="A979" t="s">
        <v>102</v>
      </c>
      <c r="B979" t="s">
        <v>37</v>
      </c>
      <c r="C979" s="27">
        <v>46.75</v>
      </c>
      <c r="D979">
        <v>4</v>
      </c>
      <c r="E979">
        <v>3</v>
      </c>
      <c r="F979" s="4">
        <f t="shared" si="15"/>
        <v>140.25</v>
      </c>
      <c r="G979" t="str">
        <f>IF(Table2[[#This Row],[Sold]]&gt;1000,"High Quality","Normal Quality")</f>
        <v>Normal Quality</v>
      </c>
      <c r="H979" s="12">
        <v>45378</v>
      </c>
      <c r="I979" t="s">
        <v>525</v>
      </c>
      <c r="J979" t="s">
        <v>434</v>
      </c>
      <c r="K979" t="s">
        <v>118</v>
      </c>
    </row>
    <row r="980" spans="1:11" x14ac:dyDescent="0.35">
      <c r="A980" t="s">
        <v>102</v>
      </c>
      <c r="B980" t="s">
        <v>37</v>
      </c>
      <c r="C980" s="27">
        <v>26.75</v>
      </c>
      <c r="D980">
        <v>6</v>
      </c>
      <c r="E980">
        <v>5</v>
      </c>
      <c r="F980" s="4">
        <f t="shared" si="15"/>
        <v>133.75</v>
      </c>
      <c r="G980" t="str">
        <f>IF(Table2[[#This Row],[Sold]]&gt;1000,"High Quality","Normal Quality")</f>
        <v>Normal Quality</v>
      </c>
      <c r="H980" s="12">
        <v>45378</v>
      </c>
      <c r="I980" t="s">
        <v>350</v>
      </c>
      <c r="J980" t="s">
        <v>315</v>
      </c>
      <c r="K980" t="s">
        <v>118</v>
      </c>
    </row>
    <row r="981" spans="1:11" x14ac:dyDescent="0.35">
      <c r="A981" t="s">
        <v>85</v>
      </c>
      <c r="B981" t="s">
        <v>1</v>
      </c>
      <c r="C981" s="27">
        <v>74.849999999999994</v>
      </c>
      <c r="D981">
        <v>0</v>
      </c>
      <c r="E981">
        <v>2</v>
      </c>
      <c r="F981" s="4">
        <f t="shared" si="15"/>
        <v>149.69999999999999</v>
      </c>
      <c r="G981" t="str">
        <f>IF(Table2[[#This Row],[Sold]]&gt;1000,"High Quality","Normal Quality")</f>
        <v>Normal Quality</v>
      </c>
      <c r="H981" s="12">
        <v>45378</v>
      </c>
      <c r="I981" t="s">
        <v>526</v>
      </c>
      <c r="J981" t="s">
        <v>282</v>
      </c>
      <c r="K981" t="s">
        <v>118</v>
      </c>
    </row>
    <row r="982" spans="1:11" x14ac:dyDescent="0.35">
      <c r="A982" t="s">
        <v>94</v>
      </c>
      <c r="B982" t="s">
        <v>3</v>
      </c>
      <c r="C982" s="27">
        <v>89.97</v>
      </c>
      <c r="D982">
        <v>0</v>
      </c>
      <c r="E982">
        <v>0</v>
      </c>
      <c r="F982" s="4">
        <f t="shared" si="15"/>
        <v>0</v>
      </c>
      <c r="G982" t="str">
        <f>IF(Table2[[#This Row],[Sold]]&gt;1000,"High Quality","Normal Quality")</f>
        <v>Normal Quality</v>
      </c>
      <c r="H982" s="12">
        <v>45378</v>
      </c>
      <c r="I982" t="s">
        <v>443</v>
      </c>
      <c r="J982" t="s">
        <v>282</v>
      </c>
      <c r="K982" t="s">
        <v>118</v>
      </c>
    </row>
    <row r="983" spans="1:11" x14ac:dyDescent="0.35">
      <c r="A983" t="s">
        <v>2</v>
      </c>
      <c r="B983" t="s">
        <v>1</v>
      </c>
      <c r="C983" s="27">
        <v>13.28</v>
      </c>
      <c r="D983">
        <v>5</v>
      </c>
      <c r="E983">
        <v>6</v>
      </c>
      <c r="F983" s="4">
        <f t="shared" si="15"/>
        <v>79.679999999999993</v>
      </c>
      <c r="G983" t="str">
        <f>IF(Table2[[#This Row],[Sold]]&gt;1000,"High Quality","Normal Quality")</f>
        <v>Normal Quality</v>
      </c>
      <c r="H983" s="12">
        <v>45378</v>
      </c>
      <c r="I983" t="s">
        <v>553</v>
      </c>
      <c r="J983" t="s">
        <v>267</v>
      </c>
      <c r="K983" t="s">
        <v>118</v>
      </c>
    </row>
    <row r="984" spans="1:11" x14ac:dyDescent="0.35">
      <c r="A984" t="s">
        <v>37</v>
      </c>
      <c r="B984" t="s">
        <v>37</v>
      </c>
      <c r="C984" s="27">
        <v>35</v>
      </c>
      <c r="D984">
        <v>10</v>
      </c>
      <c r="E984">
        <v>8</v>
      </c>
      <c r="F984" s="4">
        <f t="shared" si="15"/>
        <v>280</v>
      </c>
      <c r="G984" t="str">
        <f>IF(Table2[[#This Row],[Sold]]&gt;1000,"High Quality","Normal Quality")</f>
        <v>Normal Quality</v>
      </c>
      <c r="H984" s="12">
        <v>45378</v>
      </c>
      <c r="I984" t="s">
        <v>446</v>
      </c>
      <c r="J984" t="s">
        <v>447</v>
      </c>
      <c r="K984" t="s">
        <v>118</v>
      </c>
    </row>
    <row r="985" spans="1:11" x14ac:dyDescent="0.35">
      <c r="A985" t="s">
        <v>231</v>
      </c>
      <c r="B985" t="s">
        <v>1</v>
      </c>
      <c r="C985" s="27">
        <v>9.89</v>
      </c>
      <c r="D985">
        <v>10</v>
      </c>
      <c r="E985">
        <v>6</v>
      </c>
      <c r="F985" s="4">
        <f t="shared" si="15"/>
        <v>59.34</v>
      </c>
      <c r="G985" t="str">
        <f>IF(Table2[[#This Row],[Sold]]&gt;1000,"High Quality","Normal Quality")</f>
        <v>Normal Quality</v>
      </c>
      <c r="H985" s="12">
        <v>45378</v>
      </c>
      <c r="I985" t="s">
        <v>370</v>
      </c>
      <c r="J985" t="s">
        <v>315</v>
      </c>
      <c r="K985" t="s">
        <v>118</v>
      </c>
    </row>
    <row r="986" spans="1:11" x14ac:dyDescent="0.35">
      <c r="A986" t="s">
        <v>8</v>
      </c>
      <c r="B986" t="s">
        <v>3</v>
      </c>
      <c r="C986" s="27">
        <v>53.99</v>
      </c>
      <c r="D986">
        <v>8</v>
      </c>
      <c r="E986">
        <v>3</v>
      </c>
      <c r="F986" s="4">
        <f t="shared" si="15"/>
        <v>161.97</v>
      </c>
      <c r="G986" t="str">
        <f>IF(Table2[[#This Row],[Sold]]&gt;1000,"High Quality","Normal Quality")</f>
        <v>Normal Quality</v>
      </c>
      <c r="H986" s="12">
        <v>45378</v>
      </c>
      <c r="I986" t="s">
        <v>285</v>
      </c>
      <c r="J986" t="s">
        <v>286</v>
      </c>
      <c r="K986" t="s">
        <v>118</v>
      </c>
    </row>
    <row r="987" spans="1:11" x14ac:dyDescent="0.35">
      <c r="A987" t="s">
        <v>233</v>
      </c>
      <c r="B987" t="s">
        <v>1</v>
      </c>
      <c r="C987" s="27">
        <v>19.989999999999998</v>
      </c>
      <c r="D987">
        <v>3</v>
      </c>
      <c r="E987">
        <v>6</v>
      </c>
      <c r="F987" s="4">
        <f t="shared" si="15"/>
        <v>119.94</v>
      </c>
      <c r="G987" t="str">
        <f>IF(Table2[[#This Row],[Sold]]&gt;1000,"High Quality","Normal Quality")</f>
        <v>Normal Quality</v>
      </c>
      <c r="H987" s="12">
        <v>45378</v>
      </c>
      <c r="I987" t="s">
        <v>509</v>
      </c>
      <c r="J987" t="s">
        <v>505</v>
      </c>
      <c r="K987" t="s">
        <v>118</v>
      </c>
    </row>
    <row r="988" spans="1:11" x14ac:dyDescent="0.35">
      <c r="A988" t="s">
        <v>13</v>
      </c>
      <c r="B988" t="s">
        <v>3</v>
      </c>
      <c r="C988" s="27">
        <v>135</v>
      </c>
      <c r="D988">
        <v>10</v>
      </c>
      <c r="E988">
        <v>4</v>
      </c>
      <c r="F988" s="4">
        <f t="shared" si="15"/>
        <v>540</v>
      </c>
      <c r="G988" t="str">
        <f>IF(Table2[[#This Row],[Sold]]&gt;1000,"High Quality","Normal Quality")</f>
        <v>Normal Quality</v>
      </c>
      <c r="H988" s="12">
        <v>45378</v>
      </c>
      <c r="I988" t="s">
        <v>412</v>
      </c>
      <c r="J988" t="s">
        <v>505</v>
      </c>
      <c r="K988" t="s">
        <v>118</v>
      </c>
    </row>
    <row r="989" spans="1:11" x14ac:dyDescent="0.35">
      <c r="A989" t="s">
        <v>62</v>
      </c>
      <c r="B989" t="s">
        <v>1</v>
      </c>
      <c r="C989" s="27">
        <v>22.99</v>
      </c>
      <c r="D989">
        <v>2</v>
      </c>
      <c r="E989">
        <v>1</v>
      </c>
      <c r="F989" s="4">
        <f t="shared" si="15"/>
        <v>22.99</v>
      </c>
      <c r="G989" t="str">
        <f>IF(Table2[[#This Row],[Sold]]&gt;1000,"High Quality","Normal Quality")</f>
        <v>Normal Quality</v>
      </c>
      <c r="H989" s="12">
        <v>45378</v>
      </c>
      <c r="I989" t="s">
        <v>359</v>
      </c>
      <c r="J989" t="s">
        <v>360</v>
      </c>
      <c r="K989" t="s">
        <v>118</v>
      </c>
    </row>
    <row r="990" spans="1:11" x14ac:dyDescent="0.35">
      <c r="A990" t="s">
        <v>235</v>
      </c>
      <c r="B990" t="s">
        <v>37</v>
      </c>
      <c r="C990" s="27">
        <v>29.97</v>
      </c>
      <c r="D990">
        <v>10</v>
      </c>
      <c r="E990">
        <v>0</v>
      </c>
      <c r="F990" s="4">
        <f t="shared" si="15"/>
        <v>0</v>
      </c>
      <c r="G990" t="str">
        <f>IF(Table2[[#This Row],[Sold]]&gt;1000,"High Quality","Normal Quality")</f>
        <v>Normal Quality</v>
      </c>
      <c r="H990" s="12">
        <v>45378</v>
      </c>
      <c r="I990" t="s">
        <v>427</v>
      </c>
      <c r="J990" t="s">
        <v>428</v>
      </c>
      <c r="K990" t="s">
        <v>118</v>
      </c>
    </row>
    <row r="991" spans="1:11" x14ac:dyDescent="0.35">
      <c r="A991" t="s">
        <v>79</v>
      </c>
      <c r="B991" t="s">
        <v>143</v>
      </c>
      <c r="C991" s="27">
        <v>29.99</v>
      </c>
      <c r="D991">
        <v>2</v>
      </c>
      <c r="E991">
        <v>0</v>
      </c>
      <c r="F991" s="4">
        <f t="shared" si="15"/>
        <v>0</v>
      </c>
      <c r="G991" t="str">
        <f>IF(Table2[[#This Row],[Sold]]&gt;1000,"High Quality","Normal Quality")</f>
        <v>Normal Quality</v>
      </c>
      <c r="H991" s="12">
        <v>45378</v>
      </c>
      <c r="I991" t="s">
        <v>466</v>
      </c>
      <c r="J991" t="s">
        <v>467</v>
      </c>
      <c r="K991" t="s">
        <v>118</v>
      </c>
    </row>
    <row r="992" spans="1:11" x14ac:dyDescent="0.35">
      <c r="A992" t="s">
        <v>197</v>
      </c>
      <c r="B992" t="s">
        <v>1</v>
      </c>
      <c r="C992" s="27">
        <v>42.99</v>
      </c>
      <c r="D992">
        <v>8</v>
      </c>
      <c r="E992">
        <v>26</v>
      </c>
      <c r="F992" s="4">
        <f t="shared" si="15"/>
        <v>1117.74</v>
      </c>
      <c r="G992" t="str">
        <f>IF(Table2[[#This Row],[Sold]]&gt;1000,"High Quality","Normal Quality")</f>
        <v>Normal Quality</v>
      </c>
      <c r="H992" s="12">
        <v>45378</v>
      </c>
      <c r="I992" t="s">
        <v>478</v>
      </c>
      <c r="J992" t="s">
        <v>282</v>
      </c>
      <c r="K992" t="s">
        <v>118</v>
      </c>
    </row>
    <row r="993" spans="1:11" x14ac:dyDescent="0.35">
      <c r="A993" t="s">
        <v>218</v>
      </c>
      <c r="B993" t="s">
        <v>1</v>
      </c>
      <c r="C993" s="27">
        <v>29.95</v>
      </c>
      <c r="D993">
        <v>10</v>
      </c>
      <c r="E993">
        <v>2</v>
      </c>
      <c r="F993" s="4">
        <f t="shared" si="15"/>
        <v>59.9</v>
      </c>
      <c r="G993" t="str">
        <f>IF(Table2[[#This Row],[Sold]]&gt;1000,"High Quality","Normal Quality")</f>
        <v>Normal Quality</v>
      </c>
      <c r="H993" s="12">
        <v>45378</v>
      </c>
      <c r="I993" t="s">
        <v>291</v>
      </c>
      <c r="J993" t="s">
        <v>274</v>
      </c>
      <c r="K993" t="s">
        <v>118</v>
      </c>
    </row>
    <row r="994" spans="1:11" x14ac:dyDescent="0.35">
      <c r="A994" t="s">
        <v>37</v>
      </c>
      <c r="B994" t="s">
        <v>1</v>
      </c>
      <c r="C994" s="27">
        <v>24.99</v>
      </c>
      <c r="D994">
        <v>0</v>
      </c>
      <c r="E994">
        <v>2</v>
      </c>
      <c r="F994" s="4">
        <f t="shared" si="15"/>
        <v>49.98</v>
      </c>
      <c r="G994" t="str">
        <f>IF(Table2[[#This Row],[Sold]]&gt;1000,"High Quality","Normal Quality")</f>
        <v>Normal Quality</v>
      </c>
      <c r="H994" s="12">
        <v>45378</v>
      </c>
      <c r="I994" t="s">
        <v>530</v>
      </c>
      <c r="J994" t="s">
        <v>396</v>
      </c>
      <c r="K994" t="s">
        <v>118</v>
      </c>
    </row>
    <row r="995" spans="1:11" x14ac:dyDescent="0.35">
      <c r="A995" t="s">
        <v>53</v>
      </c>
      <c r="B995" t="s">
        <v>1</v>
      </c>
      <c r="C995" s="27">
        <v>250</v>
      </c>
      <c r="D995">
        <v>0</v>
      </c>
      <c r="E995">
        <v>0</v>
      </c>
      <c r="F995" s="4">
        <f t="shared" si="15"/>
        <v>0</v>
      </c>
      <c r="G995" t="str">
        <f>IF(Table2[[#This Row],[Sold]]&gt;1000,"High Quality","Normal Quality")</f>
        <v>Normal Quality</v>
      </c>
      <c r="H995" s="12">
        <v>45378</v>
      </c>
      <c r="I995" t="s">
        <v>493</v>
      </c>
      <c r="J995" t="s">
        <v>506</v>
      </c>
      <c r="K995" t="s">
        <v>118</v>
      </c>
    </row>
    <row r="996" spans="1:11" x14ac:dyDescent="0.35">
      <c r="A996" t="s">
        <v>26</v>
      </c>
      <c r="B996" t="s">
        <v>3</v>
      </c>
      <c r="C996" s="27">
        <v>24.95</v>
      </c>
      <c r="D996">
        <v>3</v>
      </c>
      <c r="E996">
        <v>8</v>
      </c>
      <c r="F996" s="4">
        <f t="shared" si="15"/>
        <v>199.6</v>
      </c>
      <c r="G996" t="str">
        <f>IF(Table2[[#This Row],[Sold]]&gt;1000,"High Quality","Normal Quality")</f>
        <v>Normal Quality</v>
      </c>
      <c r="H996" s="12">
        <v>45378</v>
      </c>
      <c r="I996" t="s">
        <v>375</v>
      </c>
      <c r="J996" t="s">
        <v>376</v>
      </c>
      <c r="K996" t="s">
        <v>118</v>
      </c>
    </row>
    <row r="997" spans="1:11" x14ac:dyDescent="0.35">
      <c r="A997" t="s">
        <v>221</v>
      </c>
      <c r="B997" t="s">
        <v>37</v>
      </c>
      <c r="C997" s="27">
        <v>28.99</v>
      </c>
      <c r="D997">
        <v>0</v>
      </c>
      <c r="E997">
        <v>3</v>
      </c>
      <c r="F997" s="4">
        <f t="shared" si="15"/>
        <v>86.97</v>
      </c>
      <c r="G997" t="str">
        <f>IF(Table2[[#This Row],[Sold]]&gt;1000,"High Quality","Normal Quality")</f>
        <v>Normal Quality</v>
      </c>
      <c r="H997" s="12">
        <v>45378</v>
      </c>
      <c r="I997" t="s">
        <v>495</v>
      </c>
      <c r="J997" t="s">
        <v>286</v>
      </c>
      <c r="K997" t="s">
        <v>118</v>
      </c>
    </row>
    <row r="998" spans="1:11" x14ac:dyDescent="0.35">
      <c r="A998" t="s">
        <v>25</v>
      </c>
      <c r="B998" t="s">
        <v>1</v>
      </c>
      <c r="C998" s="27">
        <v>49.5</v>
      </c>
      <c r="D998">
        <v>10</v>
      </c>
      <c r="E998">
        <v>2</v>
      </c>
      <c r="F998" s="4">
        <f t="shared" si="15"/>
        <v>99</v>
      </c>
      <c r="G998" t="str">
        <f>IF(Table2[[#This Row],[Sold]]&gt;1000,"High Quality","Normal Quality")</f>
        <v>Normal Quality</v>
      </c>
      <c r="H998" s="12">
        <v>45378</v>
      </c>
      <c r="I998" t="s">
        <v>285</v>
      </c>
      <c r="J998" t="s">
        <v>286</v>
      </c>
      <c r="K998" t="s">
        <v>118</v>
      </c>
    </row>
    <row r="999" spans="1:11" x14ac:dyDescent="0.35">
      <c r="A999" t="s">
        <v>4</v>
      </c>
      <c r="B999" t="s">
        <v>1</v>
      </c>
      <c r="C999" s="27">
        <v>24</v>
      </c>
      <c r="D999">
        <v>2</v>
      </c>
      <c r="E999">
        <v>2</v>
      </c>
      <c r="F999" s="4">
        <f t="shared" si="15"/>
        <v>48</v>
      </c>
      <c r="G999" t="str">
        <f>IF(Table2[[#This Row],[Sold]]&gt;1000,"High Quality","Normal Quality")</f>
        <v>Normal Quality</v>
      </c>
      <c r="H999" s="12">
        <v>45378</v>
      </c>
      <c r="I999" t="s">
        <v>497</v>
      </c>
      <c r="J999" t="s">
        <v>356</v>
      </c>
      <c r="K999" t="s">
        <v>118</v>
      </c>
    </row>
    <row r="1000" spans="1:11" x14ac:dyDescent="0.35">
      <c r="A1000" t="s">
        <v>233</v>
      </c>
      <c r="B1000" t="s">
        <v>1</v>
      </c>
      <c r="C1000" s="27">
        <v>12</v>
      </c>
      <c r="D1000">
        <v>6</v>
      </c>
      <c r="E1000">
        <v>19</v>
      </c>
      <c r="F1000" s="4">
        <f t="shared" si="15"/>
        <v>228</v>
      </c>
      <c r="G1000" t="str">
        <f>IF(Table2[[#This Row],[Sold]]&gt;1000,"High Quality","Normal Quality")</f>
        <v>Normal Quality</v>
      </c>
      <c r="H1000" s="12">
        <v>45378</v>
      </c>
      <c r="I1000" t="s">
        <v>514</v>
      </c>
      <c r="J1000" t="s">
        <v>505</v>
      </c>
      <c r="K1000" t="s">
        <v>118</v>
      </c>
    </row>
    <row r="1001" spans="1:11" x14ac:dyDescent="0.35">
      <c r="A1001" t="s">
        <v>10</v>
      </c>
      <c r="B1001" t="s">
        <v>3</v>
      </c>
      <c r="C1001" s="27">
        <v>27.99</v>
      </c>
      <c r="D1001">
        <v>0</v>
      </c>
      <c r="E1001">
        <v>24</v>
      </c>
      <c r="F1001" s="4">
        <f t="shared" si="15"/>
        <v>671.76</v>
      </c>
      <c r="G1001" t="str">
        <f>IF(Table2[[#This Row],[Sold]]&gt;1000,"High Quality","Normal Quality")</f>
        <v>Normal Quality</v>
      </c>
      <c r="H1001" s="12">
        <v>45378</v>
      </c>
      <c r="I1001" t="s">
        <v>352</v>
      </c>
      <c r="J1001" t="s">
        <v>353</v>
      </c>
      <c r="K1001" t="s">
        <v>118</v>
      </c>
    </row>
  </sheetData>
  <phoneticPr fontId="4" type="noConversion"/>
  <dataValidations count="2">
    <dataValidation type="list" allowBlank="1" showInputMessage="1" showErrorMessage="1" sqref="G1002:G1048576 I1:I1001" xr:uid="{89154692-4698-41AA-9D8F-8E3CE8AEADC6}">
      <formula1>$I$2:$I$1001</formula1>
    </dataValidation>
    <dataValidation type="list" allowBlank="1" showInputMessage="1" showErrorMessage="1" sqref="E1002:E1048576 G1:G1001" xr:uid="{6E136A6E-5FFA-4149-A6E6-78AEE25A5FF4}">
      <formula1>$E:$E</formula1>
    </dataValidation>
  </dataValidations>
  <pageMargins left="0.7" right="0.7" top="0.75" bottom="0.75" header="0.3" footer="0.3"/>
  <tableParts count="7">
    <tablePart r:id="rId1"/>
    <tablePart r:id="rId2"/>
    <tablePart r:id="rId3"/>
    <tablePart r:id="rId4"/>
    <tablePart r:id="rId5"/>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500C5-7882-49CB-892A-B75E363C8ADB}">
  <dimension ref="A1:G70"/>
  <sheetViews>
    <sheetView workbookViewId="0">
      <selection activeCell="I56" sqref="I56"/>
    </sheetView>
  </sheetViews>
  <sheetFormatPr defaultRowHeight="14.5" x14ac:dyDescent="0.35"/>
  <cols>
    <col min="1" max="1" width="18.6328125" customWidth="1"/>
    <col min="2" max="2" width="17.08984375" customWidth="1"/>
    <col min="3" max="3" width="19" style="2" customWidth="1"/>
    <col min="4" max="4" width="15.36328125" customWidth="1"/>
    <col min="6" max="6" width="17.08984375" customWidth="1"/>
    <col min="7" max="7" width="33.6328125" style="2" customWidth="1"/>
    <col min="11" max="11" width="17.54296875" customWidth="1"/>
    <col min="12" max="12" width="12.6328125" customWidth="1"/>
  </cols>
  <sheetData>
    <row r="1" spans="1:7" x14ac:dyDescent="0.35">
      <c r="A1" t="s">
        <v>113</v>
      </c>
      <c r="B1" t="s">
        <v>170</v>
      </c>
      <c r="C1" s="2" t="s">
        <v>171</v>
      </c>
      <c r="D1" t="s">
        <v>264</v>
      </c>
      <c r="E1" t="s">
        <v>172</v>
      </c>
      <c r="F1" t="s">
        <v>565</v>
      </c>
      <c r="G1" s="2" t="s">
        <v>643</v>
      </c>
    </row>
    <row r="2" spans="1:7" x14ac:dyDescent="0.35">
      <c r="A2" t="s">
        <v>226</v>
      </c>
      <c r="B2" t="s">
        <v>1</v>
      </c>
      <c r="C2" s="2">
        <v>3</v>
      </c>
      <c r="D2">
        <v>57</v>
      </c>
      <c r="E2">
        <v>4</v>
      </c>
      <c r="F2" t="s">
        <v>588</v>
      </c>
      <c r="G2" s="2">
        <f>VLOOKUP(Table19[[#This Row],[Branded]],'vlook up'!A1:F68,3,FALSE)</f>
        <v>3</v>
      </c>
    </row>
    <row r="3" spans="1:7" x14ac:dyDescent="0.35">
      <c r="A3" t="s">
        <v>1</v>
      </c>
      <c r="B3" t="s">
        <v>1</v>
      </c>
      <c r="C3" s="2">
        <v>3.5</v>
      </c>
      <c r="D3">
        <v>0</v>
      </c>
      <c r="E3">
        <v>3009</v>
      </c>
      <c r="F3" t="s">
        <v>589</v>
      </c>
      <c r="G3" s="2">
        <f>VLOOKUP(Table19[[#This Row],[Branded]],'vlook up'!A2:F69,3,FALSE)</f>
        <v>3.5</v>
      </c>
    </row>
    <row r="4" spans="1:7" hidden="1" x14ac:dyDescent="0.35">
      <c r="A4" t="s">
        <v>190</v>
      </c>
      <c r="B4" t="s">
        <v>1</v>
      </c>
      <c r="C4">
        <v>6.65</v>
      </c>
      <c r="D4">
        <v>10</v>
      </c>
      <c r="E4">
        <v>18882</v>
      </c>
      <c r="F4" t="s">
        <v>589</v>
      </c>
      <c r="G4">
        <f>VLOOKUP(Table19[[#This Row],[Branded]],'vlook up'!A3:F70,3,FALSE)</f>
        <v>6.65</v>
      </c>
    </row>
    <row r="5" spans="1:7" x14ac:dyDescent="0.35">
      <c r="A5" t="s">
        <v>20</v>
      </c>
      <c r="B5" t="s">
        <v>1</v>
      </c>
      <c r="C5" s="2">
        <v>6.94</v>
      </c>
      <c r="D5">
        <v>10</v>
      </c>
      <c r="E5">
        <v>131</v>
      </c>
      <c r="F5" t="s">
        <v>588</v>
      </c>
      <c r="G5" s="2">
        <f>VLOOKUP(Table19[[#This Row],[Branded]],'vlook up'!A4:F71,3,FALSE)</f>
        <v>6.94</v>
      </c>
    </row>
    <row r="6" spans="1:7" hidden="1" x14ac:dyDescent="0.35">
      <c r="A6" t="s">
        <v>187</v>
      </c>
      <c r="B6" t="s">
        <v>1</v>
      </c>
      <c r="C6">
        <v>6.96</v>
      </c>
      <c r="D6">
        <v>3</v>
      </c>
      <c r="E6">
        <v>102</v>
      </c>
      <c r="F6" t="s">
        <v>588</v>
      </c>
      <c r="G6">
        <f>VLOOKUP(Table19[[#This Row],[Branded]],'vlook up'!A5:F72,3,FALSE)</f>
        <v>6.96</v>
      </c>
    </row>
    <row r="7" spans="1:7" hidden="1" x14ac:dyDescent="0.35">
      <c r="A7" t="s">
        <v>187</v>
      </c>
      <c r="B7" t="s">
        <v>1</v>
      </c>
      <c r="C7">
        <v>6.97</v>
      </c>
      <c r="D7">
        <v>10</v>
      </c>
      <c r="E7">
        <v>803</v>
      </c>
      <c r="F7" t="s">
        <v>588</v>
      </c>
      <c r="G7">
        <f>VLOOKUP(Table19[[#This Row],[Branded]],'vlook up'!A6:F73,3,FALSE)</f>
        <v>6.96</v>
      </c>
    </row>
    <row r="8" spans="1:7" hidden="1" x14ac:dyDescent="0.35">
      <c r="A8" t="s">
        <v>2</v>
      </c>
      <c r="B8" t="s">
        <v>150</v>
      </c>
      <c r="C8">
        <v>7.19</v>
      </c>
      <c r="D8">
        <v>10</v>
      </c>
      <c r="E8">
        <v>131</v>
      </c>
      <c r="F8" t="s">
        <v>588</v>
      </c>
      <c r="G8">
        <f>VLOOKUP(Table19[[#This Row],[Branded]],'vlook up'!A7:F74,3,FALSE)</f>
        <v>7.19</v>
      </c>
    </row>
    <row r="9" spans="1:7" hidden="1" x14ac:dyDescent="0.35">
      <c r="A9" t="s">
        <v>125</v>
      </c>
      <c r="B9" t="s">
        <v>3</v>
      </c>
      <c r="C9">
        <v>7.28</v>
      </c>
      <c r="D9">
        <v>3</v>
      </c>
      <c r="E9">
        <v>149</v>
      </c>
      <c r="F9" t="s">
        <v>588</v>
      </c>
      <c r="G9">
        <f>VLOOKUP(Table19[[#This Row],[Branded]],'vlook up'!A8:F75,3,FALSE)</f>
        <v>7.28</v>
      </c>
    </row>
    <row r="10" spans="1:7" hidden="1" x14ac:dyDescent="0.35">
      <c r="A10" t="s">
        <v>17</v>
      </c>
      <c r="B10" t="s">
        <v>1</v>
      </c>
      <c r="C10">
        <v>7.5</v>
      </c>
      <c r="D10">
        <v>24</v>
      </c>
      <c r="E10">
        <v>115</v>
      </c>
      <c r="F10" t="s">
        <v>588</v>
      </c>
      <c r="G10">
        <f>VLOOKUP(Table19[[#This Row],[Branded]],'vlook up'!A9:F76,3,FALSE)</f>
        <v>7.5</v>
      </c>
    </row>
    <row r="11" spans="1:7" hidden="1" x14ac:dyDescent="0.35">
      <c r="A11" t="s">
        <v>232</v>
      </c>
      <c r="B11" t="s">
        <v>3</v>
      </c>
      <c r="C11">
        <v>7.95</v>
      </c>
      <c r="D11">
        <v>10</v>
      </c>
      <c r="E11">
        <v>254</v>
      </c>
      <c r="F11" t="s">
        <v>588</v>
      </c>
      <c r="G11">
        <f>VLOOKUP(Table19[[#This Row],[Branded]],'vlook up'!A10:F77,3,FALSE)</f>
        <v>7.95</v>
      </c>
    </row>
    <row r="12" spans="1:7" hidden="1" x14ac:dyDescent="0.35">
      <c r="A12" t="s">
        <v>187</v>
      </c>
      <c r="B12" t="s">
        <v>1</v>
      </c>
      <c r="C12">
        <v>7.96</v>
      </c>
      <c r="D12">
        <v>10</v>
      </c>
      <c r="E12">
        <v>38</v>
      </c>
      <c r="F12" t="s">
        <v>588</v>
      </c>
      <c r="G12">
        <f>VLOOKUP(Table19[[#This Row],[Branded]],'vlook up'!A11:F78,3,FALSE)</f>
        <v>7.96</v>
      </c>
    </row>
    <row r="13" spans="1:7" hidden="1" x14ac:dyDescent="0.35">
      <c r="A13" t="s">
        <v>258</v>
      </c>
      <c r="B13" t="s">
        <v>259</v>
      </c>
      <c r="C13">
        <v>8</v>
      </c>
      <c r="D13">
        <v>10</v>
      </c>
      <c r="E13">
        <v>1113</v>
      </c>
      <c r="F13" t="s">
        <v>589</v>
      </c>
      <c r="G13">
        <f>VLOOKUP(Table19[[#This Row],[Branded]],'vlook up'!A12:F79,3,FALSE)</f>
        <v>8</v>
      </c>
    </row>
    <row r="14" spans="1:7" hidden="1" x14ac:dyDescent="0.35">
      <c r="A14" t="s">
        <v>12</v>
      </c>
      <c r="B14" t="s">
        <v>3</v>
      </c>
      <c r="C14">
        <v>8.32</v>
      </c>
      <c r="D14">
        <v>9</v>
      </c>
      <c r="E14">
        <v>417</v>
      </c>
      <c r="F14" t="s">
        <v>588</v>
      </c>
      <c r="G14">
        <f>VLOOKUP(Table19[[#This Row],[Branded]],'vlook up'!A13:F80,3,FALSE)</f>
        <v>8.32</v>
      </c>
    </row>
    <row r="15" spans="1:7" x14ac:dyDescent="0.35">
      <c r="A15" t="s">
        <v>193</v>
      </c>
      <c r="B15" t="s">
        <v>1</v>
      </c>
      <c r="C15" s="2">
        <v>8.49</v>
      </c>
      <c r="D15">
        <v>3</v>
      </c>
      <c r="E15">
        <v>131</v>
      </c>
      <c r="F15" t="s">
        <v>588</v>
      </c>
      <c r="G15" s="2">
        <f>VLOOKUP(Table19[[#This Row],[Branded]],'vlook up'!A14:F81,3,FALSE)</f>
        <v>8.49</v>
      </c>
    </row>
    <row r="16" spans="1:7" hidden="1" x14ac:dyDescent="0.35">
      <c r="A16" t="s">
        <v>12</v>
      </c>
      <c r="B16" t="s">
        <v>3</v>
      </c>
      <c r="C16">
        <v>8.84</v>
      </c>
      <c r="D16">
        <v>4</v>
      </c>
      <c r="E16">
        <v>9410</v>
      </c>
      <c r="F16" t="s">
        <v>589</v>
      </c>
      <c r="G16">
        <f>VLOOKUP(Table19[[#This Row],[Branded]],'vlook up'!A15:F82,3,FALSE)</f>
        <v>8.84</v>
      </c>
    </row>
    <row r="17" spans="1:7" hidden="1" x14ac:dyDescent="0.35">
      <c r="A17" t="s">
        <v>62</v>
      </c>
      <c r="B17" t="s">
        <v>3</v>
      </c>
      <c r="C17">
        <v>8.8800000000000008</v>
      </c>
      <c r="D17">
        <v>5</v>
      </c>
      <c r="E17">
        <v>21</v>
      </c>
      <c r="F17" t="s">
        <v>588</v>
      </c>
      <c r="G17">
        <f>VLOOKUP(Table19[[#This Row],[Branded]],'vlook up'!A16:F83,3,FALSE)</f>
        <v>8.8800000000000008</v>
      </c>
    </row>
    <row r="18" spans="1:7" hidden="1" x14ac:dyDescent="0.35">
      <c r="A18" t="s">
        <v>27</v>
      </c>
      <c r="B18" t="s">
        <v>1</v>
      </c>
      <c r="C18">
        <v>8.99</v>
      </c>
      <c r="D18">
        <v>6</v>
      </c>
      <c r="E18">
        <v>8</v>
      </c>
      <c r="F18" t="s">
        <v>588</v>
      </c>
      <c r="G18">
        <f>VLOOKUP(Table19[[#This Row],[Branded]],'vlook up'!A17:F84,3,FALSE)</f>
        <v>8.99</v>
      </c>
    </row>
    <row r="19" spans="1:7" hidden="1" x14ac:dyDescent="0.35">
      <c r="A19" t="s">
        <v>153</v>
      </c>
      <c r="B19" t="s">
        <v>1</v>
      </c>
      <c r="C19">
        <v>8.99</v>
      </c>
      <c r="D19">
        <v>10</v>
      </c>
      <c r="E19">
        <v>76</v>
      </c>
      <c r="F19" t="s">
        <v>588</v>
      </c>
      <c r="G19">
        <f>VLOOKUP(Table19[[#This Row],[Branded]],'vlook up'!A18:F85,3,FALSE)</f>
        <v>8.99</v>
      </c>
    </row>
    <row r="20" spans="1:7" x14ac:dyDescent="0.35">
      <c r="A20" t="s">
        <v>246</v>
      </c>
      <c r="B20" t="s">
        <v>239</v>
      </c>
      <c r="C20" s="2">
        <v>9.2100000000000009</v>
      </c>
      <c r="D20">
        <v>10</v>
      </c>
      <c r="E20">
        <v>72</v>
      </c>
      <c r="F20" t="s">
        <v>588</v>
      </c>
      <c r="G20" s="2">
        <f>VLOOKUP(Table19[[#This Row],[Branded]],'vlook up'!A19:F86,3,FALSE)</f>
        <v>9.2100000000000009</v>
      </c>
    </row>
    <row r="21" spans="1:7" hidden="1" x14ac:dyDescent="0.35">
      <c r="A21" t="s">
        <v>245</v>
      </c>
      <c r="B21" t="s">
        <v>3</v>
      </c>
      <c r="C21">
        <v>9.2100000000000009</v>
      </c>
      <c r="D21">
        <v>0</v>
      </c>
      <c r="E21">
        <v>3093</v>
      </c>
      <c r="F21" t="s">
        <v>589</v>
      </c>
      <c r="G21">
        <f>VLOOKUP(Table19[[#This Row],[Branded]],'vlook up'!A20:F87,3,FALSE)</f>
        <v>9.2100000000000009</v>
      </c>
    </row>
    <row r="22" spans="1:7" hidden="1" x14ac:dyDescent="0.35">
      <c r="A22" t="s">
        <v>125</v>
      </c>
      <c r="B22" t="s">
        <v>37</v>
      </c>
      <c r="C22">
        <v>9.4499999999999993</v>
      </c>
      <c r="D22">
        <v>2</v>
      </c>
      <c r="E22">
        <v>56</v>
      </c>
      <c r="F22" t="s">
        <v>588</v>
      </c>
      <c r="G22">
        <f>VLOOKUP(Table19[[#This Row],[Branded]],'vlook up'!A21:F88,3,FALSE)</f>
        <v>9.4499999999999993</v>
      </c>
    </row>
    <row r="23" spans="1:7" hidden="1" x14ac:dyDescent="0.35">
      <c r="A23" t="s">
        <v>198</v>
      </c>
      <c r="B23" t="s">
        <v>3</v>
      </c>
      <c r="C23">
        <v>9.61</v>
      </c>
      <c r="D23">
        <v>0</v>
      </c>
      <c r="E23">
        <v>17</v>
      </c>
      <c r="F23" t="s">
        <v>588</v>
      </c>
      <c r="G23">
        <f>VLOOKUP(Table19[[#This Row],[Branded]],'vlook up'!A22:F89,3,FALSE)</f>
        <v>9.61</v>
      </c>
    </row>
    <row r="24" spans="1:7" hidden="1" x14ac:dyDescent="0.35">
      <c r="A24" t="s">
        <v>101</v>
      </c>
      <c r="B24" t="s">
        <v>37</v>
      </c>
      <c r="C24">
        <v>9.7799999999999994</v>
      </c>
      <c r="D24">
        <v>10</v>
      </c>
      <c r="E24">
        <v>8</v>
      </c>
      <c r="F24" t="s">
        <v>588</v>
      </c>
      <c r="G24">
        <f>VLOOKUP(Table19[[#This Row],[Branded]],'vlook up'!A23:F90,3,FALSE)</f>
        <v>9.7799999999999994</v>
      </c>
    </row>
    <row r="25" spans="1:7" hidden="1" x14ac:dyDescent="0.35">
      <c r="A25" t="s">
        <v>231</v>
      </c>
      <c r="B25" t="s">
        <v>1</v>
      </c>
      <c r="C25">
        <v>9.89</v>
      </c>
      <c r="D25">
        <v>10</v>
      </c>
      <c r="E25">
        <v>6</v>
      </c>
      <c r="F25" t="s">
        <v>588</v>
      </c>
      <c r="G25">
        <f>VLOOKUP(Table19[[#This Row],[Branded]],'vlook up'!A24:F91,3,FALSE)</f>
        <v>9.89</v>
      </c>
    </row>
    <row r="26" spans="1:7" hidden="1" x14ac:dyDescent="0.35">
      <c r="A26" t="s">
        <v>230</v>
      </c>
      <c r="B26" t="s">
        <v>3</v>
      </c>
      <c r="C26">
        <v>9.9499999999999993</v>
      </c>
      <c r="D26">
        <v>10</v>
      </c>
      <c r="E26">
        <v>269</v>
      </c>
      <c r="F26" t="s">
        <v>588</v>
      </c>
      <c r="G26">
        <f>VLOOKUP(Table19[[#This Row],[Branded]],'vlook up'!A25:F92,3,FALSE)</f>
        <v>9.9499999999999993</v>
      </c>
    </row>
    <row r="27" spans="1:7" x14ac:dyDescent="0.35">
      <c r="A27" t="s">
        <v>70</v>
      </c>
      <c r="B27" t="s">
        <v>145</v>
      </c>
      <c r="C27" s="2">
        <v>9.9600000000000009</v>
      </c>
      <c r="D27">
        <v>3</v>
      </c>
      <c r="E27">
        <v>266</v>
      </c>
      <c r="F27" t="s">
        <v>588</v>
      </c>
      <c r="G27" s="2">
        <f>VLOOKUP(Table19[[#This Row],[Branded]],'vlook up'!A26:F93,3,FALSE)</f>
        <v>9.9600000000000009</v>
      </c>
    </row>
    <row r="28" spans="1:7" hidden="1" x14ac:dyDescent="0.35">
      <c r="A28" t="s">
        <v>245</v>
      </c>
      <c r="B28" t="s">
        <v>3</v>
      </c>
      <c r="C28">
        <v>9.98</v>
      </c>
      <c r="D28">
        <v>3</v>
      </c>
      <c r="E28">
        <v>8453</v>
      </c>
      <c r="F28" t="s">
        <v>589</v>
      </c>
      <c r="G28">
        <f>VLOOKUP(Table19[[#This Row],[Branded]],'vlook up'!A27:F94,3,FALSE)</f>
        <v>9.98</v>
      </c>
    </row>
    <row r="29" spans="1:7" hidden="1" x14ac:dyDescent="0.35">
      <c r="A29" t="s">
        <v>21</v>
      </c>
      <c r="B29" t="s">
        <v>1</v>
      </c>
      <c r="C29">
        <v>9.99</v>
      </c>
      <c r="D29">
        <v>6</v>
      </c>
      <c r="E29">
        <v>19</v>
      </c>
      <c r="F29" t="s">
        <v>588</v>
      </c>
      <c r="G29">
        <f>VLOOKUP(Table19[[#This Row],[Branded]],'vlook up'!A28:F95,3,FALSE)</f>
        <v>9.99</v>
      </c>
    </row>
    <row r="30" spans="1:7" hidden="1" x14ac:dyDescent="0.35">
      <c r="A30" t="s">
        <v>242</v>
      </c>
      <c r="B30" t="s">
        <v>3</v>
      </c>
      <c r="C30">
        <v>9.99</v>
      </c>
      <c r="D30">
        <v>0</v>
      </c>
      <c r="E30">
        <v>103</v>
      </c>
      <c r="F30" t="s">
        <v>588</v>
      </c>
      <c r="G30">
        <f>VLOOKUP(Table19[[#This Row],[Branded]],'vlook up'!A29:F96,3,FALSE)</f>
        <v>9.99</v>
      </c>
    </row>
    <row r="31" spans="1:7" x14ac:dyDescent="0.35">
      <c r="A31" t="s">
        <v>70</v>
      </c>
      <c r="B31" t="s">
        <v>1</v>
      </c>
      <c r="C31" s="2">
        <v>9.99</v>
      </c>
      <c r="D31">
        <v>0</v>
      </c>
      <c r="E31">
        <v>141</v>
      </c>
      <c r="F31" t="s">
        <v>588</v>
      </c>
      <c r="G31" s="2">
        <f>VLOOKUP(Table19[[#This Row],[Branded]],'vlook up'!A30:F97,3,FALSE)</f>
        <v>9.99</v>
      </c>
    </row>
    <row r="32" spans="1:7" hidden="1" x14ac:dyDescent="0.35">
      <c r="A32" t="s">
        <v>129</v>
      </c>
      <c r="B32" t="s">
        <v>130</v>
      </c>
      <c r="C32">
        <v>9.99</v>
      </c>
      <c r="D32">
        <v>3</v>
      </c>
      <c r="E32">
        <v>94</v>
      </c>
      <c r="F32" t="s">
        <v>588</v>
      </c>
      <c r="G32">
        <f>VLOOKUP(Table19[[#This Row],[Branded]],'vlook up'!A31:F98,3,FALSE)</f>
        <v>9.99</v>
      </c>
    </row>
    <row r="33" spans="1:7" x14ac:dyDescent="0.35">
      <c r="A33" t="s">
        <v>222</v>
      </c>
      <c r="B33" t="s">
        <v>1</v>
      </c>
      <c r="C33" s="2">
        <v>9.99</v>
      </c>
      <c r="D33">
        <v>8</v>
      </c>
      <c r="E33">
        <v>32</v>
      </c>
      <c r="F33" t="s">
        <v>588</v>
      </c>
      <c r="G33" s="2">
        <f>VLOOKUP(Table19[[#This Row],[Branded]],'vlook up'!A32:F99,3,FALSE)</f>
        <v>9.99</v>
      </c>
    </row>
    <row r="34" spans="1:7" hidden="1" x14ac:dyDescent="0.35">
      <c r="A34" t="s">
        <v>77</v>
      </c>
      <c r="B34" t="s">
        <v>3</v>
      </c>
      <c r="C34">
        <v>9.99</v>
      </c>
      <c r="D34">
        <v>0</v>
      </c>
      <c r="E34">
        <v>22</v>
      </c>
      <c r="F34" t="s">
        <v>588</v>
      </c>
      <c r="G34">
        <f>VLOOKUP(Table19[[#This Row],[Branded]],'vlook up'!A33:F100,3,FALSE)</f>
        <v>9.99</v>
      </c>
    </row>
    <row r="35" spans="1:7" x14ac:dyDescent="0.35">
      <c r="A35" t="s">
        <v>88</v>
      </c>
      <c r="B35" t="s">
        <v>37</v>
      </c>
      <c r="C35" s="2">
        <v>10.19</v>
      </c>
      <c r="D35">
        <v>10</v>
      </c>
      <c r="E35">
        <v>330</v>
      </c>
      <c r="F35" t="s">
        <v>588</v>
      </c>
      <c r="G35" s="2">
        <f>VLOOKUP(Table19[[#This Row],[Branded]],'vlook up'!A34:F101,3,FALSE)</f>
        <v>10.19</v>
      </c>
    </row>
    <row r="36" spans="1:7" hidden="1" x14ac:dyDescent="0.35">
      <c r="A36" t="s">
        <v>165</v>
      </c>
      <c r="B36" t="s">
        <v>3</v>
      </c>
      <c r="C36">
        <v>10.58</v>
      </c>
      <c r="D36">
        <v>2</v>
      </c>
      <c r="E36">
        <v>391</v>
      </c>
      <c r="F36" t="s">
        <v>588</v>
      </c>
      <c r="G36">
        <f>VLOOKUP(Table19[[#This Row],[Branded]],'vlook up'!A35:F102,3,FALSE)</f>
        <v>10.58</v>
      </c>
    </row>
    <row r="37" spans="1:7" hidden="1" x14ac:dyDescent="0.35">
      <c r="A37" t="s">
        <v>253</v>
      </c>
      <c r="B37" t="s">
        <v>3</v>
      </c>
      <c r="C37">
        <v>10.67</v>
      </c>
      <c r="D37">
        <v>10</v>
      </c>
      <c r="E37">
        <v>272</v>
      </c>
      <c r="F37" t="s">
        <v>588</v>
      </c>
      <c r="G37">
        <f>VLOOKUP(Table19[[#This Row],[Branded]],'vlook up'!A36:F103,3,FALSE)</f>
        <v>10.67</v>
      </c>
    </row>
    <row r="38" spans="1:7" x14ac:dyDescent="0.35">
      <c r="A38" t="s">
        <v>94</v>
      </c>
      <c r="B38" t="s">
        <v>3</v>
      </c>
      <c r="C38" s="2">
        <v>10.7</v>
      </c>
      <c r="D38">
        <v>5</v>
      </c>
      <c r="E38">
        <v>163</v>
      </c>
      <c r="F38" t="s">
        <v>588</v>
      </c>
      <c r="G38" s="2">
        <f>VLOOKUP(Table19[[#This Row],[Branded]],'vlook up'!A37:F104,3,FALSE)</f>
        <v>10.7</v>
      </c>
    </row>
    <row r="39" spans="1:7" hidden="1" x14ac:dyDescent="0.35">
      <c r="A39" t="s">
        <v>235</v>
      </c>
      <c r="B39" t="s">
        <v>1</v>
      </c>
      <c r="C39">
        <v>10.91</v>
      </c>
      <c r="D39">
        <v>0</v>
      </c>
      <c r="E39">
        <v>654</v>
      </c>
      <c r="F39" t="s">
        <v>588</v>
      </c>
      <c r="G39">
        <f>VLOOKUP(Table19[[#This Row],[Branded]],'vlook up'!A38:F105,3,FALSE)</f>
        <v>10.91</v>
      </c>
    </row>
    <row r="40" spans="1:7" hidden="1" x14ac:dyDescent="0.35">
      <c r="A40" t="s">
        <v>37</v>
      </c>
      <c r="B40" t="s">
        <v>1</v>
      </c>
      <c r="C40">
        <v>10.99</v>
      </c>
      <c r="D40">
        <v>3</v>
      </c>
      <c r="E40">
        <v>179</v>
      </c>
      <c r="F40" t="s">
        <v>588</v>
      </c>
      <c r="G40">
        <f>VLOOKUP(Table19[[#This Row],[Branded]],'vlook up'!A39:F106,3,FALSE)</f>
        <v>10.99</v>
      </c>
    </row>
    <row r="41" spans="1:7" hidden="1" x14ac:dyDescent="0.35">
      <c r="A41" t="s">
        <v>37</v>
      </c>
      <c r="B41" t="s">
        <v>3</v>
      </c>
      <c r="C41">
        <v>10.99</v>
      </c>
      <c r="D41">
        <v>3</v>
      </c>
      <c r="E41">
        <v>1044</v>
      </c>
      <c r="F41" t="s">
        <v>589</v>
      </c>
      <c r="G41">
        <f>VLOOKUP(Table19[[#This Row],[Branded]],'vlook up'!A40:F107,3,FALSE)</f>
        <v>10.99</v>
      </c>
    </row>
    <row r="42" spans="1:7" hidden="1" x14ac:dyDescent="0.35">
      <c r="A42" t="s">
        <v>187</v>
      </c>
      <c r="B42" t="s">
        <v>1</v>
      </c>
      <c r="C42">
        <v>10.99</v>
      </c>
      <c r="D42">
        <v>10</v>
      </c>
      <c r="E42">
        <v>35</v>
      </c>
      <c r="F42" t="s">
        <v>588</v>
      </c>
      <c r="G42">
        <f>VLOOKUP(Table19[[#This Row],[Branded]],'vlook up'!A41:F108,3,FALSE)</f>
        <v>10.99</v>
      </c>
    </row>
    <row r="43" spans="1:7" hidden="1" x14ac:dyDescent="0.35">
      <c r="A43" t="s">
        <v>32</v>
      </c>
      <c r="B43" t="s">
        <v>1</v>
      </c>
      <c r="C43">
        <v>10.99</v>
      </c>
      <c r="D43">
        <v>10</v>
      </c>
      <c r="E43">
        <v>368</v>
      </c>
      <c r="F43" t="s">
        <v>588</v>
      </c>
      <c r="G43">
        <f>VLOOKUP(Table19[[#This Row],[Branded]],'vlook up'!A42:F109,3,FALSE)</f>
        <v>10.99</v>
      </c>
    </row>
    <row r="44" spans="1:7" hidden="1" x14ac:dyDescent="0.35">
      <c r="A44" t="s">
        <v>2</v>
      </c>
      <c r="B44" t="s">
        <v>239</v>
      </c>
      <c r="C44">
        <v>10.99</v>
      </c>
      <c r="D44">
        <v>4</v>
      </c>
      <c r="E44">
        <v>38</v>
      </c>
      <c r="F44" t="s">
        <v>588</v>
      </c>
      <c r="G44">
        <f>VLOOKUP(Table19[[#This Row],[Branded]],'vlook up'!A43:F110,3,FALSE)</f>
        <v>10.99</v>
      </c>
    </row>
    <row r="45" spans="1:7" hidden="1" x14ac:dyDescent="0.35">
      <c r="A45" t="s">
        <v>17</v>
      </c>
      <c r="B45" t="s">
        <v>1</v>
      </c>
      <c r="C45">
        <v>11</v>
      </c>
      <c r="D45">
        <v>10</v>
      </c>
      <c r="E45">
        <v>702</v>
      </c>
      <c r="F45" t="s">
        <v>588</v>
      </c>
      <c r="G45">
        <f>VLOOKUP(Table19[[#This Row],[Branded]],'vlook up'!A44:F111,3,FALSE)</f>
        <v>11</v>
      </c>
    </row>
    <row r="46" spans="1:7" hidden="1" x14ac:dyDescent="0.35">
      <c r="A46" t="s">
        <v>149</v>
      </c>
      <c r="B46" t="s">
        <v>1</v>
      </c>
      <c r="C46">
        <v>11</v>
      </c>
      <c r="D46">
        <v>0</v>
      </c>
      <c r="E46">
        <v>47</v>
      </c>
      <c r="F46" t="s">
        <v>588</v>
      </c>
      <c r="G46">
        <f>VLOOKUP(Table19[[#This Row],[Branded]],'vlook up'!A45:F112,3,FALSE)</f>
        <v>11</v>
      </c>
    </row>
    <row r="47" spans="1:7" x14ac:dyDescent="0.35">
      <c r="A47" t="s">
        <v>94</v>
      </c>
      <c r="B47" t="s">
        <v>1</v>
      </c>
      <c r="C47" s="2">
        <v>11.5</v>
      </c>
      <c r="D47">
        <v>5</v>
      </c>
      <c r="E47">
        <v>12</v>
      </c>
      <c r="F47" t="s">
        <v>588</v>
      </c>
      <c r="G47" s="2">
        <f>VLOOKUP(Table19[[#This Row],[Branded]],'vlook up'!A46:F113,3,FALSE)</f>
        <v>11.5</v>
      </c>
    </row>
    <row r="48" spans="1:7" x14ac:dyDescent="0.35">
      <c r="A48" t="s">
        <v>210</v>
      </c>
      <c r="B48" t="s">
        <v>3</v>
      </c>
      <c r="C48" s="2">
        <v>11.58</v>
      </c>
      <c r="D48">
        <v>7</v>
      </c>
      <c r="E48">
        <v>17</v>
      </c>
      <c r="F48" t="s">
        <v>588</v>
      </c>
      <c r="G48" s="2">
        <f>VLOOKUP(Table19[[#This Row],[Branded]],'vlook up'!A47:F114,3,FALSE)</f>
        <v>11.58</v>
      </c>
    </row>
    <row r="49" spans="1:7" hidden="1" x14ac:dyDescent="0.35">
      <c r="A49" t="s">
        <v>13</v>
      </c>
      <c r="B49" t="s">
        <v>1</v>
      </c>
      <c r="C49">
        <v>11.95</v>
      </c>
      <c r="D49">
        <v>93</v>
      </c>
      <c r="E49">
        <v>18</v>
      </c>
      <c r="F49" t="s">
        <v>588</v>
      </c>
      <c r="G49">
        <f>VLOOKUP(Table19[[#This Row],[Branded]],'vlook up'!A48:F115,3,FALSE)</f>
        <v>11.95</v>
      </c>
    </row>
    <row r="50" spans="1:7" hidden="1" x14ac:dyDescent="0.35">
      <c r="A50" t="s">
        <v>187</v>
      </c>
      <c r="B50" t="s">
        <v>54</v>
      </c>
      <c r="C50">
        <v>11.99</v>
      </c>
      <c r="D50">
        <v>10</v>
      </c>
      <c r="E50">
        <v>11</v>
      </c>
      <c r="F50" t="s">
        <v>588</v>
      </c>
      <c r="G50">
        <f>VLOOKUP(Table19[[#This Row],[Branded]],'vlook up'!A49:F116,3,FALSE)</f>
        <v>11.99</v>
      </c>
    </row>
    <row r="51" spans="1:7" x14ac:dyDescent="0.35">
      <c r="A51" t="s">
        <v>197</v>
      </c>
      <c r="B51" t="s">
        <v>1</v>
      </c>
      <c r="C51" s="2">
        <v>11.99</v>
      </c>
      <c r="D51">
        <v>6</v>
      </c>
      <c r="E51">
        <v>15</v>
      </c>
      <c r="F51" t="s">
        <v>588</v>
      </c>
      <c r="G51" s="2">
        <f>VLOOKUP(Table19[[#This Row],[Branded]],'vlook up'!A50:F117,3,FALSE)</f>
        <v>11.99</v>
      </c>
    </row>
    <row r="52" spans="1:7" hidden="1" x14ac:dyDescent="0.35">
      <c r="A52" t="s">
        <v>187</v>
      </c>
      <c r="B52" t="s">
        <v>1</v>
      </c>
      <c r="C52">
        <v>11.99</v>
      </c>
      <c r="D52">
        <v>9</v>
      </c>
      <c r="E52">
        <v>51</v>
      </c>
      <c r="F52" t="s">
        <v>588</v>
      </c>
      <c r="G52">
        <f>VLOOKUP(Table19[[#This Row],[Branded]],'vlook up'!A51:F118,3,FALSE)</f>
        <v>11.99</v>
      </c>
    </row>
    <row r="53" spans="1:7" x14ac:dyDescent="0.35">
      <c r="A53" t="s">
        <v>70</v>
      </c>
      <c r="B53" t="s">
        <v>1</v>
      </c>
      <c r="C53" s="2">
        <v>11.99</v>
      </c>
      <c r="D53">
        <v>0</v>
      </c>
      <c r="E53">
        <v>39</v>
      </c>
      <c r="F53" t="s">
        <v>588</v>
      </c>
      <c r="G53" s="2">
        <f>VLOOKUP(Table19[[#This Row],[Branded]],'vlook up'!A52:F119,3,FALSE)</f>
        <v>11.99</v>
      </c>
    </row>
    <row r="54" spans="1:7" hidden="1" x14ac:dyDescent="0.35">
      <c r="A54" t="s">
        <v>149</v>
      </c>
      <c r="B54" t="s">
        <v>1</v>
      </c>
      <c r="C54">
        <v>11.99</v>
      </c>
      <c r="D54">
        <v>8</v>
      </c>
      <c r="E54">
        <v>442</v>
      </c>
      <c r="F54" t="s">
        <v>588</v>
      </c>
      <c r="G54">
        <f>VLOOKUP(Table19[[#This Row],[Branded]],'vlook up'!A53:F120,3,FALSE)</f>
        <v>11.99</v>
      </c>
    </row>
    <row r="55" spans="1:7" x14ac:dyDescent="0.35">
      <c r="A55" t="s">
        <v>94</v>
      </c>
      <c r="B55" t="s">
        <v>3</v>
      </c>
      <c r="C55" s="2">
        <v>12</v>
      </c>
      <c r="D55">
        <v>4</v>
      </c>
      <c r="E55">
        <v>11</v>
      </c>
      <c r="F55" t="s">
        <v>588</v>
      </c>
      <c r="G55" s="2">
        <f>VLOOKUP(Table19[[#This Row],[Branded]],'vlook up'!A54:F121,3,FALSE)</f>
        <v>12</v>
      </c>
    </row>
    <row r="56" spans="1:7" x14ac:dyDescent="0.35">
      <c r="A56" t="s">
        <v>112</v>
      </c>
      <c r="B56" t="s">
        <v>37</v>
      </c>
      <c r="C56" s="2">
        <v>12</v>
      </c>
      <c r="D56">
        <v>10</v>
      </c>
      <c r="E56">
        <v>22</v>
      </c>
      <c r="F56" t="s">
        <v>588</v>
      </c>
      <c r="G56" s="2">
        <f>VLOOKUP(Table19[[#This Row],[Branded]],'vlook up'!A55:F122,3,FALSE)</f>
        <v>12</v>
      </c>
    </row>
    <row r="57" spans="1:7" hidden="1" x14ac:dyDescent="0.35">
      <c r="A57" t="s">
        <v>233</v>
      </c>
      <c r="B57" t="s">
        <v>1</v>
      </c>
      <c r="C57">
        <v>12</v>
      </c>
      <c r="D57">
        <v>6</v>
      </c>
      <c r="E57">
        <v>19</v>
      </c>
      <c r="F57" t="s">
        <v>588</v>
      </c>
      <c r="G57">
        <f>VLOOKUP(Table19[[#This Row],[Branded]],'vlook up'!A56:F123,3,FALSE)</f>
        <v>12</v>
      </c>
    </row>
    <row r="58" spans="1:7" hidden="1" x14ac:dyDescent="0.35">
      <c r="A58" t="s">
        <v>50</v>
      </c>
      <c r="B58" t="s">
        <v>3</v>
      </c>
      <c r="C58">
        <v>12.2</v>
      </c>
      <c r="D58">
        <v>10</v>
      </c>
      <c r="E58">
        <v>5</v>
      </c>
      <c r="F58" t="s">
        <v>588</v>
      </c>
      <c r="G58">
        <f>VLOOKUP(Table19[[#This Row],[Branded]],'vlook up'!A57:F124,3,FALSE)</f>
        <v>12.2</v>
      </c>
    </row>
    <row r="59" spans="1:7" hidden="1" x14ac:dyDescent="0.35">
      <c r="A59" t="s">
        <v>202</v>
      </c>
      <c r="B59" t="s">
        <v>3</v>
      </c>
      <c r="C59">
        <v>12.23</v>
      </c>
      <c r="D59">
        <v>23</v>
      </c>
      <c r="E59">
        <v>1128</v>
      </c>
      <c r="F59" t="s">
        <v>589</v>
      </c>
      <c r="G59">
        <f>VLOOKUP(Table19[[#This Row],[Branded]],'vlook up'!A58:F125,3,FALSE)</f>
        <v>12.23</v>
      </c>
    </row>
    <row r="60" spans="1:7" hidden="1" x14ac:dyDescent="0.35">
      <c r="A60" t="s">
        <v>51</v>
      </c>
      <c r="B60" t="s">
        <v>1</v>
      </c>
      <c r="C60">
        <v>12.49</v>
      </c>
      <c r="D60">
        <v>10</v>
      </c>
      <c r="E60">
        <v>17</v>
      </c>
      <c r="F60" t="s">
        <v>588</v>
      </c>
      <c r="G60">
        <f>VLOOKUP(Table19[[#This Row],[Branded]],'vlook up'!A59:F126,3,FALSE)</f>
        <v>12.49</v>
      </c>
    </row>
    <row r="61" spans="1:7" hidden="1" x14ac:dyDescent="0.35">
      <c r="A61" t="s">
        <v>139</v>
      </c>
      <c r="B61" t="s">
        <v>3</v>
      </c>
      <c r="C61">
        <v>12.6</v>
      </c>
      <c r="D61">
        <v>10</v>
      </c>
      <c r="E61">
        <v>229</v>
      </c>
      <c r="F61" t="s">
        <v>588</v>
      </c>
      <c r="G61">
        <f>VLOOKUP(Table19[[#This Row],[Branded]],'vlook up'!A60:F127,3,FALSE)</f>
        <v>12.6</v>
      </c>
    </row>
    <row r="62" spans="1:7" hidden="1" x14ac:dyDescent="0.35">
      <c r="A62" t="s">
        <v>50</v>
      </c>
      <c r="B62" t="s">
        <v>1</v>
      </c>
      <c r="C62">
        <v>12.95</v>
      </c>
      <c r="D62">
        <v>5</v>
      </c>
      <c r="E62">
        <v>594</v>
      </c>
      <c r="F62" t="s">
        <v>588</v>
      </c>
      <c r="G62">
        <f>VLOOKUP(Table19[[#This Row],[Branded]],'vlook up'!A61:F128,3,FALSE)</f>
        <v>12.95</v>
      </c>
    </row>
    <row r="63" spans="1:7" hidden="1" x14ac:dyDescent="0.35">
      <c r="A63" t="s">
        <v>2</v>
      </c>
      <c r="B63" t="s">
        <v>1</v>
      </c>
      <c r="C63">
        <v>12.98</v>
      </c>
      <c r="D63">
        <v>10</v>
      </c>
      <c r="E63">
        <v>103</v>
      </c>
      <c r="F63" t="s">
        <v>588</v>
      </c>
      <c r="G63">
        <f>VLOOKUP(Table19[[#This Row],[Branded]],'vlook up'!A62:F129,3,FALSE)</f>
        <v>12.98</v>
      </c>
    </row>
    <row r="64" spans="1:7" hidden="1" x14ac:dyDescent="0.35">
      <c r="A64" t="s">
        <v>9</v>
      </c>
      <c r="B64" t="s">
        <v>1</v>
      </c>
      <c r="C64">
        <v>12.99</v>
      </c>
      <c r="D64">
        <v>7</v>
      </c>
      <c r="E64">
        <v>5</v>
      </c>
      <c r="F64" t="s">
        <v>588</v>
      </c>
      <c r="G64">
        <f>VLOOKUP(Table19[[#This Row],[Branded]],'vlook up'!A63:F130,3,FALSE)</f>
        <v>12.99</v>
      </c>
    </row>
    <row r="65" spans="1:7" hidden="1" x14ac:dyDescent="0.35">
      <c r="A65" t="s">
        <v>187</v>
      </c>
      <c r="B65" t="s">
        <v>54</v>
      </c>
      <c r="C65">
        <v>12.99</v>
      </c>
      <c r="D65">
        <v>0</v>
      </c>
      <c r="E65">
        <v>10</v>
      </c>
      <c r="F65" t="s">
        <v>588</v>
      </c>
      <c r="G65">
        <f>VLOOKUP(Table19[[#This Row],[Branded]],'vlook up'!A64:F131,3,FALSE)</f>
        <v>12.99</v>
      </c>
    </row>
    <row r="66" spans="1:7" hidden="1" x14ac:dyDescent="0.35">
      <c r="A66" t="s">
        <v>2</v>
      </c>
      <c r="B66" t="s">
        <v>1</v>
      </c>
      <c r="C66">
        <v>13</v>
      </c>
      <c r="D66">
        <v>3</v>
      </c>
      <c r="E66">
        <v>11</v>
      </c>
      <c r="F66" t="s">
        <v>588</v>
      </c>
      <c r="G66">
        <f>VLOOKUP(Table19[[#This Row],[Branded]],'vlook up'!A65:F132,3,FALSE)</f>
        <v>13</v>
      </c>
    </row>
    <row r="67" spans="1:7" hidden="1" x14ac:dyDescent="0.35">
      <c r="A67" t="s">
        <v>117</v>
      </c>
      <c r="B67" t="s">
        <v>1</v>
      </c>
      <c r="C67">
        <v>13</v>
      </c>
      <c r="D67">
        <v>6</v>
      </c>
      <c r="E67">
        <v>14</v>
      </c>
      <c r="F67" t="s">
        <v>588</v>
      </c>
      <c r="G67">
        <f>VLOOKUP(Table19[[#This Row],[Branded]],'vlook up'!A66:F133,3,FALSE)</f>
        <v>13</v>
      </c>
    </row>
    <row r="68" spans="1:7" x14ac:dyDescent="0.35">
      <c r="A68" t="s">
        <v>70</v>
      </c>
      <c r="B68" t="s">
        <v>1</v>
      </c>
      <c r="C68" s="2">
        <v>13</v>
      </c>
      <c r="D68">
        <v>10</v>
      </c>
      <c r="E68">
        <v>17</v>
      </c>
      <c r="F68" t="s">
        <v>588</v>
      </c>
      <c r="G68" s="2">
        <f>VLOOKUP(Table19[[#This Row],[Branded]],'vlook up'!A67:F134,3,FALSE)</f>
        <v>13</v>
      </c>
    </row>
    <row r="69" spans="1:7" hidden="1" x14ac:dyDescent="0.35">
      <c r="A69" t="s">
        <v>79</v>
      </c>
      <c r="B69" t="s">
        <v>1</v>
      </c>
      <c r="C69">
        <v>13.05</v>
      </c>
      <c r="D69">
        <v>36</v>
      </c>
      <c r="E69">
        <v>9</v>
      </c>
      <c r="F69" t="s">
        <v>588</v>
      </c>
      <c r="G69">
        <f>VLOOKUP(Table19[[#This Row],[Branded]],'vlook up'!A68:F135,3,FALSE)</f>
        <v>13.05</v>
      </c>
    </row>
    <row r="70" spans="1:7" hidden="1" x14ac:dyDescent="0.35">
      <c r="A70" t="s">
        <v>60</v>
      </c>
      <c r="B70" t="s">
        <v>1</v>
      </c>
      <c r="C70">
        <v>13.15</v>
      </c>
      <c r="D70">
        <v>6</v>
      </c>
      <c r="E70">
        <v>7</v>
      </c>
      <c r="F70" t="s">
        <v>588</v>
      </c>
      <c r="G70">
        <f>VLOOKUP(Table19[[#This Row],[Branded]],'vlook up'!A69:F136,3,FALSE)</f>
        <v>13.15</v>
      </c>
    </row>
  </sheetData>
  <phoneticPr fontId="4"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FF1C9-6323-4DB9-B55A-35DC675D0002}">
  <dimension ref="A1:E244"/>
  <sheetViews>
    <sheetView topLeftCell="C7" workbookViewId="0">
      <selection activeCell="Q12" sqref="Q12"/>
    </sheetView>
  </sheetViews>
  <sheetFormatPr defaultRowHeight="14.5" x14ac:dyDescent="0.35"/>
  <cols>
    <col min="1" max="2" width="15.7265625" bestFit="1" customWidth="1"/>
    <col min="3" max="3" width="13.7265625" bestFit="1" customWidth="1"/>
    <col min="4" max="4" width="23.6328125" customWidth="1"/>
    <col min="5" max="5" width="23.7265625" customWidth="1"/>
  </cols>
  <sheetData>
    <row r="1" spans="1:5" x14ac:dyDescent="0.35">
      <c r="A1" t="s">
        <v>673</v>
      </c>
      <c r="B1" t="s">
        <v>674</v>
      </c>
      <c r="C1" t="s">
        <v>675</v>
      </c>
      <c r="D1" t="s">
        <v>676</v>
      </c>
      <c r="E1" t="s">
        <v>677</v>
      </c>
    </row>
    <row r="2" spans="1:5" x14ac:dyDescent="0.35">
      <c r="A2" s="32">
        <v>45292</v>
      </c>
      <c r="B2" s="32">
        <v>45292</v>
      </c>
    </row>
    <row r="3" spans="1:5" x14ac:dyDescent="0.35">
      <c r="A3" s="32">
        <v>45293</v>
      </c>
      <c r="B3" s="32">
        <v>45293</v>
      </c>
    </row>
    <row r="4" spans="1:5" x14ac:dyDescent="0.35">
      <c r="A4" s="32">
        <v>45294</v>
      </c>
      <c r="B4" s="32">
        <v>45294</v>
      </c>
    </row>
    <row r="5" spans="1:5" x14ac:dyDescent="0.35">
      <c r="A5" s="32">
        <v>45295</v>
      </c>
      <c r="B5" s="32">
        <v>45295</v>
      </c>
    </row>
    <row r="6" spans="1:5" x14ac:dyDescent="0.35">
      <c r="A6" s="32">
        <v>45296</v>
      </c>
      <c r="B6" s="32">
        <v>45296</v>
      </c>
    </row>
    <row r="7" spans="1:5" x14ac:dyDescent="0.35">
      <c r="A7" s="32">
        <v>45297</v>
      </c>
      <c r="B7" s="32">
        <v>45297</v>
      </c>
    </row>
    <row r="8" spans="1:5" x14ac:dyDescent="0.35">
      <c r="A8" s="32">
        <v>45298</v>
      </c>
      <c r="B8" s="32">
        <v>45298</v>
      </c>
    </row>
    <row r="9" spans="1:5" x14ac:dyDescent="0.35">
      <c r="A9" s="32">
        <v>45299</v>
      </c>
      <c r="B9" s="32">
        <v>45299</v>
      </c>
    </row>
    <row r="10" spans="1:5" x14ac:dyDescent="0.35">
      <c r="A10" s="32">
        <v>45300</v>
      </c>
      <c r="B10" s="32">
        <v>45300</v>
      </c>
    </row>
    <row r="11" spans="1:5" x14ac:dyDescent="0.35">
      <c r="A11" s="32">
        <v>45301</v>
      </c>
      <c r="B11" s="32">
        <v>45301</v>
      </c>
    </row>
    <row r="12" spans="1:5" x14ac:dyDescent="0.35">
      <c r="A12" s="32">
        <v>45302</v>
      </c>
      <c r="B12" s="32">
        <v>45302</v>
      </c>
    </row>
    <row r="13" spans="1:5" x14ac:dyDescent="0.35">
      <c r="A13" s="32">
        <v>45303</v>
      </c>
      <c r="B13" s="32">
        <v>45303</v>
      </c>
    </row>
    <row r="14" spans="1:5" x14ac:dyDescent="0.35">
      <c r="A14" s="32">
        <v>45304</v>
      </c>
      <c r="B14" s="32">
        <v>45304</v>
      </c>
    </row>
    <row r="15" spans="1:5" x14ac:dyDescent="0.35">
      <c r="A15" s="32">
        <v>45305</v>
      </c>
      <c r="B15" s="32">
        <v>45305</v>
      </c>
    </row>
    <row r="16" spans="1:5" x14ac:dyDescent="0.35">
      <c r="A16" s="32">
        <v>45306</v>
      </c>
      <c r="B16" s="32">
        <v>45306</v>
      </c>
    </row>
    <row r="17" spans="1:2" x14ac:dyDescent="0.35">
      <c r="A17" s="32">
        <v>45307</v>
      </c>
      <c r="B17" s="32">
        <v>45307</v>
      </c>
    </row>
    <row r="18" spans="1:2" x14ac:dyDescent="0.35">
      <c r="A18" s="32">
        <v>45308</v>
      </c>
      <c r="B18" s="32">
        <v>45308</v>
      </c>
    </row>
    <row r="19" spans="1:2" x14ac:dyDescent="0.35">
      <c r="A19" s="32">
        <v>45309</v>
      </c>
      <c r="B19" s="32">
        <v>45309</v>
      </c>
    </row>
    <row r="20" spans="1:2" x14ac:dyDescent="0.35">
      <c r="A20" s="32">
        <v>45310</v>
      </c>
      <c r="B20" s="32">
        <v>45310</v>
      </c>
    </row>
    <row r="21" spans="1:2" x14ac:dyDescent="0.35">
      <c r="A21" s="32">
        <v>45311</v>
      </c>
      <c r="B21" s="32">
        <v>45311</v>
      </c>
    </row>
    <row r="22" spans="1:2" x14ac:dyDescent="0.35">
      <c r="A22" s="32">
        <v>45312</v>
      </c>
      <c r="B22" s="32">
        <v>45312</v>
      </c>
    </row>
    <row r="23" spans="1:2" x14ac:dyDescent="0.35">
      <c r="A23" s="32">
        <v>45313</v>
      </c>
      <c r="B23" s="32">
        <v>45313</v>
      </c>
    </row>
    <row r="24" spans="1:2" x14ac:dyDescent="0.35">
      <c r="A24" s="32">
        <v>45314</v>
      </c>
      <c r="B24" s="32">
        <v>45314</v>
      </c>
    </row>
    <row r="25" spans="1:2" x14ac:dyDescent="0.35">
      <c r="A25" s="32">
        <v>45315</v>
      </c>
      <c r="B25" s="32">
        <v>45315</v>
      </c>
    </row>
    <row r="26" spans="1:2" x14ac:dyDescent="0.35">
      <c r="A26" s="32">
        <v>45316</v>
      </c>
      <c r="B26" s="32">
        <v>45316</v>
      </c>
    </row>
    <row r="27" spans="1:2" x14ac:dyDescent="0.35">
      <c r="A27" s="32">
        <v>45317</v>
      </c>
      <c r="B27" s="32">
        <v>45317</v>
      </c>
    </row>
    <row r="28" spans="1:2" x14ac:dyDescent="0.35">
      <c r="A28" s="32">
        <v>45318</v>
      </c>
      <c r="B28" s="32">
        <v>45318</v>
      </c>
    </row>
    <row r="29" spans="1:2" x14ac:dyDescent="0.35">
      <c r="A29" s="32">
        <v>45319</v>
      </c>
      <c r="B29" s="32">
        <v>45319</v>
      </c>
    </row>
    <row r="30" spans="1:2" x14ac:dyDescent="0.35">
      <c r="A30" s="32">
        <v>45320</v>
      </c>
      <c r="B30" s="32">
        <v>45320</v>
      </c>
    </row>
    <row r="31" spans="1:2" x14ac:dyDescent="0.35">
      <c r="A31" s="32">
        <v>45321</v>
      </c>
      <c r="B31" s="32">
        <v>45321</v>
      </c>
    </row>
    <row r="32" spans="1:2" x14ac:dyDescent="0.35">
      <c r="A32" s="32">
        <v>45322</v>
      </c>
      <c r="B32" s="32">
        <v>45322</v>
      </c>
    </row>
    <row r="33" spans="1:2" x14ac:dyDescent="0.35">
      <c r="A33" s="32">
        <v>45323</v>
      </c>
      <c r="B33" s="32">
        <v>45323</v>
      </c>
    </row>
    <row r="34" spans="1:2" x14ac:dyDescent="0.35">
      <c r="A34" s="32">
        <v>45324</v>
      </c>
      <c r="B34" s="32">
        <v>45324</v>
      </c>
    </row>
    <row r="35" spans="1:2" x14ac:dyDescent="0.35">
      <c r="A35" s="32">
        <v>45325</v>
      </c>
      <c r="B35" s="32">
        <v>45325</v>
      </c>
    </row>
    <row r="36" spans="1:2" x14ac:dyDescent="0.35">
      <c r="A36" s="32">
        <v>45326</v>
      </c>
      <c r="B36" s="32">
        <v>45326</v>
      </c>
    </row>
    <row r="37" spans="1:2" x14ac:dyDescent="0.35">
      <c r="A37" s="32">
        <v>45327</v>
      </c>
      <c r="B37" s="32">
        <v>45327</v>
      </c>
    </row>
    <row r="38" spans="1:2" x14ac:dyDescent="0.35">
      <c r="A38" s="32">
        <v>45328</v>
      </c>
      <c r="B38" s="32">
        <v>45328</v>
      </c>
    </row>
    <row r="39" spans="1:2" x14ac:dyDescent="0.35">
      <c r="A39" s="32">
        <v>45329</v>
      </c>
      <c r="B39" s="32">
        <v>45329</v>
      </c>
    </row>
    <row r="40" spans="1:2" x14ac:dyDescent="0.35">
      <c r="A40" s="32">
        <v>45330</v>
      </c>
      <c r="B40" s="32">
        <v>45330</v>
      </c>
    </row>
    <row r="41" spans="1:2" x14ac:dyDescent="0.35">
      <c r="A41" s="32">
        <v>45331</v>
      </c>
      <c r="B41" s="32">
        <v>45331</v>
      </c>
    </row>
    <row r="42" spans="1:2" x14ac:dyDescent="0.35">
      <c r="A42" s="32">
        <v>45332</v>
      </c>
      <c r="B42" s="32">
        <v>45332</v>
      </c>
    </row>
    <row r="43" spans="1:2" x14ac:dyDescent="0.35">
      <c r="A43" s="32">
        <v>45333</v>
      </c>
      <c r="B43" s="32">
        <v>45333</v>
      </c>
    </row>
    <row r="44" spans="1:2" x14ac:dyDescent="0.35">
      <c r="A44" s="32">
        <v>45334</v>
      </c>
      <c r="B44" s="32">
        <v>45334</v>
      </c>
    </row>
    <row r="45" spans="1:2" x14ac:dyDescent="0.35">
      <c r="A45" s="32">
        <v>45335</v>
      </c>
      <c r="B45" s="32">
        <v>45335</v>
      </c>
    </row>
    <row r="46" spans="1:2" x14ac:dyDescent="0.35">
      <c r="A46" s="32">
        <v>45336</v>
      </c>
      <c r="B46" s="32">
        <v>45336</v>
      </c>
    </row>
    <row r="47" spans="1:2" x14ac:dyDescent="0.35">
      <c r="A47" s="32">
        <v>45337</v>
      </c>
      <c r="B47" s="32">
        <v>45337</v>
      </c>
    </row>
    <row r="48" spans="1:2" x14ac:dyDescent="0.35">
      <c r="A48" s="32">
        <v>45338</v>
      </c>
      <c r="B48" s="32">
        <v>45338</v>
      </c>
    </row>
    <row r="49" spans="1:2" x14ac:dyDescent="0.35">
      <c r="A49" s="32">
        <v>45339</v>
      </c>
      <c r="B49" s="32">
        <v>45339</v>
      </c>
    </row>
    <row r="50" spans="1:2" x14ac:dyDescent="0.35">
      <c r="A50" s="32">
        <v>45340</v>
      </c>
      <c r="B50" s="32">
        <v>45340</v>
      </c>
    </row>
    <row r="51" spans="1:2" x14ac:dyDescent="0.35">
      <c r="A51" s="32">
        <v>45341</v>
      </c>
      <c r="B51" s="32">
        <v>45341</v>
      </c>
    </row>
    <row r="52" spans="1:2" x14ac:dyDescent="0.35">
      <c r="A52" s="32">
        <v>45342</v>
      </c>
      <c r="B52" s="32">
        <v>45342</v>
      </c>
    </row>
    <row r="53" spans="1:2" x14ac:dyDescent="0.35">
      <c r="A53" s="32">
        <v>45343</v>
      </c>
      <c r="B53" s="32">
        <v>45343</v>
      </c>
    </row>
    <row r="54" spans="1:2" x14ac:dyDescent="0.35">
      <c r="A54" s="32">
        <v>45344</v>
      </c>
      <c r="B54" s="32">
        <v>45344</v>
      </c>
    </row>
    <row r="55" spans="1:2" x14ac:dyDescent="0.35">
      <c r="A55" s="32">
        <v>45345</v>
      </c>
      <c r="B55" s="32">
        <v>45345</v>
      </c>
    </row>
    <row r="56" spans="1:2" x14ac:dyDescent="0.35">
      <c r="A56" s="32">
        <v>45346</v>
      </c>
      <c r="B56" s="32">
        <v>45346</v>
      </c>
    </row>
    <row r="57" spans="1:2" x14ac:dyDescent="0.35">
      <c r="A57" s="32">
        <v>45347</v>
      </c>
      <c r="B57" s="32">
        <v>45347</v>
      </c>
    </row>
    <row r="58" spans="1:2" x14ac:dyDescent="0.35">
      <c r="A58" s="32">
        <v>45348</v>
      </c>
      <c r="B58" s="32">
        <v>45348</v>
      </c>
    </row>
    <row r="59" spans="1:2" x14ac:dyDescent="0.35">
      <c r="A59" s="32">
        <v>45349</v>
      </c>
      <c r="B59" s="32">
        <v>45349</v>
      </c>
    </row>
    <row r="60" spans="1:2" x14ac:dyDescent="0.35">
      <c r="A60" s="32">
        <v>45350</v>
      </c>
      <c r="B60" s="32">
        <v>45350</v>
      </c>
    </row>
    <row r="61" spans="1:2" x14ac:dyDescent="0.35">
      <c r="A61" s="32">
        <v>45351</v>
      </c>
      <c r="B61" s="32">
        <v>45351</v>
      </c>
    </row>
    <row r="62" spans="1:2" x14ac:dyDescent="0.35">
      <c r="A62" s="32">
        <v>45352</v>
      </c>
      <c r="B62" s="32">
        <v>45352</v>
      </c>
    </row>
    <row r="63" spans="1:2" x14ac:dyDescent="0.35">
      <c r="A63" s="32">
        <v>45353</v>
      </c>
      <c r="B63" s="32">
        <v>45353</v>
      </c>
    </row>
    <row r="64" spans="1:2" x14ac:dyDescent="0.35">
      <c r="A64" s="32">
        <v>45354</v>
      </c>
      <c r="B64" s="32">
        <v>45354</v>
      </c>
    </row>
    <row r="65" spans="1:2" x14ac:dyDescent="0.35">
      <c r="A65" s="32">
        <v>45355</v>
      </c>
      <c r="B65" s="32">
        <v>45355</v>
      </c>
    </row>
    <row r="66" spans="1:2" x14ac:dyDescent="0.35">
      <c r="A66" s="32">
        <v>45356</v>
      </c>
      <c r="B66" s="32">
        <v>45356</v>
      </c>
    </row>
    <row r="67" spans="1:2" x14ac:dyDescent="0.35">
      <c r="A67" s="32">
        <v>45357</v>
      </c>
      <c r="B67" s="32">
        <v>45357</v>
      </c>
    </row>
    <row r="68" spans="1:2" x14ac:dyDescent="0.35">
      <c r="A68" s="32">
        <v>45358</v>
      </c>
      <c r="B68" s="32">
        <v>45358</v>
      </c>
    </row>
    <row r="69" spans="1:2" x14ac:dyDescent="0.35">
      <c r="A69" s="32">
        <v>45359</v>
      </c>
      <c r="B69" s="32">
        <v>45359</v>
      </c>
    </row>
    <row r="70" spans="1:2" x14ac:dyDescent="0.35">
      <c r="A70" s="32">
        <v>45360</v>
      </c>
      <c r="B70" s="32">
        <v>45360</v>
      </c>
    </row>
    <row r="71" spans="1:2" x14ac:dyDescent="0.35">
      <c r="A71" s="32">
        <v>45361</v>
      </c>
      <c r="B71" s="32">
        <v>45361</v>
      </c>
    </row>
    <row r="72" spans="1:2" x14ac:dyDescent="0.35">
      <c r="A72" s="32">
        <v>45362</v>
      </c>
      <c r="B72" s="32">
        <v>45362</v>
      </c>
    </row>
    <row r="73" spans="1:2" x14ac:dyDescent="0.35">
      <c r="A73" s="32">
        <v>45363</v>
      </c>
      <c r="B73" s="32">
        <v>45363</v>
      </c>
    </row>
    <row r="74" spans="1:2" x14ac:dyDescent="0.35">
      <c r="A74" s="32">
        <v>45364</v>
      </c>
      <c r="B74" s="32">
        <v>45364</v>
      </c>
    </row>
    <row r="75" spans="1:2" x14ac:dyDescent="0.35">
      <c r="A75" s="32">
        <v>45365</v>
      </c>
      <c r="B75" s="32">
        <v>45365</v>
      </c>
    </row>
    <row r="76" spans="1:2" x14ac:dyDescent="0.35">
      <c r="A76" s="32">
        <v>45366</v>
      </c>
      <c r="B76" s="32">
        <v>45366</v>
      </c>
    </row>
    <row r="77" spans="1:2" x14ac:dyDescent="0.35">
      <c r="A77" s="32">
        <v>45367</v>
      </c>
      <c r="B77" s="32">
        <v>45367</v>
      </c>
    </row>
    <row r="78" spans="1:2" x14ac:dyDescent="0.35">
      <c r="A78" s="32">
        <v>45368</v>
      </c>
      <c r="B78" s="32">
        <v>45368</v>
      </c>
    </row>
    <row r="79" spans="1:2" x14ac:dyDescent="0.35">
      <c r="A79" s="32">
        <v>45369</v>
      </c>
      <c r="B79" s="32">
        <v>45369</v>
      </c>
    </row>
    <row r="80" spans="1:2" x14ac:dyDescent="0.35">
      <c r="A80" s="32">
        <v>45370</v>
      </c>
      <c r="B80" s="32">
        <v>45370</v>
      </c>
    </row>
    <row r="81" spans="1:2" x14ac:dyDescent="0.35">
      <c r="A81" s="32">
        <v>45371</v>
      </c>
      <c r="B81" s="32">
        <v>45371</v>
      </c>
    </row>
    <row r="82" spans="1:2" x14ac:dyDescent="0.35">
      <c r="A82" s="32">
        <v>45372</v>
      </c>
      <c r="B82" s="32">
        <v>45372</v>
      </c>
    </row>
    <row r="83" spans="1:2" x14ac:dyDescent="0.35">
      <c r="A83" s="32">
        <v>45373</v>
      </c>
      <c r="B83" s="32">
        <v>45373</v>
      </c>
    </row>
    <row r="84" spans="1:2" x14ac:dyDescent="0.35">
      <c r="A84" s="32">
        <v>45374</v>
      </c>
      <c r="B84" s="32">
        <v>45374</v>
      </c>
    </row>
    <row r="85" spans="1:2" x14ac:dyDescent="0.35">
      <c r="A85" s="32">
        <v>45375</v>
      </c>
      <c r="B85" s="32">
        <v>45375</v>
      </c>
    </row>
    <row r="86" spans="1:2" x14ac:dyDescent="0.35">
      <c r="A86" s="32">
        <v>45376</v>
      </c>
      <c r="B86" s="32">
        <v>45376</v>
      </c>
    </row>
    <row r="87" spans="1:2" x14ac:dyDescent="0.35">
      <c r="A87" s="32">
        <v>45377</v>
      </c>
      <c r="B87" s="32">
        <v>45377</v>
      </c>
    </row>
    <row r="88" spans="1:2" x14ac:dyDescent="0.35">
      <c r="A88" s="32">
        <v>45378</v>
      </c>
      <c r="B88" s="32">
        <v>45378</v>
      </c>
    </row>
    <row r="89" spans="1:2" x14ac:dyDescent="0.35">
      <c r="A89" s="32">
        <v>45379</v>
      </c>
      <c r="B89" s="32">
        <v>45379</v>
      </c>
    </row>
    <row r="90" spans="1:2" x14ac:dyDescent="0.35">
      <c r="A90" s="32">
        <v>45380</v>
      </c>
      <c r="B90" s="32">
        <v>45380</v>
      </c>
    </row>
    <row r="91" spans="1:2" x14ac:dyDescent="0.35">
      <c r="A91" s="32">
        <v>45381</v>
      </c>
      <c r="B91" s="32">
        <v>45381</v>
      </c>
    </row>
    <row r="92" spans="1:2" x14ac:dyDescent="0.35">
      <c r="A92" s="32">
        <v>45382</v>
      </c>
      <c r="B92" s="32">
        <v>45382</v>
      </c>
    </row>
    <row r="93" spans="1:2" x14ac:dyDescent="0.35">
      <c r="A93" s="32">
        <v>45383</v>
      </c>
      <c r="B93" s="32">
        <v>45383</v>
      </c>
    </row>
    <row r="94" spans="1:2" x14ac:dyDescent="0.35">
      <c r="A94" s="32">
        <v>45384</v>
      </c>
      <c r="B94" s="32">
        <v>45384</v>
      </c>
    </row>
    <row r="95" spans="1:2" x14ac:dyDescent="0.35">
      <c r="A95" s="32">
        <v>45385</v>
      </c>
      <c r="B95" s="32">
        <v>45385</v>
      </c>
    </row>
    <row r="96" spans="1:2" x14ac:dyDescent="0.35">
      <c r="A96" s="32">
        <v>45386</v>
      </c>
      <c r="B96" s="32">
        <v>45386</v>
      </c>
    </row>
    <row r="97" spans="1:2" x14ac:dyDescent="0.35">
      <c r="A97" s="32">
        <v>45387</v>
      </c>
      <c r="B97" s="32">
        <v>45387</v>
      </c>
    </row>
    <row r="98" spans="1:2" x14ac:dyDescent="0.35">
      <c r="A98" s="32">
        <v>45388</v>
      </c>
      <c r="B98" s="32">
        <v>45388</v>
      </c>
    </row>
    <row r="99" spans="1:2" x14ac:dyDescent="0.35">
      <c r="A99" s="32">
        <v>45389</v>
      </c>
      <c r="B99" s="32">
        <v>45389</v>
      </c>
    </row>
    <row r="100" spans="1:2" x14ac:dyDescent="0.35">
      <c r="A100" s="32">
        <v>45390</v>
      </c>
      <c r="B100" s="32">
        <v>45390</v>
      </c>
    </row>
    <row r="101" spans="1:2" x14ac:dyDescent="0.35">
      <c r="A101" s="32">
        <v>45391</v>
      </c>
      <c r="B101" s="32">
        <v>45391</v>
      </c>
    </row>
    <row r="102" spans="1:2" x14ac:dyDescent="0.35">
      <c r="A102" s="32">
        <v>45392</v>
      </c>
      <c r="B102" s="32">
        <v>45392</v>
      </c>
    </row>
    <row r="103" spans="1:2" x14ac:dyDescent="0.35">
      <c r="A103" s="32">
        <v>45393</v>
      </c>
      <c r="B103" s="32">
        <v>45393</v>
      </c>
    </row>
    <row r="104" spans="1:2" x14ac:dyDescent="0.35">
      <c r="A104" s="32">
        <v>45394</v>
      </c>
      <c r="B104" s="32">
        <v>45394</v>
      </c>
    </row>
    <row r="105" spans="1:2" x14ac:dyDescent="0.35">
      <c r="A105" s="32">
        <v>45395</v>
      </c>
      <c r="B105" s="32">
        <v>45395</v>
      </c>
    </row>
    <row r="106" spans="1:2" x14ac:dyDescent="0.35">
      <c r="A106" s="32">
        <v>45396</v>
      </c>
      <c r="B106" s="32">
        <v>45396</v>
      </c>
    </row>
    <row r="107" spans="1:2" x14ac:dyDescent="0.35">
      <c r="A107" s="32">
        <v>45397</v>
      </c>
      <c r="B107" s="32">
        <v>45397</v>
      </c>
    </row>
    <row r="108" spans="1:2" x14ac:dyDescent="0.35">
      <c r="A108" s="32">
        <v>45398</v>
      </c>
      <c r="B108" s="32">
        <v>45398</v>
      </c>
    </row>
    <row r="109" spans="1:2" x14ac:dyDescent="0.35">
      <c r="A109" s="32">
        <v>45399</v>
      </c>
      <c r="B109" s="32">
        <v>45399</v>
      </c>
    </row>
    <row r="110" spans="1:2" x14ac:dyDescent="0.35">
      <c r="A110" s="32">
        <v>45400</v>
      </c>
      <c r="B110" s="32">
        <v>45400</v>
      </c>
    </row>
    <row r="111" spans="1:2" x14ac:dyDescent="0.35">
      <c r="A111" s="32">
        <v>45401</v>
      </c>
      <c r="B111" s="32">
        <v>45401</v>
      </c>
    </row>
    <row r="112" spans="1:2" x14ac:dyDescent="0.35">
      <c r="A112" s="32">
        <v>45402</v>
      </c>
      <c r="B112" s="32">
        <v>45402</v>
      </c>
    </row>
    <row r="113" spans="1:2" x14ac:dyDescent="0.35">
      <c r="A113" s="32">
        <v>45403</v>
      </c>
      <c r="B113" s="32">
        <v>45403</v>
      </c>
    </row>
    <row r="114" spans="1:2" x14ac:dyDescent="0.35">
      <c r="A114" s="32">
        <v>45404</v>
      </c>
      <c r="B114" s="32">
        <v>45404</v>
      </c>
    </row>
    <row r="115" spans="1:2" x14ac:dyDescent="0.35">
      <c r="A115" s="32">
        <v>45405</v>
      </c>
      <c r="B115" s="32">
        <v>45405</v>
      </c>
    </row>
    <row r="116" spans="1:2" x14ac:dyDescent="0.35">
      <c r="A116" s="32">
        <v>45406</v>
      </c>
      <c r="B116" s="32">
        <v>45406</v>
      </c>
    </row>
    <row r="117" spans="1:2" x14ac:dyDescent="0.35">
      <c r="A117" s="32">
        <v>45407</v>
      </c>
      <c r="B117" s="32">
        <v>45407</v>
      </c>
    </row>
    <row r="118" spans="1:2" x14ac:dyDescent="0.35">
      <c r="A118" s="32">
        <v>45408</v>
      </c>
      <c r="B118" s="32">
        <v>45408</v>
      </c>
    </row>
    <row r="119" spans="1:2" x14ac:dyDescent="0.35">
      <c r="A119" s="32">
        <v>45409</v>
      </c>
      <c r="B119" s="32">
        <v>45409</v>
      </c>
    </row>
    <row r="120" spans="1:2" x14ac:dyDescent="0.35">
      <c r="A120" s="32">
        <v>45410</v>
      </c>
      <c r="B120" s="32">
        <v>45410</v>
      </c>
    </row>
    <row r="121" spans="1:2" x14ac:dyDescent="0.35">
      <c r="A121" s="32">
        <v>45411</v>
      </c>
      <c r="B121" s="32">
        <v>45411</v>
      </c>
    </row>
    <row r="122" spans="1:2" x14ac:dyDescent="0.35">
      <c r="A122" s="32">
        <v>45412</v>
      </c>
      <c r="B122" s="32">
        <v>45412</v>
      </c>
    </row>
    <row r="123" spans="1:2" x14ac:dyDescent="0.35">
      <c r="A123" s="32">
        <v>45413</v>
      </c>
      <c r="B123" s="32">
        <v>45413</v>
      </c>
    </row>
    <row r="124" spans="1:2" x14ac:dyDescent="0.35">
      <c r="A124" s="32">
        <v>45414</v>
      </c>
      <c r="B124" s="32">
        <v>45414</v>
      </c>
    </row>
    <row r="125" spans="1:2" x14ac:dyDescent="0.35">
      <c r="A125" s="32">
        <v>45415</v>
      </c>
      <c r="B125" s="32">
        <v>45415</v>
      </c>
    </row>
    <row r="126" spans="1:2" x14ac:dyDescent="0.35">
      <c r="A126" s="32">
        <v>45416</v>
      </c>
      <c r="B126" s="32">
        <v>45416</v>
      </c>
    </row>
    <row r="127" spans="1:2" x14ac:dyDescent="0.35">
      <c r="A127" s="32">
        <v>45417</v>
      </c>
      <c r="B127" s="32">
        <v>45417</v>
      </c>
    </row>
    <row r="128" spans="1:2" x14ac:dyDescent="0.35">
      <c r="A128" s="32">
        <v>45418</v>
      </c>
      <c r="B128" s="32">
        <v>45418</v>
      </c>
    </row>
    <row r="129" spans="1:2" x14ac:dyDescent="0.35">
      <c r="A129" s="32">
        <v>45419</v>
      </c>
      <c r="B129" s="32">
        <v>45419</v>
      </c>
    </row>
    <row r="130" spans="1:2" x14ac:dyDescent="0.35">
      <c r="A130" s="32">
        <v>45420</v>
      </c>
      <c r="B130" s="32">
        <v>45420</v>
      </c>
    </row>
    <row r="131" spans="1:2" x14ac:dyDescent="0.35">
      <c r="A131" s="32">
        <v>45421</v>
      </c>
      <c r="B131" s="32">
        <v>45421</v>
      </c>
    </row>
    <row r="132" spans="1:2" x14ac:dyDescent="0.35">
      <c r="A132" s="32">
        <v>45422</v>
      </c>
      <c r="B132" s="32">
        <v>45422</v>
      </c>
    </row>
    <row r="133" spans="1:2" x14ac:dyDescent="0.35">
      <c r="A133" s="32">
        <v>45423</v>
      </c>
      <c r="B133" s="32">
        <v>45423</v>
      </c>
    </row>
    <row r="134" spans="1:2" x14ac:dyDescent="0.35">
      <c r="A134" s="32">
        <v>45424</v>
      </c>
      <c r="B134" s="32">
        <v>45424</v>
      </c>
    </row>
    <row r="135" spans="1:2" x14ac:dyDescent="0.35">
      <c r="A135" s="32">
        <v>45425</v>
      </c>
      <c r="B135" s="32">
        <v>45425</v>
      </c>
    </row>
    <row r="136" spans="1:2" x14ac:dyDescent="0.35">
      <c r="A136" s="32">
        <v>45426</v>
      </c>
      <c r="B136" s="32">
        <v>45426</v>
      </c>
    </row>
    <row r="137" spans="1:2" x14ac:dyDescent="0.35">
      <c r="A137" s="32">
        <v>45427</v>
      </c>
      <c r="B137" s="32">
        <v>45427</v>
      </c>
    </row>
    <row r="138" spans="1:2" x14ac:dyDescent="0.35">
      <c r="A138" s="32">
        <v>45428</v>
      </c>
      <c r="B138" s="32">
        <v>45428</v>
      </c>
    </row>
    <row r="139" spans="1:2" x14ac:dyDescent="0.35">
      <c r="A139" s="32">
        <v>45429</v>
      </c>
      <c r="B139" s="32">
        <v>45429</v>
      </c>
    </row>
    <row r="140" spans="1:2" x14ac:dyDescent="0.35">
      <c r="A140" s="32">
        <v>45430</v>
      </c>
      <c r="B140" s="32">
        <v>45430</v>
      </c>
    </row>
    <row r="141" spans="1:2" x14ac:dyDescent="0.35">
      <c r="A141" s="32">
        <v>45431</v>
      </c>
      <c r="B141" s="32">
        <v>45431</v>
      </c>
    </row>
    <row r="142" spans="1:2" x14ac:dyDescent="0.35">
      <c r="A142" s="32">
        <v>45432</v>
      </c>
      <c r="B142" s="32">
        <v>45432</v>
      </c>
    </row>
    <row r="143" spans="1:2" x14ac:dyDescent="0.35">
      <c r="A143" s="32">
        <v>45433</v>
      </c>
      <c r="B143" s="32">
        <v>45433</v>
      </c>
    </row>
    <row r="144" spans="1:2" x14ac:dyDescent="0.35">
      <c r="A144" s="32">
        <v>45434</v>
      </c>
      <c r="B144" s="32">
        <v>45434</v>
      </c>
    </row>
    <row r="145" spans="1:2" x14ac:dyDescent="0.35">
      <c r="A145" s="32">
        <v>45435</v>
      </c>
      <c r="B145" s="32">
        <v>45435</v>
      </c>
    </row>
    <row r="146" spans="1:2" x14ac:dyDescent="0.35">
      <c r="A146" s="32">
        <v>45436</v>
      </c>
      <c r="B146" s="32">
        <v>45436</v>
      </c>
    </row>
    <row r="147" spans="1:2" x14ac:dyDescent="0.35">
      <c r="A147" s="32">
        <v>45437</v>
      </c>
      <c r="B147" s="32">
        <v>45437</v>
      </c>
    </row>
    <row r="148" spans="1:2" x14ac:dyDescent="0.35">
      <c r="A148" s="32">
        <v>45438</v>
      </c>
      <c r="B148" s="32">
        <v>45438</v>
      </c>
    </row>
    <row r="149" spans="1:2" x14ac:dyDescent="0.35">
      <c r="A149" s="32">
        <v>45439</v>
      </c>
      <c r="B149" s="32">
        <v>45439</v>
      </c>
    </row>
    <row r="150" spans="1:2" x14ac:dyDescent="0.35">
      <c r="A150" s="32">
        <v>45440</v>
      </c>
      <c r="B150" s="32">
        <v>45440</v>
      </c>
    </row>
    <row r="151" spans="1:2" x14ac:dyDescent="0.35">
      <c r="A151" s="32">
        <v>45441</v>
      </c>
      <c r="B151" s="32">
        <v>45441</v>
      </c>
    </row>
    <row r="152" spans="1:2" x14ac:dyDescent="0.35">
      <c r="A152" s="32">
        <v>45442</v>
      </c>
      <c r="B152" s="32">
        <v>45442</v>
      </c>
    </row>
    <row r="153" spans="1:2" x14ac:dyDescent="0.35">
      <c r="A153" s="32">
        <v>45443</v>
      </c>
      <c r="B153" s="32">
        <v>45443</v>
      </c>
    </row>
    <row r="154" spans="1:2" x14ac:dyDescent="0.35">
      <c r="A154" s="32">
        <v>45444</v>
      </c>
      <c r="B154" s="32">
        <v>45444</v>
      </c>
    </row>
    <row r="155" spans="1:2" x14ac:dyDescent="0.35">
      <c r="A155" s="32">
        <v>45445</v>
      </c>
      <c r="B155" s="32">
        <v>45445</v>
      </c>
    </row>
    <row r="156" spans="1:2" x14ac:dyDescent="0.35">
      <c r="A156" s="32">
        <v>45446</v>
      </c>
      <c r="B156" s="32">
        <v>45446</v>
      </c>
    </row>
    <row r="157" spans="1:2" x14ac:dyDescent="0.35">
      <c r="A157" s="32">
        <v>45447</v>
      </c>
      <c r="B157" s="32">
        <v>45447</v>
      </c>
    </row>
    <row r="158" spans="1:2" x14ac:dyDescent="0.35">
      <c r="A158" s="32">
        <v>45448</v>
      </c>
      <c r="B158" s="32">
        <v>45448</v>
      </c>
    </row>
    <row r="159" spans="1:2" x14ac:dyDescent="0.35">
      <c r="A159" s="32">
        <v>45449</v>
      </c>
      <c r="B159" s="32">
        <v>45449</v>
      </c>
    </row>
    <row r="160" spans="1:2" x14ac:dyDescent="0.35">
      <c r="A160" s="32">
        <v>45450</v>
      </c>
      <c r="B160" s="32">
        <v>45450</v>
      </c>
    </row>
    <row r="161" spans="1:2" x14ac:dyDescent="0.35">
      <c r="A161" s="32">
        <v>45451</v>
      </c>
      <c r="B161" s="32">
        <v>45451</v>
      </c>
    </row>
    <row r="162" spans="1:2" x14ac:dyDescent="0.35">
      <c r="A162" s="32">
        <v>45452</v>
      </c>
      <c r="B162" s="32">
        <v>45452</v>
      </c>
    </row>
    <row r="163" spans="1:2" x14ac:dyDescent="0.35">
      <c r="A163" s="32">
        <v>45453</v>
      </c>
      <c r="B163" s="32">
        <v>45453</v>
      </c>
    </row>
    <row r="164" spans="1:2" x14ac:dyDescent="0.35">
      <c r="A164" s="32">
        <v>45454</v>
      </c>
      <c r="B164" s="32">
        <v>45454</v>
      </c>
    </row>
    <row r="165" spans="1:2" x14ac:dyDescent="0.35">
      <c r="A165" s="32">
        <v>45455</v>
      </c>
      <c r="B165" s="32">
        <v>45455</v>
      </c>
    </row>
    <row r="166" spans="1:2" x14ac:dyDescent="0.35">
      <c r="A166" s="32">
        <v>45456</v>
      </c>
      <c r="B166" s="32">
        <v>45456</v>
      </c>
    </row>
    <row r="167" spans="1:2" x14ac:dyDescent="0.35">
      <c r="A167" s="32">
        <v>45457</v>
      </c>
      <c r="B167" s="32">
        <v>45457</v>
      </c>
    </row>
    <row r="168" spans="1:2" x14ac:dyDescent="0.35">
      <c r="A168" s="32">
        <v>45458</v>
      </c>
      <c r="B168" s="32">
        <v>45458</v>
      </c>
    </row>
    <row r="169" spans="1:2" x14ac:dyDescent="0.35">
      <c r="A169" s="32">
        <v>45459</v>
      </c>
      <c r="B169" s="32">
        <v>45459</v>
      </c>
    </row>
    <row r="170" spans="1:2" x14ac:dyDescent="0.35">
      <c r="A170" s="32">
        <v>45460</v>
      </c>
      <c r="B170" s="32">
        <v>45460</v>
      </c>
    </row>
    <row r="171" spans="1:2" x14ac:dyDescent="0.35">
      <c r="A171" s="32">
        <v>45461</v>
      </c>
      <c r="B171" s="32">
        <v>45461</v>
      </c>
    </row>
    <row r="172" spans="1:2" x14ac:dyDescent="0.35">
      <c r="A172" s="32">
        <v>45462</v>
      </c>
      <c r="B172" s="32">
        <v>45462</v>
      </c>
    </row>
    <row r="173" spans="1:2" x14ac:dyDescent="0.35">
      <c r="A173" s="32">
        <v>45463</v>
      </c>
      <c r="B173" s="32">
        <v>45463</v>
      </c>
    </row>
    <row r="174" spans="1:2" x14ac:dyDescent="0.35">
      <c r="A174" s="32">
        <v>45464</v>
      </c>
      <c r="B174" s="32">
        <v>45464</v>
      </c>
    </row>
    <row r="175" spans="1:2" x14ac:dyDescent="0.35">
      <c r="A175" s="32">
        <v>45465</v>
      </c>
      <c r="B175" s="32">
        <v>45465</v>
      </c>
    </row>
    <row r="176" spans="1:2" x14ac:dyDescent="0.35">
      <c r="A176" s="32">
        <v>45466</v>
      </c>
      <c r="B176" s="32">
        <v>45466</v>
      </c>
    </row>
    <row r="177" spans="1:5" x14ac:dyDescent="0.35">
      <c r="A177" s="32">
        <v>45467</v>
      </c>
      <c r="B177" s="32">
        <v>45467</v>
      </c>
    </row>
    <row r="178" spans="1:5" x14ac:dyDescent="0.35">
      <c r="A178" s="32">
        <v>45468</v>
      </c>
      <c r="B178" s="32">
        <v>45468</v>
      </c>
    </row>
    <row r="179" spans="1:5" x14ac:dyDescent="0.35">
      <c r="A179" s="32">
        <v>45469</v>
      </c>
      <c r="B179" s="32">
        <v>45469</v>
      </c>
    </row>
    <row r="180" spans="1:5" x14ac:dyDescent="0.35">
      <c r="A180" s="32">
        <v>45470</v>
      </c>
      <c r="B180" s="32">
        <v>45470</v>
      </c>
    </row>
    <row r="181" spans="1:5" x14ac:dyDescent="0.35">
      <c r="A181" s="32">
        <v>45471</v>
      </c>
      <c r="B181" s="32">
        <v>45471</v>
      </c>
    </row>
    <row r="182" spans="1:5" x14ac:dyDescent="0.35">
      <c r="A182" s="32">
        <v>45472</v>
      </c>
      <c r="B182" s="32">
        <v>45472</v>
      </c>
    </row>
    <row r="183" spans="1:5" x14ac:dyDescent="0.35">
      <c r="A183" s="32">
        <v>45473</v>
      </c>
      <c r="B183" s="32">
        <v>45473</v>
      </c>
      <c r="C183" s="32">
        <v>45473</v>
      </c>
      <c r="D183" s="32">
        <v>45473</v>
      </c>
      <c r="E183" s="32">
        <v>45473</v>
      </c>
    </row>
    <row r="184" spans="1:5" x14ac:dyDescent="0.35">
      <c r="A184" s="32">
        <v>45474</v>
      </c>
      <c r="C184" s="32">
        <f t="shared" ref="C184:C215" si="0">_xlfn.FORECAST.ETS(A184,$B$2:$B$183,$A$2:$A$183,1,1)</f>
        <v>45474</v>
      </c>
      <c r="D184" s="32">
        <f t="shared" ref="D184:D215" si="1">C184-_xlfn.FORECAST.ETS.CONFINT(A184,$B$2:$B$183,$A$2:$A$183,0.95,1,1)</f>
        <v>45474</v>
      </c>
      <c r="E184" s="32">
        <f t="shared" ref="E184:E215" si="2">C184+_xlfn.FORECAST.ETS.CONFINT(A184,$B$2:$B$183,$A$2:$A$183,0.95,1,1)</f>
        <v>45474</v>
      </c>
    </row>
    <row r="185" spans="1:5" x14ac:dyDescent="0.35">
      <c r="A185" s="32">
        <v>45475</v>
      </c>
      <c r="C185" s="32">
        <f t="shared" si="0"/>
        <v>45475</v>
      </c>
      <c r="D185" s="32">
        <f t="shared" si="1"/>
        <v>45475</v>
      </c>
      <c r="E185" s="32">
        <f t="shared" si="2"/>
        <v>45475</v>
      </c>
    </row>
    <row r="186" spans="1:5" x14ac:dyDescent="0.35">
      <c r="A186" s="32">
        <v>45476</v>
      </c>
      <c r="C186" s="32">
        <f t="shared" si="0"/>
        <v>45476</v>
      </c>
      <c r="D186" s="32">
        <f t="shared" si="1"/>
        <v>45476</v>
      </c>
      <c r="E186" s="32">
        <f t="shared" si="2"/>
        <v>45476</v>
      </c>
    </row>
    <row r="187" spans="1:5" x14ac:dyDescent="0.35">
      <c r="A187" s="32">
        <v>45477</v>
      </c>
      <c r="C187" s="32">
        <f t="shared" si="0"/>
        <v>45477</v>
      </c>
      <c r="D187" s="32">
        <f t="shared" si="1"/>
        <v>45477</v>
      </c>
      <c r="E187" s="32">
        <f t="shared" si="2"/>
        <v>45477</v>
      </c>
    </row>
    <row r="188" spans="1:5" x14ac:dyDescent="0.35">
      <c r="A188" s="32">
        <v>45478</v>
      </c>
      <c r="C188" s="32">
        <f t="shared" si="0"/>
        <v>45478</v>
      </c>
      <c r="D188" s="32">
        <f t="shared" si="1"/>
        <v>45478</v>
      </c>
      <c r="E188" s="32">
        <f t="shared" si="2"/>
        <v>45478</v>
      </c>
    </row>
    <row r="189" spans="1:5" x14ac:dyDescent="0.35">
      <c r="A189" s="32">
        <v>45479</v>
      </c>
      <c r="C189" s="32">
        <f t="shared" si="0"/>
        <v>45479</v>
      </c>
      <c r="D189" s="32">
        <f t="shared" si="1"/>
        <v>45479</v>
      </c>
      <c r="E189" s="32">
        <f t="shared" si="2"/>
        <v>45479</v>
      </c>
    </row>
    <row r="190" spans="1:5" x14ac:dyDescent="0.35">
      <c r="A190" s="32">
        <v>45480</v>
      </c>
      <c r="C190" s="32">
        <f t="shared" si="0"/>
        <v>45480</v>
      </c>
      <c r="D190" s="32">
        <f t="shared" si="1"/>
        <v>45480</v>
      </c>
      <c r="E190" s="32">
        <f t="shared" si="2"/>
        <v>45480</v>
      </c>
    </row>
    <row r="191" spans="1:5" x14ac:dyDescent="0.35">
      <c r="A191" s="32">
        <v>45481</v>
      </c>
      <c r="C191" s="32">
        <f t="shared" si="0"/>
        <v>45481</v>
      </c>
      <c r="D191" s="32">
        <f t="shared" si="1"/>
        <v>45481</v>
      </c>
      <c r="E191" s="32">
        <f t="shared" si="2"/>
        <v>45481</v>
      </c>
    </row>
    <row r="192" spans="1:5" x14ac:dyDescent="0.35">
      <c r="A192" s="32">
        <v>45482</v>
      </c>
      <c r="C192" s="32">
        <f t="shared" si="0"/>
        <v>45482</v>
      </c>
      <c r="D192" s="32">
        <f t="shared" si="1"/>
        <v>45482</v>
      </c>
      <c r="E192" s="32">
        <f t="shared" si="2"/>
        <v>45482</v>
      </c>
    </row>
    <row r="193" spans="1:5" x14ac:dyDescent="0.35">
      <c r="A193" s="32">
        <v>45483</v>
      </c>
      <c r="C193" s="32">
        <f t="shared" si="0"/>
        <v>45483</v>
      </c>
      <c r="D193" s="32">
        <f t="shared" si="1"/>
        <v>45483</v>
      </c>
      <c r="E193" s="32">
        <f t="shared" si="2"/>
        <v>45483</v>
      </c>
    </row>
    <row r="194" spans="1:5" x14ac:dyDescent="0.35">
      <c r="A194" s="32">
        <v>45484</v>
      </c>
      <c r="C194" s="32">
        <f t="shared" si="0"/>
        <v>45484</v>
      </c>
      <c r="D194" s="32">
        <f t="shared" si="1"/>
        <v>45484</v>
      </c>
      <c r="E194" s="32">
        <f t="shared" si="2"/>
        <v>45484</v>
      </c>
    </row>
    <row r="195" spans="1:5" x14ac:dyDescent="0.35">
      <c r="A195" s="32">
        <v>45485</v>
      </c>
      <c r="C195" s="32">
        <f t="shared" si="0"/>
        <v>45485</v>
      </c>
      <c r="D195" s="32">
        <f t="shared" si="1"/>
        <v>45485</v>
      </c>
      <c r="E195" s="32">
        <f t="shared" si="2"/>
        <v>45485</v>
      </c>
    </row>
    <row r="196" spans="1:5" x14ac:dyDescent="0.35">
      <c r="A196" s="32">
        <v>45486</v>
      </c>
      <c r="C196" s="32">
        <f t="shared" si="0"/>
        <v>45486</v>
      </c>
      <c r="D196" s="32">
        <f t="shared" si="1"/>
        <v>45486</v>
      </c>
      <c r="E196" s="32">
        <f t="shared" si="2"/>
        <v>45486</v>
      </c>
    </row>
    <row r="197" spans="1:5" x14ac:dyDescent="0.35">
      <c r="A197" s="32">
        <v>45487</v>
      </c>
      <c r="C197" s="32">
        <f t="shared" si="0"/>
        <v>45487</v>
      </c>
      <c r="D197" s="32">
        <f t="shared" si="1"/>
        <v>45487</v>
      </c>
      <c r="E197" s="32">
        <f t="shared" si="2"/>
        <v>45487</v>
      </c>
    </row>
    <row r="198" spans="1:5" x14ac:dyDescent="0.35">
      <c r="A198" s="32">
        <v>45488</v>
      </c>
      <c r="C198" s="32">
        <f t="shared" si="0"/>
        <v>45488</v>
      </c>
      <c r="D198" s="32">
        <f t="shared" si="1"/>
        <v>45488</v>
      </c>
      <c r="E198" s="32">
        <f t="shared" si="2"/>
        <v>45488</v>
      </c>
    </row>
    <row r="199" spans="1:5" x14ac:dyDescent="0.35">
      <c r="A199" s="32">
        <v>45489</v>
      </c>
      <c r="C199" s="32">
        <f t="shared" si="0"/>
        <v>45489</v>
      </c>
      <c r="D199" s="32">
        <f t="shared" si="1"/>
        <v>45489</v>
      </c>
      <c r="E199" s="32">
        <f t="shared" si="2"/>
        <v>45489</v>
      </c>
    </row>
    <row r="200" spans="1:5" x14ac:dyDescent="0.35">
      <c r="A200" s="32">
        <v>45490</v>
      </c>
      <c r="C200" s="32">
        <f t="shared" si="0"/>
        <v>45490</v>
      </c>
      <c r="D200" s="32">
        <f t="shared" si="1"/>
        <v>45490</v>
      </c>
      <c r="E200" s="32">
        <f t="shared" si="2"/>
        <v>45490</v>
      </c>
    </row>
    <row r="201" spans="1:5" x14ac:dyDescent="0.35">
      <c r="A201" s="32">
        <v>45491</v>
      </c>
      <c r="C201" s="32">
        <f t="shared" si="0"/>
        <v>45491</v>
      </c>
      <c r="D201" s="32">
        <f t="shared" si="1"/>
        <v>45491</v>
      </c>
      <c r="E201" s="32">
        <f t="shared" si="2"/>
        <v>45491</v>
      </c>
    </row>
    <row r="202" spans="1:5" x14ac:dyDescent="0.35">
      <c r="A202" s="32">
        <v>45492</v>
      </c>
      <c r="C202" s="32">
        <f t="shared" si="0"/>
        <v>45492</v>
      </c>
      <c r="D202" s="32">
        <f t="shared" si="1"/>
        <v>45492</v>
      </c>
      <c r="E202" s="32">
        <f t="shared" si="2"/>
        <v>45492</v>
      </c>
    </row>
    <row r="203" spans="1:5" x14ac:dyDescent="0.35">
      <c r="A203" s="32">
        <v>45493</v>
      </c>
      <c r="C203" s="32">
        <f t="shared" si="0"/>
        <v>45493</v>
      </c>
      <c r="D203" s="32">
        <f t="shared" si="1"/>
        <v>45493</v>
      </c>
      <c r="E203" s="32">
        <f t="shared" si="2"/>
        <v>45493</v>
      </c>
    </row>
    <row r="204" spans="1:5" x14ac:dyDescent="0.35">
      <c r="A204" s="32">
        <v>45494</v>
      </c>
      <c r="C204" s="32">
        <f t="shared" si="0"/>
        <v>45494</v>
      </c>
      <c r="D204" s="32">
        <f t="shared" si="1"/>
        <v>45494</v>
      </c>
      <c r="E204" s="32">
        <f t="shared" si="2"/>
        <v>45494</v>
      </c>
    </row>
    <row r="205" spans="1:5" x14ac:dyDescent="0.35">
      <c r="A205" s="32">
        <v>45495</v>
      </c>
      <c r="C205" s="32">
        <f t="shared" si="0"/>
        <v>45495</v>
      </c>
      <c r="D205" s="32">
        <f t="shared" si="1"/>
        <v>45495</v>
      </c>
      <c r="E205" s="32">
        <f t="shared" si="2"/>
        <v>45495</v>
      </c>
    </row>
    <row r="206" spans="1:5" x14ac:dyDescent="0.35">
      <c r="A206" s="32">
        <v>45496</v>
      </c>
      <c r="C206" s="32">
        <f t="shared" si="0"/>
        <v>45496</v>
      </c>
      <c r="D206" s="32">
        <f t="shared" si="1"/>
        <v>45496</v>
      </c>
      <c r="E206" s="32">
        <f t="shared" si="2"/>
        <v>45496</v>
      </c>
    </row>
    <row r="207" spans="1:5" x14ac:dyDescent="0.35">
      <c r="A207" s="32">
        <v>45497</v>
      </c>
      <c r="C207" s="32">
        <f t="shared" si="0"/>
        <v>45497</v>
      </c>
      <c r="D207" s="32">
        <f t="shared" si="1"/>
        <v>45497</v>
      </c>
      <c r="E207" s="32">
        <f t="shared" si="2"/>
        <v>45497</v>
      </c>
    </row>
    <row r="208" spans="1:5" x14ac:dyDescent="0.35">
      <c r="A208" s="32">
        <v>45498</v>
      </c>
      <c r="C208" s="32">
        <f t="shared" si="0"/>
        <v>45498</v>
      </c>
      <c r="D208" s="32">
        <f t="shared" si="1"/>
        <v>45498</v>
      </c>
      <c r="E208" s="32">
        <f t="shared" si="2"/>
        <v>45498</v>
      </c>
    </row>
    <row r="209" spans="1:5" x14ac:dyDescent="0.35">
      <c r="A209" s="32">
        <v>45499</v>
      </c>
      <c r="C209" s="32">
        <f t="shared" si="0"/>
        <v>45499</v>
      </c>
      <c r="D209" s="32">
        <f t="shared" si="1"/>
        <v>45499</v>
      </c>
      <c r="E209" s="32">
        <f t="shared" si="2"/>
        <v>45499</v>
      </c>
    </row>
    <row r="210" spans="1:5" x14ac:dyDescent="0.35">
      <c r="A210" s="32">
        <v>45500</v>
      </c>
      <c r="C210" s="32">
        <f t="shared" si="0"/>
        <v>45500</v>
      </c>
      <c r="D210" s="32">
        <f t="shared" si="1"/>
        <v>45500</v>
      </c>
      <c r="E210" s="32">
        <f t="shared" si="2"/>
        <v>45500</v>
      </c>
    </row>
    <row r="211" spans="1:5" x14ac:dyDescent="0.35">
      <c r="A211" s="32">
        <v>45501</v>
      </c>
      <c r="C211" s="32">
        <f t="shared" si="0"/>
        <v>45501</v>
      </c>
      <c r="D211" s="32">
        <f t="shared" si="1"/>
        <v>45501</v>
      </c>
      <c r="E211" s="32">
        <f t="shared" si="2"/>
        <v>45501</v>
      </c>
    </row>
    <row r="212" spans="1:5" x14ac:dyDescent="0.35">
      <c r="A212" s="32">
        <v>45502</v>
      </c>
      <c r="C212" s="32">
        <f t="shared" si="0"/>
        <v>45502</v>
      </c>
      <c r="D212" s="32">
        <f t="shared" si="1"/>
        <v>45502</v>
      </c>
      <c r="E212" s="32">
        <f t="shared" si="2"/>
        <v>45502</v>
      </c>
    </row>
    <row r="213" spans="1:5" x14ac:dyDescent="0.35">
      <c r="A213" s="32">
        <v>45503</v>
      </c>
      <c r="C213" s="32">
        <f t="shared" si="0"/>
        <v>45503</v>
      </c>
      <c r="D213" s="32">
        <f t="shared" si="1"/>
        <v>45503</v>
      </c>
      <c r="E213" s="32">
        <f t="shared" si="2"/>
        <v>45503</v>
      </c>
    </row>
    <row r="214" spans="1:5" x14ac:dyDescent="0.35">
      <c r="A214" s="32">
        <v>45504</v>
      </c>
      <c r="C214" s="32">
        <f t="shared" si="0"/>
        <v>45504</v>
      </c>
      <c r="D214" s="32">
        <f t="shared" si="1"/>
        <v>45504</v>
      </c>
      <c r="E214" s="32">
        <f t="shared" si="2"/>
        <v>45504</v>
      </c>
    </row>
    <row r="215" spans="1:5" x14ac:dyDescent="0.35">
      <c r="A215" s="32">
        <v>45505</v>
      </c>
      <c r="C215" s="32">
        <f t="shared" si="0"/>
        <v>45505</v>
      </c>
      <c r="D215" s="32">
        <f t="shared" si="1"/>
        <v>45505</v>
      </c>
      <c r="E215" s="32">
        <f t="shared" si="2"/>
        <v>45505</v>
      </c>
    </row>
    <row r="216" spans="1:5" x14ac:dyDescent="0.35">
      <c r="A216" s="32">
        <v>45506</v>
      </c>
      <c r="C216" s="32">
        <f t="shared" ref="C216:C244" si="3">_xlfn.FORECAST.ETS(A216,$B$2:$B$183,$A$2:$A$183,1,1)</f>
        <v>45506</v>
      </c>
      <c r="D216" s="32">
        <f t="shared" ref="D216:D244" si="4">C216-_xlfn.FORECAST.ETS.CONFINT(A216,$B$2:$B$183,$A$2:$A$183,0.95,1,1)</f>
        <v>45506</v>
      </c>
      <c r="E216" s="32">
        <f t="shared" ref="E216:E244" si="5">C216+_xlfn.FORECAST.ETS.CONFINT(A216,$B$2:$B$183,$A$2:$A$183,0.95,1,1)</f>
        <v>45506</v>
      </c>
    </row>
    <row r="217" spans="1:5" x14ac:dyDescent="0.35">
      <c r="A217" s="32">
        <v>45507</v>
      </c>
      <c r="C217" s="32">
        <f t="shared" si="3"/>
        <v>45507</v>
      </c>
      <c r="D217" s="32">
        <f t="shared" si="4"/>
        <v>45507</v>
      </c>
      <c r="E217" s="32">
        <f t="shared" si="5"/>
        <v>45507</v>
      </c>
    </row>
    <row r="218" spans="1:5" x14ac:dyDescent="0.35">
      <c r="A218" s="32">
        <v>45508</v>
      </c>
      <c r="C218" s="32">
        <f t="shared" si="3"/>
        <v>45508</v>
      </c>
      <c r="D218" s="32">
        <f t="shared" si="4"/>
        <v>45508</v>
      </c>
      <c r="E218" s="32">
        <f t="shared" si="5"/>
        <v>45508</v>
      </c>
    </row>
    <row r="219" spans="1:5" x14ac:dyDescent="0.35">
      <c r="A219" s="32">
        <v>45509</v>
      </c>
      <c r="C219" s="32">
        <f t="shared" si="3"/>
        <v>45509</v>
      </c>
      <c r="D219" s="32">
        <f t="shared" si="4"/>
        <v>45509</v>
      </c>
      <c r="E219" s="32">
        <f t="shared" si="5"/>
        <v>45509</v>
      </c>
    </row>
    <row r="220" spans="1:5" x14ac:dyDescent="0.35">
      <c r="A220" s="32">
        <v>45510</v>
      </c>
      <c r="C220" s="32">
        <f t="shared" si="3"/>
        <v>45510</v>
      </c>
      <c r="D220" s="32">
        <f t="shared" si="4"/>
        <v>45510</v>
      </c>
      <c r="E220" s="32">
        <f t="shared" si="5"/>
        <v>45510</v>
      </c>
    </row>
    <row r="221" spans="1:5" x14ac:dyDescent="0.35">
      <c r="A221" s="32">
        <v>45511</v>
      </c>
      <c r="C221" s="32">
        <f t="shared" si="3"/>
        <v>45511</v>
      </c>
      <c r="D221" s="32">
        <f t="shared" si="4"/>
        <v>45511</v>
      </c>
      <c r="E221" s="32">
        <f t="shared" si="5"/>
        <v>45511</v>
      </c>
    </row>
    <row r="222" spans="1:5" x14ac:dyDescent="0.35">
      <c r="A222" s="32">
        <v>45512</v>
      </c>
      <c r="C222" s="32">
        <f t="shared" si="3"/>
        <v>45512</v>
      </c>
      <c r="D222" s="32">
        <f t="shared" si="4"/>
        <v>45512</v>
      </c>
      <c r="E222" s="32">
        <f t="shared" si="5"/>
        <v>45512</v>
      </c>
    </row>
    <row r="223" spans="1:5" x14ac:dyDescent="0.35">
      <c r="A223" s="32">
        <v>45513</v>
      </c>
      <c r="C223" s="32">
        <f t="shared" si="3"/>
        <v>45513</v>
      </c>
      <c r="D223" s="32">
        <f t="shared" si="4"/>
        <v>45513</v>
      </c>
      <c r="E223" s="32">
        <f t="shared" si="5"/>
        <v>45513</v>
      </c>
    </row>
    <row r="224" spans="1:5" x14ac:dyDescent="0.35">
      <c r="A224" s="32">
        <v>45514</v>
      </c>
      <c r="C224" s="32">
        <f t="shared" si="3"/>
        <v>45514</v>
      </c>
      <c r="D224" s="32">
        <f t="shared" si="4"/>
        <v>45514</v>
      </c>
      <c r="E224" s="32">
        <f t="shared" si="5"/>
        <v>45514</v>
      </c>
    </row>
    <row r="225" spans="1:5" x14ac:dyDescent="0.35">
      <c r="A225" s="32">
        <v>45515</v>
      </c>
      <c r="C225" s="32">
        <f t="shared" si="3"/>
        <v>45515</v>
      </c>
      <c r="D225" s="32">
        <f t="shared" si="4"/>
        <v>45515</v>
      </c>
      <c r="E225" s="32">
        <f t="shared" si="5"/>
        <v>45515</v>
      </c>
    </row>
    <row r="226" spans="1:5" x14ac:dyDescent="0.35">
      <c r="A226" s="32">
        <v>45516</v>
      </c>
      <c r="C226" s="32">
        <f t="shared" si="3"/>
        <v>45516</v>
      </c>
      <c r="D226" s="32">
        <f t="shared" si="4"/>
        <v>45516</v>
      </c>
      <c r="E226" s="32">
        <f t="shared" si="5"/>
        <v>45516</v>
      </c>
    </row>
    <row r="227" spans="1:5" x14ac:dyDescent="0.35">
      <c r="A227" s="32">
        <v>45517</v>
      </c>
      <c r="C227" s="32">
        <f t="shared" si="3"/>
        <v>45517</v>
      </c>
      <c r="D227" s="32">
        <f t="shared" si="4"/>
        <v>45517</v>
      </c>
      <c r="E227" s="32">
        <f t="shared" si="5"/>
        <v>45517</v>
      </c>
    </row>
    <row r="228" spans="1:5" x14ac:dyDescent="0.35">
      <c r="A228" s="32">
        <v>45518</v>
      </c>
      <c r="C228" s="32">
        <f t="shared" si="3"/>
        <v>45518</v>
      </c>
      <c r="D228" s="32">
        <f t="shared" si="4"/>
        <v>45518</v>
      </c>
      <c r="E228" s="32">
        <f t="shared" si="5"/>
        <v>45518</v>
      </c>
    </row>
    <row r="229" spans="1:5" x14ac:dyDescent="0.35">
      <c r="A229" s="32">
        <v>45519</v>
      </c>
      <c r="C229" s="32">
        <f t="shared" si="3"/>
        <v>45519</v>
      </c>
      <c r="D229" s="32">
        <f t="shared" si="4"/>
        <v>45519</v>
      </c>
      <c r="E229" s="32">
        <f t="shared" si="5"/>
        <v>45519</v>
      </c>
    </row>
    <row r="230" spans="1:5" x14ac:dyDescent="0.35">
      <c r="A230" s="32">
        <v>45520</v>
      </c>
      <c r="C230" s="32">
        <f t="shared" si="3"/>
        <v>45520</v>
      </c>
      <c r="D230" s="32">
        <f t="shared" si="4"/>
        <v>45520</v>
      </c>
      <c r="E230" s="32">
        <f t="shared" si="5"/>
        <v>45520</v>
      </c>
    </row>
    <row r="231" spans="1:5" x14ac:dyDescent="0.35">
      <c r="A231" s="32">
        <v>45521</v>
      </c>
      <c r="C231" s="32">
        <f t="shared" si="3"/>
        <v>45521</v>
      </c>
      <c r="D231" s="32">
        <f t="shared" si="4"/>
        <v>45521</v>
      </c>
      <c r="E231" s="32">
        <f t="shared" si="5"/>
        <v>45521</v>
      </c>
    </row>
    <row r="232" spans="1:5" x14ac:dyDescent="0.35">
      <c r="A232" s="32">
        <v>45522</v>
      </c>
      <c r="C232" s="32">
        <f t="shared" si="3"/>
        <v>45522</v>
      </c>
      <c r="D232" s="32">
        <f t="shared" si="4"/>
        <v>45522</v>
      </c>
      <c r="E232" s="32">
        <f t="shared" si="5"/>
        <v>45522</v>
      </c>
    </row>
    <row r="233" spans="1:5" x14ac:dyDescent="0.35">
      <c r="A233" s="32">
        <v>45523</v>
      </c>
      <c r="C233" s="32">
        <f t="shared" si="3"/>
        <v>45523</v>
      </c>
      <c r="D233" s="32">
        <f t="shared" si="4"/>
        <v>45523</v>
      </c>
      <c r="E233" s="32">
        <f t="shared" si="5"/>
        <v>45523</v>
      </c>
    </row>
    <row r="234" spans="1:5" x14ac:dyDescent="0.35">
      <c r="A234" s="32">
        <v>45524</v>
      </c>
      <c r="C234" s="32">
        <f t="shared" si="3"/>
        <v>45524</v>
      </c>
      <c r="D234" s="32">
        <f t="shared" si="4"/>
        <v>45524</v>
      </c>
      <c r="E234" s="32">
        <f t="shared" si="5"/>
        <v>45524</v>
      </c>
    </row>
    <row r="235" spans="1:5" x14ac:dyDescent="0.35">
      <c r="A235" s="32">
        <v>45525</v>
      </c>
      <c r="C235" s="32">
        <f t="shared" si="3"/>
        <v>45525</v>
      </c>
      <c r="D235" s="32">
        <f t="shared" si="4"/>
        <v>45525</v>
      </c>
      <c r="E235" s="32">
        <f t="shared" si="5"/>
        <v>45525</v>
      </c>
    </row>
    <row r="236" spans="1:5" x14ac:dyDescent="0.35">
      <c r="A236" s="32">
        <v>45526</v>
      </c>
      <c r="C236" s="32">
        <f t="shared" si="3"/>
        <v>45526</v>
      </c>
      <c r="D236" s="32">
        <f t="shared" si="4"/>
        <v>45526</v>
      </c>
      <c r="E236" s="32">
        <f t="shared" si="5"/>
        <v>45526</v>
      </c>
    </row>
    <row r="237" spans="1:5" x14ac:dyDescent="0.35">
      <c r="A237" s="32">
        <v>45527</v>
      </c>
      <c r="C237" s="32">
        <f t="shared" si="3"/>
        <v>45527</v>
      </c>
      <c r="D237" s="32">
        <f t="shared" si="4"/>
        <v>45527</v>
      </c>
      <c r="E237" s="32">
        <f t="shared" si="5"/>
        <v>45527</v>
      </c>
    </row>
    <row r="238" spans="1:5" x14ac:dyDescent="0.35">
      <c r="A238" s="32">
        <v>45528</v>
      </c>
      <c r="C238" s="32">
        <f t="shared" si="3"/>
        <v>45528</v>
      </c>
      <c r="D238" s="32">
        <f t="shared" si="4"/>
        <v>45528</v>
      </c>
      <c r="E238" s="32">
        <f t="shared" si="5"/>
        <v>45528</v>
      </c>
    </row>
    <row r="239" spans="1:5" x14ac:dyDescent="0.35">
      <c r="A239" s="32">
        <v>45529</v>
      </c>
      <c r="C239" s="32">
        <f t="shared" si="3"/>
        <v>45529</v>
      </c>
      <c r="D239" s="32">
        <f t="shared" si="4"/>
        <v>45529</v>
      </c>
      <c r="E239" s="32">
        <f t="shared" si="5"/>
        <v>45529</v>
      </c>
    </row>
    <row r="240" spans="1:5" x14ac:dyDescent="0.35">
      <c r="A240" s="32">
        <v>45530</v>
      </c>
      <c r="C240" s="32">
        <f t="shared" si="3"/>
        <v>45530</v>
      </c>
      <c r="D240" s="32">
        <f t="shared" si="4"/>
        <v>45530</v>
      </c>
      <c r="E240" s="32">
        <f t="shared" si="5"/>
        <v>45530</v>
      </c>
    </row>
    <row r="241" spans="1:5" x14ac:dyDescent="0.35">
      <c r="A241" s="32">
        <v>45531</v>
      </c>
      <c r="C241" s="32">
        <f t="shared" si="3"/>
        <v>45531</v>
      </c>
      <c r="D241" s="32">
        <f t="shared" si="4"/>
        <v>45531</v>
      </c>
      <c r="E241" s="32">
        <f t="shared" si="5"/>
        <v>45531</v>
      </c>
    </row>
    <row r="242" spans="1:5" x14ac:dyDescent="0.35">
      <c r="A242" s="32">
        <v>45532</v>
      </c>
      <c r="C242" s="32">
        <f t="shared" si="3"/>
        <v>45532</v>
      </c>
      <c r="D242" s="32">
        <f t="shared" si="4"/>
        <v>45532</v>
      </c>
      <c r="E242" s="32">
        <f t="shared" si="5"/>
        <v>45532</v>
      </c>
    </row>
    <row r="243" spans="1:5" x14ac:dyDescent="0.35">
      <c r="A243" s="32">
        <v>45533</v>
      </c>
      <c r="C243" s="32">
        <f t="shared" si="3"/>
        <v>45533</v>
      </c>
      <c r="D243" s="32">
        <f t="shared" si="4"/>
        <v>45533</v>
      </c>
      <c r="E243" s="32">
        <f t="shared" si="5"/>
        <v>45533</v>
      </c>
    </row>
    <row r="244" spans="1:5" x14ac:dyDescent="0.35">
      <c r="A244" s="32">
        <v>45534</v>
      </c>
      <c r="C244" s="32">
        <f t="shared" si="3"/>
        <v>45534</v>
      </c>
      <c r="D244" s="32">
        <f t="shared" si="4"/>
        <v>45534</v>
      </c>
      <c r="E244" s="32">
        <f t="shared" si="5"/>
        <v>45534</v>
      </c>
    </row>
  </sheetData>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A4CE8-3F1C-4432-9C5A-A5C5C41C3DD8}">
  <dimension ref="A1:D1001"/>
  <sheetViews>
    <sheetView topLeftCell="A10" workbookViewId="0">
      <selection sqref="A1:A1048576"/>
    </sheetView>
  </sheetViews>
  <sheetFormatPr defaultRowHeight="14.5" x14ac:dyDescent="0.35"/>
  <cols>
    <col min="1" max="1" width="16.1796875" style="32" customWidth="1"/>
    <col min="2" max="4" width="21" customWidth="1"/>
  </cols>
  <sheetData>
    <row r="1" spans="1:4" x14ac:dyDescent="0.35">
      <c r="B1" t="s">
        <v>264</v>
      </c>
      <c r="C1" t="s">
        <v>172</v>
      </c>
      <c r="D1" t="s">
        <v>654</v>
      </c>
    </row>
    <row r="2" spans="1:4" x14ac:dyDescent="0.35">
      <c r="A2" s="32">
        <f ca="1">RANDBETWEEN(DATE(2024,1,1),(DATE(2024,6,30)))</f>
        <v>45343</v>
      </c>
      <c r="B2">
        <v>0</v>
      </c>
      <c r="C2">
        <v>45</v>
      </c>
      <c r="D2">
        <v>2474.5500000000002</v>
      </c>
    </row>
    <row r="3" spans="1:4" x14ac:dyDescent="0.35">
      <c r="A3" s="32">
        <f t="shared" ref="A3:A66" ca="1" si="0">RANDBETWEEN(DATE(2024,1,1),(DATE(2024,6,30)))</f>
        <v>45371</v>
      </c>
      <c r="B3">
        <v>0</v>
      </c>
      <c r="C3">
        <v>75</v>
      </c>
      <c r="D3">
        <v>2099.25</v>
      </c>
    </row>
    <row r="4" spans="1:4" x14ac:dyDescent="0.35">
      <c r="A4" s="32">
        <f t="shared" ca="1" si="0"/>
        <v>45374</v>
      </c>
      <c r="B4">
        <v>8</v>
      </c>
      <c r="C4">
        <v>69</v>
      </c>
      <c r="D4">
        <v>1169.55</v>
      </c>
    </row>
    <row r="5" spans="1:4" x14ac:dyDescent="0.35">
      <c r="A5" s="32">
        <f t="shared" ca="1" si="0"/>
        <v>45367</v>
      </c>
      <c r="B5">
        <v>8</v>
      </c>
      <c r="C5">
        <v>1</v>
      </c>
      <c r="D5">
        <v>34.99</v>
      </c>
    </row>
    <row r="6" spans="1:4" x14ac:dyDescent="0.35">
      <c r="A6" s="32">
        <f t="shared" ca="1" si="0"/>
        <v>45388</v>
      </c>
      <c r="B6">
        <v>0</v>
      </c>
      <c r="C6">
        <v>331</v>
      </c>
      <c r="D6">
        <v>6586.9</v>
      </c>
    </row>
    <row r="7" spans="1:4" x14ac:dyDescent="0.35">
      <c r="A7" s="32">
        <f t="shared" ca="1" si="0"/>
        <v>45371</v>
      </c>
      <c r="B7">
        <v>6</v>
      </c>
      <c r="C7">
        <v>37</v>
      </c>
      <c r="D7">
        <v>1905.13</v>
      </c>
    </row>
    <row r="8" spans="1:4" x14ac:dyDescent="0.35">
      <c r="A8" s="32">
        <f t="shared" ca="1" si="0"/>
        <v>45374</v>
      </c>
      <c r="B8">
        <v>10</v>
      </c>
      <c r="C8">
        <v>286</v>
      </c>
      <c r="D8">
        <v>6292</v>
      </c>
    </row>
    <row r="9" spans="1:4" x14ac:dyDescent="0.35">
      <c r="A9" s="32">
        <f t="shared" ca="1" si="0"/>
        <v>45410</v>
      </c>
      <c r="B9">
        <v>3</v>
      </c>
      <c r="C9">
        <v>40</v>
      </c>
      <c r="D9">
        <v>1599.6000000000001</v>
      </c>
    </row>
    <row r="10" spans="1:4" x14ac:dyDescent="0.35">
      <c r="A10" s="32">
        <f t="shared" ca="1" si="0"/>
        <v>45471</v>
      </c>
      <c r="B10">
        <v>9</v>
      </c>
      <c r="C10">
        <v>647</v>
      </c>
      <c r="D10">
        <v>9698.5300000000007</v>
      </c>
    </row>
    <row r="11" spans="1:4" x14ac:dyDescent="0.35">
      <c r="A11" s="32">
        <f t="shared" ca="1" si="0"/>
        <v>45345</v>
      </c>
      <c r="B11">
        <v>0</v>
      </c>
      <c r="C11">
        <v>9</v>
      </c>
      <c r="D11">
        <v>1620</v>
      </c>
    </row>
    <row r="12" spans="1:4" x14ac:dyDescent="0.35">
      <c r="A12" s="32">
        <f t="shared" ca="1" si="0"/>
        <v>45312</v>
      </c>
      <c r="B12">
        <v>10</v>
      </c>
      <c r="C12">
        <v>38</v>
      </c>
      <c r="D12">
        <v>302.48</v>
      </c>
    </row>
    <row r="13" spans="1:4" x14ac:dyDescent="0.35">
      <c r="A13" s="32">
        <f t="shared" ca="1" si="0"/>
        <v>45347</v>
      </c>
      <c r="B13">
        <v>3</v>
      </c>
      <c r="C13">
        <v>30</v>
      </c>
      <c r="D13">
        <v>478.5</v>
      </c>
    </row>
    <row r="14" spans="1:4" x14ac:dyDescent="0.35">
      <c r="A14" s="32">
        <f t="shared" ca="1" si="0"/>
        <v>45427</v>
      </c>
      <c r="B14">
        <v>10</v>
      </c>
      <c r="C14">
        <v>13</v>
      </c>
      <c r="D14">
        <v>909.86999999999989</v>
      </c>
    </row>
    <row r="15" spans="1:4" x14ac:dyDescent="0.35">
      <c r="A15" s="32">
        <f t="shared" ca="1" si="0"/>
        <v>45331</v>
      </c>
      <c r="B15">
        <v>0</v>
      </c>
      <c r="C15">
        <v>24</v>
      </c>
      <c r="D15">
        <v>419.76</v>
      </c>
    </row>
    <row r="16" spans="1:4" x14ac:dyDescent="0.35">
      <c r="A16" s="32">
        <f t="shared" ca="1" si="0"/>
        <v>45324</v>
      </c>
      <c r="B16">
        <v>2</v>
      </c>
      <c r="C16">
        <v>5</v>
      </c>
      <c r="D16">
        <v>199.75</v>
      </c>
    </row>
    <row r="17" spans="1:4" x14ac:dyDescent="0.35">
      <c r="A17" s="32">
        <f t="shared" ca="1" si="0"/>
        <v>45295</v>
      </c>
      <c r="B17">
        <v>10</v>
      </c>
      <c r="C17">
        <v>38</v>
      </c>
      <c r="D17">
        <v>721.61999999999989</v>
      </c>
    </row>
    <row r="18" spans="1:4" x14ac:dyDescent="0.35">
      <c r="A18" s="32">
        <f t="shared" ca="1" si="0"/>
        <v>45463</v>
      </c>
      <c r="B18">
        <v>54</v>
      </c>
      <c r="C18">
        <v>5</v>
      </c>
      <c r="D18">
        <v>516</v>
      </c>
    </row>
    <row r="19" spans="1:4" x14ac:dyDescent="0.35">
      <c r="A19" s="32">
        <f t="shared" ca="1" si="0"/>
        <v>45318</v>
      </c>
      <c r="B19">
        <v>10</v>
      </c>
      <c r="C19">
        <v>19</v>
      </c>
      <c r="D19">
        <v>949.81000000000006</v>
      </c>
    </row>
    <row r="20" spans="1:4" x14ac:dyDescent="0.35">
      <c r="A20" s="32">
        <f t="shared" ca="1" si="0"/>
        <v>45315</v>
      </c>
      <c r="B20">
        <v>10</v>
      </c>
      <c r="C20">
        <v>433</v>
      </c>
      <c r="D20">
        <v>10630.15</v>
      </c>
    </row>
    <row r="21" spans="1:4" x14ac:dyDescent="0.35">
      <c r="A21" s="32">
        <f t="shared" ca="1" si="0"/>
        <v>45410</v>
      </c>
      <c r="B21">
        <v>4</v>
      </c>
      <c r="C21">
        <v>87</v>
      </c>
      <c r="D21">
        <v>5687.1900000000005</v>
      </c>
    </row>
    <row r="22" spans="1:4" x14ac:dyDescent="0.35">
      <c r="A22" s="32">
        <f t="shared" ca="1" si="0"/>
        <v>45449</v>
      </c>
      <c r="B22">
        <v>0</v>
      </c>
      <c r="C22">
        <v>3093</v>
      </c>
      <c r="D22">
        <v>28486.530000000002</v>
      </c>
    </row>
    <row r="23" spans="1:4" x14ac:dyDescent="0.35">
      <c r="A23" s="32">
        <f t="shared" ca="1" si="0"/>
        <v>45394</v>
      </c>
      <c r="B23">
        <v>10</v>
      </c>
      <c r="C23">
        <v>294</v>
      </c>
      <c r="D23">
        <v>5850.5999999999995</v>
      </c>
    </row>
    <row r="24" spans="1:4" x14ac:dyDescent="0.35">
      <c r="A24" s="32">
        <f t="shared" ca="1" si="0"/>
        <v>45443</v>
      </c>
      <c r="B24">
        <v>47</v>
      </c>
      <c r="C24">
        <v>1</v>
      </c>
      <c r="D24">
        <v>91</v>
      </c>
    </row>
    <row r="25" spans="1:4" x14ac:dyDescent="0.35">
      <c r="A25" s="32">
        <f t="shared" ca="1" si="0"/>
        <v>45434</v>
      </c>
      <c r="B25">
        <v>10</v>
      </c>
      <c r="C25">
        <v>15</v>
      </c>
      <c r="D25">
        <v>629.85</v>
      </c>
    </row>
    <row r="26" spans="1:4" x14ac:dyDescent="0.35">
      <c r="A26" s="32">
        <f t="shared" ca="1" si="0"/>
        <v>45472</v>
      </c>
      <c r="B26">
        <v>0</v>
      </c>
      <c r="C26">
        <v>2</v>
      </c>
      <c r="D26">
        <v>140</v>
      </c>
    </row>
    <row r="27" spans="1:4" x14ac:dyDescent="0.35">
      <c r="A27" s="32">
        <f t="shared" ca="1" si="0"/>
        <v>45458</v>
      </c>
      <c r="B27">
        <v>10</v>
      </c>
      <c r="C27">
        <v>142</v>
      </c>
      <c r="D27">
        <v>11216.58</v>
      </c>
    </row>
    <row r="28" spans="1:4" x14ac:dyDescent="0.35">
      <c r="A28" s="32">
        <f t="shared" ca="1" si="0"/>
        <v>45316</v>
      </c>
      <c r="B28">
        <v>5</v>
      </c>
      <c r="C28">
        <v>10</v>
      </c>
      <c r="D28">
        <v>199.89999999999998</v>
      </c>
    </row>
    <row r="29" spans="1:4" x14ac:dyDescent="0.35">
      <c r="A29" s="32">
        <f t="shared" ca="1" si="0"/>
        <v>45387</v>
      </c>
      <c r="B29">
        <v>2</v>
      </c>
      <c r="C29">
        <v>8</v>
      </c>
      <c r="D29">
        <v>343.6</v>
      </c>
    </row>
    <row r="30" spans="1:4" x14ac:dyDescent="0.35">
      <c r="A30" s="32">
        <f t="shared" ca="1" si="0"/>
        <v>45411</v>
      </c>
      <c r="B30">
        <v>10</v>
      </c>
      <c r="C30">
        <v>26</v>
      </c>
      <c r="D30">
        <v>2859.74</v>
      </c>
    </row>
    <row r="31" spans="1:4" x14ac:dyDescent="0.35">
      <c r="A31" s="32">
        <f t="shared" ca="1" si="0"/>
        <v>45463</v>
      </c>
      <c r="B31">
        <v>0</v>
      </c>
      <c r="C31">
        <v>58</v>
      </c>
      <c r="D31">
        <v>1159.4199999999998</v>
      </c>
    </row>
    <row r="32" spans="1:4" x14ac:dyDescent="0.35">
      <c r="A32" s="32">
        <f t="shared" ca="1" si="0"/>
        <v>45465</v>
      </c>
      <c r="B32">
        <v>7</v>
      </c>
      <c r="C32">
        <v>124</v>
      </c>
      <c r="D32">
        <v>3594.7599999999998</v>
      </c>
    </row>
    <row r="33" spans="1:4" x14ac:dyDescent="0.35">
      <c r="A33" s="32">
        <f t="shared" ca="1" si="0"/>
        <v>45341</v>
      </c>
      <c r="B33">
        <v>10</v>
      </c>
      <c r="C33">
        <v>14</v>
      </c>
      <c r="D33">
        <v>419.72</v>
      </c>
    </row>
    <row r="34" spans="1:4" x14ac:dyDescent="0.35">
      <c r="A34" s="32">
        <f t="shared" ca="1" si="0"/>
        <v>45333</v>
      </c>
      <c r="B34">
        <v>10</v>
      </c>
      <c r="C34">
        <v>25</v>
      </c>
      <c r="D34">
        <v>3249.75</v>
      </c>
    </row>
    <row r="35" spans="1:4" x14ac:dyDescent="0.35">
      <c r="A35" s="32">
        <f t="shared" ca="1" si="0"/>
        <v>45325</v>
      </c>
      <c r="B35">
        <v>10</v>
      </c>
      <c r="C35">
        <v>1</v>
      </c>
      <c r="D35">
        <v>188.99</v>
      </c>
    </row>
    <row r="36" spans="1:4" x14ac:dyDescent="0.35">
      <c r="A36" s="32">
        <f t="shared" ca="1" si="0"/>
        <v>45332</v>
      </c>
      <c r="B36">
        <v>10</v>
      </c>
      <c r="C36">
        <v>18</v>
      </c>
      <c r="D36">
        <v>719.82</v>
      </c>
    </row>
    <row r="37" spans="1:4" x14ac:dyDescent="0.35">
      <c r="A37" s="32">
        <f t="shared" ca="1" si="0"/>
        <v>45307</v>
      </c>
      <c r="B37">
        <v>5</v>
      </c>
      <c r="C37">
        <v>16</v>
      </c>
      <c r="D37">
        <v>320</v>
      </c>
    </row>
    <row r="38" spans="1:4" x14ac:dyDescent="0.35">
      <c r="A38" s="32">
        <f t="shared" ca="1" si="0"/>
        <v>45394</v>
      </c>
      <c r="B38">
        <v>0</v>
      </c>
      <c r="C38">
        <v>19</v>
      </c>
      <c r="D38">
        <v>551</v>
      </c>
    </row>
    <row r="39" spans="1:4" x14ac:dyDescent="0.35">
      <c r="A39" s="32">
        <f t="shared" ca="1" si="0"/>
        <v>45378</v>
      </c>
      <c r="B39">
        <v>65</v>
      </c>
      <c r="C39">
        <v>25</v>
      </c>
      <c r="D39">
        <v>749.75</v>
      </c>
    </row>
    <row r="40" spans="1:4" x14ac:dyDescent="0.35">
      <c r="A40" s="32">
        <f t="shared" ca="1" si="0"/>
        <v>45330</v>
      </c>
      <c r="B40">
        <v>9</v>
      </c>
      <c r="C40">
        <v>51</v>
      </c>
      <c r="D40">
        <v>4334.49</v>
      </c>
    </row>
    <row r="41" spans="1:4" x14ac:dyDescent="0.35">
      <c r="A41" s="32">
        <f t="shared" ca="1" si="0"/>
        <v>45422</v>
      </c>
      <c r="B41">
        <v>26</v>
      </c>
      <c r="C41">
        <v>13</v>
      </c>
      <c r="D41">
        <v>1677</v>
      </c>
    </row>
    <row r="42" spans="1:4" x14ac:dyDescent="0.35">
      <c r="A42" s="32">
        <f t="shared" ca="1" si="0"/>
        <v>45459</v>
      </c>
      <c r="B42">
        <v>47</v>
      </c>
      <c r="C42">
        <v>105</v>
      </c>
      <c r="D42">
        <v>1436.3999999999999</v>
      </c>
    </row>
    <row r="43" spans="1:4" x14ac:dyDescent="0.35">
      <c r="A43" s="32">
        <f t="shared" ca="1" si="0"/>
        <v>45378</v>
      </c>
      <c r="B43">
        <v>10</v>
      </c>
      <c r="C43">
        <v>353</v>
      </c>
      <c r="D43">
        <v>14102.35</v>
      </c>
    </row>
    <row r="44" spans="1:4" x14ac:dyDescent="0.35">
      <c r="A44" s="32">
        <f t="shared" ca="1" si="0"/>
        <v>45392</v>
      </c>
      <c r="B44">
        <v>0</v>
      </c>
      <c r="C44">
        <v>214</v>
      </c>
      <c r="D44">
        <v>5555.4400000000005</v>
      </c>
    </row>
    <row r="45" spans="1:4" x14ac:dyDescent="0.35">
      <c r="A45" s="32">
        <f t="shared" ca="1" si="0"/>
        <v>45342</v>
      </c>
      <c r="B45">
        <v>10</v>
      </c>
      <c r="C45">
        <v>58</v>
      </c>
      <c r="D45">
        <v>1082.28</v>
      </c>
    </row>
    <row r="46" spans="1:4" x14ac:dyDescent="0.35">
      <c r="A46" s="32">
        <f t="shared" ca="1" si="0"/>
        <v>45456</v>
      </c>
      <c r="B46">
        <v>10</v>
      </c>
      <c r="C46">
        <v>415</v>
      </c>
      <c r="D46">
        <v>10167.5</v>
      </c>
    </row>
    <row r="47" spans="1:4" x14ac:dyDescent="0.35">
      <c r="A47" s="32">
        <f t="shared" ca="1" si="0"/>
        <v>45315</v>
      </c>
      <c r="B47">
        <v>10</v>
      </c>
      <c r="C47">
        <v>34</v>
      </c>
      <c r="D47">
        <v>574.59999999999991</v>
      </c>
    </row>
    <row r="48" spans="1:4" x14ac:dyDescent="0.35">
      <c r="A48" s="32">
        <f t="shared" ca="1" si="0"/>
        <v>45469</v>
      </c>
      <c r="B48">
        <v>10</v>
      </c>
      <c r="C48">
        <v>17</v>
      </c>
      <c r="D48">
        <v>696.83</v>
      </c>
    </row>
    <row r="49" spans="1:4" x14ac:dyDescent="0.35">
      <c r="A49" s="32">
        <f t="shared" ca="1" si="0"/>
        <v>45333</v>
      </c>
      <c r="B49">
        <v>93</v>
      </c>
      <c r="C49">
        <v>18</v>
      </c>
      <c r="D49">
        <v>215.1</v>
      </c>
    </row>
    <row r="50" spans="1:4" x14ac:dyDescent="0.35">
      <c r="A50" s="32">
        <f t="shared" ca="1" si="0"/>
        <v>45396</v>
      </c>
      <c r="B50">
        <v>8</v>
      </c>
      <c r="C50">
        <v>42</v>
      </c>
      <c r="D50">
        <v>1596</v>
      </c>
    </row>
    <row r="51" spans="1:4" x14ac:dyDescent="0.35">
      <c r="A51" s="32">
        <f t="shared" ca="1" si="0"/>
        <v>45343</v>
      </c>
      <c r="B51">
        <v>0</v>
      </c>
      <c r="C51">
        <v>8</v>
      </c>
      <c r="D51">
        <v>588.16</v>
      </c>
    </row>
    <row r="52" spans="1:4" x14ac:dyDescent="0.35">
      <c r="A52" s="32">
        <f t="shared" ca="1" si="0"/>
        <v>45379</v>
      </c>
      <c r="B52">
        <v>6</v>
      </c>
      <c r="C52">
        <v>27</v>
      </c>
      <c r="D52">
        <v>1204.47</v>
      </c>
    </row>
    <row r="53" spans="1:4" x14ac:dyDescent="0.35">
      <c r="A53" s="32">
        <f t="shared" ca="1" si="0"/>
        <v>45463</v>
      </c>
      <c r="B53">
        <v>4</v>
      </c>
      <c r="C53">
        <v>65</v>
      </c>
      <c r="D53">
        <v>4455.75</v>
      </c>
    </row>
    <row r="54" spans="1:4" x14ac:dyDescent="0.35">
      <c r="A54" s="32">
        <f t="shared" ca="1" si="0"/>
        <v>45450</v>
      </c>
      <c r="B54">
        <v>10</v>
      </c>
      <c r="C54">
        <v>24</v>
      </c>
      <c r="D54">
        <v>720</v>
      </c>
    </row>
    <row r="55" spans="1:4" x14ac:dyDescent="0.35">
      <c r="A55" s="32">
        <f t="shared" ca="1" si="0"/>
        <v>45389</v>
      </c>
      <c r="B55">
        <v>6</v>
      </c>
      <c r="C55">
        <v>15</v>
      </c>
      <c r="D55">
        <v>974.84999999999991</v>
      </c>
    </row>
    <row r="56" spans="1:4" x14ac:dyDescent="0.35">
      <c r="A56" s="32">
        <f t="shared" ca="1" si="0"/>
        <v>45452</v>
      </c>
      <c r="B56">
        <v>4</v>
      </c>
      <c r="C56">
        <v>27</v>
      </c>
      <c r="D56">
        <v>1214.73</v>
      </c>
    </row>
    <row r="57" spans="1:4" x14ac:dyDescent="0.35">
      <c r="A57" s="32">
        <f t="shared" ca="1" si="0"/>
        <v>45438</v>
      </c>
      <c r="B57">
        <v>7</v>
      </c>
      <c r="C57">
        <v>32</v>
      </c>
      <c r="D57">
        <v>1439.68</v>
      </c>
    </row>
    <row r="58" spans="1:4" x14ac:dyDescent="0.35">
      <c r="A58" s="32">
        <f t="shared" ca="1" si="0"/>
        <v>45434</v>
      </c>
      <c r="B58">
        <v>10</v>
      </c>
      <c r="C58">
        <v>235</v>
      </c>
      <c r="D58">
        <v>15272.65</v>
      </c>
    </row>
    <row r="59" spans="1:4" x14ac:dyDescent="0.35">
      <c r="A59" s="32">
        <f t="shared" ca="1" si="0"/>
        <v>45313</v>
      </c>
      <c r="B59">
        <v>3</v>
      </c>
      <c r="C59">
        <v>3</v>
      </c>
      <c r="D59">
        <v>119.97</v>
      </c>
    </row>
    <row r="60" spans="1:4" x14ac:dyDescent="0.35">
      <c r="A60" s="32">
        <f t="shared" ca="1" si="0"/>
        <v>45326</v>
      </c>
      <c r="B60">
        <v>6</v>
      </c>
      <c r="C60">
        <v>15</v>
      </c>
      <c r="D60">
        <v>179.85</v>
      </c>
    </row>
    <row r="61" spans="1:4" x14ac:dyDescent="0.35">
      <c r="A61" s="32">
        <f t="shared" ca="1" si="0"/>
        <v>45368</v>
      </c>
      <c r="B61">
        <v>10</v>
      </c>
      <c r="C61">
        <v>7</v>
      </c>
      <c r="D61">
        <v>202.92999999999998</v>
      </c>
    </row>
    <row r="62" spans="1:4" x14ac:dyDescent="0.35">
      <c r="A62" s="32">
        <f t="shared" ca="1" si="0"/>
        <v>45381</v>
      </c>
      <c r="B62">
        <v>3</v>
      </c>
      <c r="C62">
        <v>266</v>
      </c>
      <c r="D62">
        <v>2649.36</v>
      </c>
    </row>
    <row r="63" spans="1:4" x14ac:dyDescent="0.35">
      <c r="A63" s="32">
        <f t="shared" ca="1" si="0"/>
        <v>45354</v>
      </c>
      <c r="B63">
        <v>7</v>
      </c>
      <c r="C63">
        <v>5</v>
      </c>
      <c r="D63">
        <v>64.95</v>
      </c>
    </row>
    <row r="64" spans="1:4" x14ac:dyDescent="0.35">
      <c r="A64" s="32">
        <f t="shared" ca="1" si="0"/>
        <v>45325</v>
      </c>
      <c r="B64">
        <v>2</v>
      </c>
      <c r="C64">
        <v>73</v>
      </c>
      <c r="D64">
        <v>1765.8700000000001</v>
      </c>
    </row>
    <row r="65" spans="1:4" x14ac:dyDescent="0.35">
      <c r="A65" s="32">
        <f t="shared" ca="1" si="0"/>
        <v>45468</v>
      </c>
      <c r="B65">
        <v>3</v>
      </c>
      <c r="C65">
        <v>52</v>
      </c>
      <c r="D65">
        <v>2457.52</v>
      </c>
    </row>
    <row r="66" spans="1:4" x14ac:dyDescent="0.35">
      <c r="A66" s="32">
        <f t="shared" ca="1" si="0"/>
        <v>45395</v>
      </c>
      <c r="B66">
        <v>0</v>
      </c>
      <c r="C66">
        <v>3823</v>
      </c>
      <c r="D66">
        <v>65067.46</v>
      </c>
    </row>
    <row r="67" spans="1:4" x14ac:dyDescent="0.35">
      <c r="A67" s="32">
        <f t="shared" ref="A67:A130" ca="1" si="1">RANDBETWEEN(DATE(2024,1,1),(DATE(2024,6,30)))</f>
        <v>45427</v>
      </c>
      <c r="B67">
        <v>0</v>
      </c>
      <c r="C67">
        <v>4</v>
      </c>
      <c r="D67">
        <v>71.8</v>
      </c>
    </row>
    <row r="68" spans="1:4" x14ac:dyDescent="0.35">
      <c r="A68" s="32">
        <f t="shared" ca="1" si="1"/>
        <v>45460</v>
      </c>
      <c r="B68">
        <v>0</v>
      </c>
      <c r="C68">
        <v>17</v>
      </c>
      <c r="D68">
        <v>229.5</v>
      </c>
    </row>
    <row r="69" spans="1:4" x14ac:dyDescent="0.35">
      <c r="A69" s="32">
        <f t="shared" ca="1" si="1"/>
        <v>45313</v>
      </c>
      <c r="B69">
        <v>10</v>
      </c>
      <c r="C69">
        <v>30</v>
      </c>
      <c r="D69">
        <v>638.1</v>
      </c>
    </row>
    <row r="70" spans="1:4" x14ac:dyDescent="0.35">
      <c r="A70" s="32">
        <f t="shared" ca="1" si="1"/>
        <v>45423</v>
      </c>
      <c r="B70">
        <v>21</v>
      </c>
      <c r="C70">
        <v>3</v>
      </c>
      <c r="D70">
        <v>45</v>
      </c>
    </row>
    <row r="71" spans="1:4" x14ac:dyDescent="0.35">
      <c r="A71" s="32">
        <f t="shared" ca="1" si="1"/>
        <v>45310</v>
      </c>
      <c r="B71">
        <v>9</v>
      </c>
      <c r="C71">
        <v>4</v>
      </c>
      <c r="D71">
        <v>103.56</v>
      </c>
    </row>
    <row r="72" spans="1:4" x14ac:dyDescent="0.35">
      <c r="A72" s="32">
        <f t="shared" ca="1" si="1"/>
        <v>45292</v>
      </c>
      <c r="B72">
        <v>110</v>
      </c>
      <c r="C72">
        <v>60</v>
      </c>
      <c r="D72">
        <v>1799.3999999999999</v>
      </c>
    </row>
    <row r="73" spans="1:4" x14ac:dyDescent="0.35">
      <c r="A73" s="32">
        <f t="shared" ca="1" si="1"/>
        <v>45321</v>
      </c>
      <c r="B73">
        <v>8</v>
      </c>
      <c r="C73">
        <v>634</v>
      </c>
      <c r="D73">
        <v>20605</v>
      </c>
    </row>
    <row r="74" spans="1:4" x14ac:dyDescent="0.35">
      <c r="A74" s="32">
        <f t="shared" ca="1" si="1"/>
        <v>45450</v>
      </c>
      <c r="B74">
        <v>4</v>
      </c>
      <c r="C74">
        <v>19</v>
      </c>
      <c r="D74">
        <v>759.81000000000006</v>
      </c>
    </row>
    <row r="75" spans="1:4" x14ac:dyDescent="0.35">
      <c r="A75" s="32">
        <f t="shared" ca="1" si="1"/>
        <v>45295</v>
      </c>
      <c r="B75">
        <v>15</v>
      </c>
      <c r="C75">
        <v>17</v>
      </c>
      <c r="D75">
        <v>1359.83</v>
      </c>
    </row>
    <row r="76" spans="1:4" x14ac:dyDescent="0.35">
      <c r="A76" s="32">
        <f t="shared" ca="1" si="1"/>
        <v>45404</v>
      </c>
      <c r="B76">
        <v>10</v>
      </c>
      <c r="C76">
        <v>4</v>
      </c>
      <c r="D76">
        <v>559.96</v>
      </c>
    </row>
    <row r="77" spans="1:4" x14ac:dyDescent="0.35">
      <c r="A77" s="32">
        <f t="shared" ca="1" si="1"/>
        <v>45411</v>
      </c>
      <c r="B77">
        <v>3</v>
      </c>
      <c r="C77">
        <v>61</v>
      </c>
      <c r="D77">
        <v>1829.3899999999999</v>
      </c>
    </row>
    <row r="78" spans="1:4" x14ac:dyDescent="0.35">
      <c r="A78" s="32">
        <f t="shared" ca="1" si="1"/>
        <v>45293</v>
      </c>
      <c r="B78">
        <v>10</v>
      </c>
      <c r="C78">
        <v>3</v>
      </c>
      <c r="D78">
        <v>107.97</v>
      </c>
    </row>
    <row r="79" spans="1:4" x14ac:dyDescent="0.35">
      <c r="A79" s="32">
        <f t="shared" ca="1" si="1"/>
        <v>45373</v>
      </c>
      <c r="B79">
        <v>13</v>
      </c>
      <c r="C79">
        <v>49</v>
      </c>
      <c r="D79">
        <v>3429.5099999999998</v>
      </c>
    </row>
    <row r="80" spans="1:4" x14ac:dyDescent="0.35">
      <c r="A80" s="32">
        <f t="shared" ca="1" si="1"/>
        <v>45316</v>
      </c>
      <c r="B80">
        <v>10</v>
      </c>
      <c r="C80">
        <v>72</v>
      </c>
      <c r="D80">
        <v>1079.28</v>
      </c>
    </row>
    <row r="81" spans="1:4" x14ac:dyDescent="0.35">
      <c r="A81" s="32">
        <f t="shared" ca="1" si="1"/>
        <v>45423</v>
      </c>
      <c r="B81">
        <v>6</v>
      </c>
      <c r="C81">
        <v>51</v>
      </c>
      <c r="D81">
        <v>4595.6099999999997</v>
      </c>
    </row>
    <row r="82" spans="1:4" x14ac:dyDescent="0.35">
      <c r="A82" s="32">
        <f t="shared" ca="1" si="1"/>
        <v>45298</v>
      </c>
      <c r="B82">
        <v>9</v>
      </c>
      <c r="C82">
        <v>91</v>
      </c>
      <c r="D82">
        <v>1455.09</v>
      </c>
    </row>
    <row r="83" spans="1:4" x14ac:dyDescent="0.35">
      <c r="A83" s="32">
        <f t="shared" ca="1" si="1"/>
        <v>45362</v>
      </c>
      <c r="B83">
        <v>16</v>
      </c>
      <c r="C83">
        <v>46</v>
      </c>
      <c r="D83">
        <v>6439.5400000000009</v>
      </c>
    </row>
    <row r="84" spans="1:4" x14ac:dyDescent="0.35">
      <c r="A84" s="32">
        <f t="shared" ca="1" si="1"/>
        <v>45368</v>
      </c>
      <c r="B84">
        <v>31</v>
      </c>
      <c r="C84">
        <v>20</v>
      </c>
      <c r="D84">
        <v>990.40000000000009</v>
      </c>
    </row>
    <row r="85" spans="1:4" x14ac:dyDescent="0.35">
      <c r="A85" s="32">
        <f t="shared" ca="1" si="1"/>
        <v>45382</v>
      </c>
      <c r="B85">
        <v>6</v>
      </c>
      <c r="C85">
        <v>957</v>
      </c>
      <c r="D85">
        <v>13369.29</v>
      </c>
    </row>
    <row r="86" spans="1:4" x14ac:dyDescent="0.35">
      <c r="A86" s="32">
        <f t="shared" ca="1" si="1"/>
        <v>45411</v>
      </c>
      <c r="B86">
        <v>0</v>
      </c>
      <c r="C86">
        <v>48</v>
      </c>
      <c r="D86">
        <v>1679.52</v>
      </c>
    </row>
    <row r="87" spans="1:4" x14ac:dyDescent="0.35">
      <c r="A87" s="32">
        <f t="shared" ca="1" si="1"/>
        <v>45343</v>
      </c>
      <c r="B87">
        <v>83</v>
      </c>
      <c r="C87">
        <v>712</v>
      </c>
      <c r="D87">
        <v>20505.600000000002</v>
      </c>
    </row>
    <row r="88" spans="1:4" x14ac:dyDescent="0.35">
      <c r="A88" s="32">
        <f t="shared" ca="1" si="1"/>
        <v>45310</v>
      </c>
      <c r="B88">
        <v>3</v>
      </c>
      <c r="C88">
        <v>14</v>
      </c>
      <c r="D88">
        <v>321.85999999999996</v>
      </c>
    </row>
    <row r="89" spans="1:4" x14ac:dyDescent="0.35">
      <c r="A89" s="32">
        <f t="shared" ca="1" si="1"/>
        <v>45342</v>
      </c>
      <c r="B89">
        <v>10</v>
      </c>
      <c r="C89">
        <v>280</v>
      </c>
      <c r="D89">
        <v>7266</v>
      </c>
    </row>
    <row r="90" spans="1:4" x14ac:dyDescent="0.35">
      <c r="A90" s="32">
        <f t="shared" ca="1" si="1"/>
        <v>45310</v>
      </c>
      <c r="B90">
        <v>49</v>
      </c>
      <c r="C90">
        <v>34</v>
      </c>
      <c r="D90">
        <v>1477.98</v>
      </c>
    </row>
    <row r="91" spans="1:4" x14ac:dyDescent="0.35">
      <c r="A91" s="32">
        <f t="shared" ca="1" si="1"/>
        <v>45369</v>
      </c>
      <c r="B91">
        <v>10</v>
      </c>
      <c r="C91">
        <v>2256</v>
      </c>
      <c r="D91">
        <v>40359.840000000004</v>
      </c>
    </row>
    <row r="92" spans="1:4" x14ac:dyDescent="0.35">
      <c r="A92" s="32">
        <f t="shared" ca="1" si="1"/>
        <v>45429</v>
      </c>
      <c r="B92">
        <v>3</v>
      </c>
      <c r="C92">
        <v>8</v>
      </c>
      <c r="D92">
        <v>719.92</v>
      </c>
    </row>
    <row r="93" spans="1:4" x14ac:dyDescent="0.35">
      <c r="A93" s="32">
        <f t="shared" ca="1" si="1"/>
        <v>45383</v>
      </c>
      <c r="B93">
        <v>0</v>
      </c>
      <c r="C93">
        <v>30</v>
      </c>
      <c r="D93">
        <v>1469.1</v>
      </c>
    </row>
    <row r="94" spans="1:4" x14ac:dyDescent="0.35">
      <c r="A94" s="32">
        <f t="shared" ca="1" si="1"/>
        <v>45296</v>
      </c>
      <c r="B94">
        <v>10</v>
      </c>
      <c r="C94">
        <v>22</v>
      </c>
      <c r="D94">
        <v>264</v>
      </c>
    </row>
    <row r="95" spans="1:4" x14ac:dyDescent="0.35">
      <c r="A95" s="32">
        <f t="shared" ca="1" si="1"/>
        <v>45341</v>
      </c>
      <c r="B95">
        <v>10</v>
      </c>
      <c r="C95">
        <v>330</v>
      </c>
      <c r="D95">
        <v>3362.7</v>
      </c>
    </row>
    <row r="96" spans="1:4" x14ac:dyDescent="0.35">
      <c r="A96" s="32">
        <f t="shared" ca="1" si="1"/>
        <v>45463</v>
      </c>
      <c r="B96">
        <v>3</v>
      </c>
      <c r="C96">
        <v>15</v>
      </c>
      <c r="D96">
        <v>479.84999999999997</v>
      </c>
    </row>
    <row r="97" spans="1:4" x14ac:dyDescent="0.35">
      <c r="A97" s="32">
        <f t="shared" ca="1" si="1"/>
        <v>45412</v>
      </c>
      <c r="B97">
        <v>10</v>
      </c>
      <c r="C97">
        <v>9</v>
      </c>
      <c r="D97">
        <v>207</v>
      </c>
    </row>
    <row r="98" spans="1:4" x14ac:dyDescent="0.35">
      <c r="A98" s="32">
        <f t="shared" ca="1" si="1"/>
        <v>45452</v>
      </c>
      <c r="B98">
        <v>0</v>
      </c>
      <c r="C98">
        <v>866</v>
      </c>
      <c r="D98">
        <v>26837.34</v>
      </c>
    </row>
    <row r="99" spans="1:4" x14ac:dyDescent="0.35">
      <c r="A99" s="32">
        <f t="shared" ca="1" si="1"/>
        <v>45298</v>
      </c>
      <c r="B99">
        <v>3</v>
      </c>
      <c r="C99">
        <v>129</v>
      </c>
      <c r="D99">
        <v>20896.710000000003</v>
      </c>
    </row>
    <row r="100" spans="1:4" x14ac:dyDescent="0.35">
      <c r="A100" s="32">
        <f t="shared" ca="1" si="1"/>
        <v>45374</v>
      </c>
      <c r="B100">
        <v>6</v>
      </c>
      <c r="C100">
        <v>23</v>
      </c>
      <c r="D100">
        <v>919.7700000000001</v>
      </c>
    </row>
    <row r="101" spans="1:4" x14ac:dyDescent="0.35">
      <c r="A101" s="32">
        <f t="shared" ca="1" si="1"/>
        <v>45297</v>
      </c>
      <c r="B101">
        <v>0</v>
      </c>
      <c r="C101">
        <v>85</v>
      </c>
      <c r="D101">
        <v>2731.05</v>
      </c>
    </row>
    <row r="102" spans="1:4" x14ac:dyDescent="0.35">
      <c r="A102" s="32">
        <f t="shared" ca="1" si="1"/>
        <v>45344</v>
      </c>
      <c r="B102">
        <v>7</v>
      </c>
      <c r="C102">
        <v>120</v>
      </c>
      <c r="D102">
        <v>8394</v>
      </c>
    </row>
    <row r="103" spans="1:4" x14ac:dyDescent="0.35">
      <c r="A103" s="32">
        <f t="shared" ca="1" si="1"/>
        <v>45303</v>
      </c>
      <c r="B103">
        <v>4</v>
      </c>
      <c r="C103">
        <v>2093</v>
      </c>
      <c r="D103">
        <v>53350.57</v>
      </c>
    </row>
    <row r="104" spans="1:4" x14ac:dyDescent="0.35">
      <c r="A104" s="32">
        <f t="shared" ca="1" si="1"/>
        <v>45428</v>
      </c>
      <c r="B104">
        <v>3</v>
      </c>
      <c r="C104">
        <v>153</v>
      </c>
      <c r="D104">
        <v>6118.47</v>
      </c>
    </row>
    <row r="105" spans="1:4" x14ac:dyDescent="0.35">
      <c r="A105" s="32">
        <f t="shared" ca="1" si="1"/>
        <v>45450</v>
      </c>
      <c r="B105">
        <v>0</v>
      </c>
      <c r="C105">
        <v>6</v>
      </c>
      <c r="D105">
        <v>336</v>
      </c>
    </row>
    <row r="106" spans="1:4" x14ac:dyDescent="0.35">
      <c r="A106" s="32">
        <f t="shared" ca="1" si="1"/>
        <v>45358</v>
      </c>
      <c r="B106">
        <v>101</v>
      </c>
      <c r="C106">
        <v>581</v>
      </c>
      <c r="D106">
        <v>55189.189999999995</v>
      </c>
    </row>
    <row r="107" spans="1:4" x14ac:dyDescent="0.35">
      <c r="A107" s="32">
        <f t="shared" ca="1" si="1"/>
        <v>45298</v>
      </c>
      <c r="B107">
        <v>10</v>
      </c>
      <c r="C107">
        <v>47</v>
      </c>
      <c r="D107">
        <v>3759.5299999999997</v>
      </c>
    </row>
    <row r="108" spans="1:4" x14ac:dyDescent="0.35">
      <c r="A108" s="32">
        <f t="shared" ca="1" si="1"/>
        <v>45375</v>
      </c>
      <c r="B108">
        <v>10</v>
      </c>
      <c r="C108">
        <v>7</v>
      </c>
      <c r="D108">
        <v>180.17999999999998</v>
      </c>
    </row>
    <row r="109" spans="1:4" x14ac:dyDescent="0.35">
      <c r="A109" s="32">
        <f t="shared" ca="1" si="1"/>
        <v>45337</v>
      </c>
      <c r="B109">
        <v>5</v>
      </c>
      <c r="C109">
        <v>7</v>
      </c>
      <c r="D109">
        <v>840</v>
      </c>
    </row>
    <row r="110" spans="1:4" x14ac:dyDescent="0.35">
      <c r="A110" s="32">
        <f t="shared" ca="1" si="1"/>
        <v>45311</v>
      </c>
      <c r="B110">
        <v>0</v>
      </c>
      <c r="C110">
        <v>18</v>
      </c>
      <c r="D110">
        <v>449.82</v>
      </c>
    </row>
    <row r="111" spans="1:4" x14ac:dyDescent="0.35">
      <c r="A111" s="32">
        <f t="shared" ca="1" si="1"/>
        <v>45308</v>
      </c>
      <c r="B111">
        <v>5</v>
      </c>
      <c r="C111">
        <v>993</v>
      </c>
      <c r="D111">
        <v>56591.07</v>
      </c>
    </row>
    <row r="112" spans="1:4" x14ac:dyDescent="0.35">
      <c r="A112" s="32">
        <f t="shared" ca="1" si="1"/>
        <v>45297</v>
      </c>
      <c r="B112">
        <v>9</v>
      </c>
      <c r="C112">
        <v>300</v>
      </c>
      <c r="D112">
        <v>6363</v>
      </c>
    </row>
    <row r="113" spans="1:4" x14ac:dyDescent="0.35">
      <c r="A113" s="32">
        <f t="shared" ca="1" si="1"/>
        <v>45384</v>
      </c>
      <c r="B113">
        <v>10</v>
      </c>
      <c r="C113">
        <v>5</v>
      </c>
      <c r="D113">
        <v>449.95</v>
      </c>
    </row>
    <row r="114" spans="1:4" x14ac:dyDescent="0.35">
      <c r="A114" s="32">
        <f t="shared" ca="1" si="1"/>
        <v>45308</v>
      </c>
      <c r="B114">
        <v>0</v>
      </c>
      <c r="C114">
        <v>31</v>
      </c>
      <c r="D114">
        <v>1416.3899999999999</v>
      </c>
    </row>
    <row r="115" spans="1:4" x14ac:dyDescent="0.35">
      <c r="A115" s="32">
        <f t="shared" ca="1" si="1"/>
        <v>45420</v>
      </c>
      <c r="B115">
        <v>13</v>
      </c>
      <c r="C115">
        <v>12</v>
      </c>
      <c r="D115">
        <v>383.4</v>
      </c>
    </row>
    <row r="116" spans="1:4" x14ac:dyDescent="0.35">
      <c r="A116" s="32">
        <f t="shared" ca="1" si="1"/>
        <v>45408</v>
      </c>
      <c r="B116">
        <v>10</v>
      </c>
      <c r="C116">
        <v>1963</v>
      </c>
      <c r="D116">
        <v>130578.76</v>
      </c>
    </row>
    <row r="117" spans="1:4" x14ac:dyDescent="0.35">
      <c r="A117" s="32">
        <f t="shared" ca="1" si="1"/>
        <v>45342</v>
      </c>
      <c r="B117">
        <v>7</v>
      </c>
      <c r="C117">
        <v>114</v>
      </c>
      <c r="D117">
        <v>4440.3</v>
      </c>
    </row>
    <row r="118" spans="1:4" x14ac:dyDescent="0.35">
      <c r="A118" s="32">
        <f t="shared" ca="1" si="1"/>
        <v>45444</v>
      </c>
      <c r="B118">
        <v>10</v>
      </c>
      <c r="C118">
        <v>17</v>
      </c>
      <c r="D118">
        <v>212.33</v>
      </c>
    </row>
    <row r="119" spans="1:4" x14ac:dyDescent="0.35">
      <c r="A119" s="32">
        <f t="shared" ca="1" si="1"/>
        <v>45415</v>
      </c>
      <c r="B119">
        <v>0</v>
      </c>
      <c r="C119">
        <v>286</v>
      </c>
      <c r="D119">
        <v>8577.14</v>
      </c>
    </row>
    <row r="120" spans="1:4" x14ac:dyDescent="0.35">
      <c r="A120" s="32">
        <f t="shared" ca="1" si="1"/>
        <v>45411</v>
      </c>
      <c r="B120">
        <v>24</v>
      </c>
      <c r="C120">
        <v>15</v>
      </c>
      <c r="D120">
        <v>1199.8499999999999</v>
      </c>
    </row>
    <row r="121" spans="1:4" x14ac:dyDescent="0.35">
      <c r="A121" s="32">
        <f t="shared" ca="1" si="1"/>
        <v>45431</v>
      </c>
      <c r="B121">
        <v>2</v>
      </c>
      <c r="C121">
        <v>18</v>
      </c>
      <c r="D121">
        <v>1439.82</v>
      </c>
    </row>
    <row r="122" spans="1:4" x14ac:dyDescent="0.35">
      <c r="A122" s="32">
        <f t="shared" ca="1" si="1"/>
        <v>45304</v>
      </c>
      <c r="B122">
        <v>7</v>
      </c>
      <c r="C122">
        <v>150</v>
      </c>
      <c r="D122">
        <v>6750</v>
      </c>
    </row>
    <row r="123" spans="1:4" x14ac:dyDescent="0.35">
      <c r="A123" s="32">
        <f t="shared" ca="1" si="1"/>
        <v>45338</v>
      </c>
      <c r="B123">
        <v>10</v>
      </c>
      <c r="C123">
        <v>21</v>
      </c>
      <c r="D123">
        <v>1375.5</v>
      </c>
    </row>
    <row r="124" spans="1:4" x14ac:dyDescent="0.35">
      <c r="A124" s="32">
        <f t="shared" ca="1" si="1"/>
        <v>45456</v>
      </c>
      <c r="B124">
        <v>2</v>
      </c>
      <c r="C124">
        <v>624</v>
      </c>
      <c r="D124">
        <v>11824.8</v>
      </c>
    </row>
    <row r="125" spans="1:4" x14ac:dyDescent="0.35">
      <c r="A125" s="32">
        <f t="shared" ca="1" si="1"/>
        <v>45312</v>
      </c>
      <c r="B125">
        <v>5</v>
      </c>
      <c r="C125">
        <v>4</v>
      </c>
      <c r="D125">
        <v>71.92</v>
      </c>
    </row>
    <row r="126" spans="1:4" x14ac:dyDescent="0.35">
      <c r="A126" s="32">
        <f t="shared" ca="1" si="1"/>
        <v>45457</v>
      </c>
      <c r="B126">
        <v>68</v>
      </c>
      <c r="C126">
        <v>13</v>
      </c>
      <c r="D126">
        <v>584.87</v>
      </c>
    </row>
    <row r="127" spans="1:4" x14ac:dyDescent="0.35">
      <c r="A127" s="32">
        <f t="shared" ca="1" si="1"/>
        <v>45449</v>
      </c>
      <c r="B127">
        <v>10</v>
      </c>
      <c r="C127">
        <v>16</v>
      </c>
      <c r="D127">
        <v>271.52</v>
      </c>
    </row>
    <row r="128" spans="1:4" x14ac:dyDescent="0.35">
      <c r="A128" s="32">
        <f t="shared" ca="1" si="1"/>
        <v>45458</v>
      </c>
      <c r="B128">
        <v>10</v>
      </c>
      <c r="C128">
        <v>739</v>
      </c>
      <c r="D128">
        <v>15629.849999999999</v>
      </c>
    </row>
    <row r="129" spans="1:4" x14ac:dyDescent="0.35">
      <c r="A129" s="32">
        <f t="shared" ca="1" si="1"/>
        <v>45310</v>
      </c>
      <c r="B129">
        <v>36</v>
      </c>
      <c r="C129">
        <v>9</v>
      </c>
      <c r="D129">
        <v>117.45</v>
      </c>
    </row>
    <row r="130" spans="1:4" x14ac:dyDescent="0.35">
      <c r="A130" s="32">
        <f t="shared" ca="1" si="1"/>
        <v>45412</v>
      </c>
      <c r="B130">
        <v>6</v>
      </c>
      <c r="C130">
        <v>14</v>
      </c>
      <c r="D130">
        <v>182</v>
      </c>
    </row>
    <row r="131" spans="1:4" x14ac:dyDescent="0.35">
      <c r="A131" s="32">
        <f t="shared" ref="A131:A194" ca="1" si="2">RANDBETWEEN(DATE(2024,1,1),(DATE(2024,6,30)))</f>
        <v>45404</v>
      </c>
      <c r="B131">
        <v>10</v>
      </c>
      <c r="C131">
        <v>6</v>
      </c>
      <c r="D131">
        <v>581.70000000000005</v>
      </c>
    </row>
    <row r="132" spans="1:4" x14ac:dyDescent="0.35">
      <c r="A132" s="32">
        <f t="shared" ca="1" si="2"/>
        <v>45397</v>
      </c>
      <c r="B132">
        <v>0</v>
      </c>
      <c r="C132">
        <v>654</v>
      </c>
      <c r="D132">
        <v>7135.14</v>
      </c>
    </row>
    <row r="133" spans="1:4" x14ac:dyDescent="0.35">
      <c r="A133" s="32">
        <f t="shared" ca="1" si="2"/>
        <v>45309</v>
      </c>
      <c r="B133">
        <v>8</v>
      </c>
      <c r="C133">
        <v>27</v>
      </c>
      <c r="D133">
        <v>2132.73</v>
      </c>
    </row>
    <row r="134" spans="1:4" x14ac:dyDescent="0.35">
      <c r="A134" s="32">
        <f t="shared" ca="1" si="2"/>
        <v>45416</v>
      </c>
      <c r="B134">
        <v>6</v>
      </c>
      <c r="C134">
        <v>6</v>
      </c>
      <c r="D134">
        <v>833.94</v>
      </c>
    </row>
    <row r="135" spans="1:4" x14ac:dyDescent="0.35">
      <c r="A135" s="32">
        <f t="shared" ca="1" si="2"/>
        <v>45366</v>
      </c>
      <c r="B135">
        <v>2</v>
      </c>
      <c r="C135">
        <v>41</v>
      </c>
      <c r="D135">
        <v>571.94999999999993</v>
      </c>
    </row>
    <row r="136" spans="1:4" x14ac:dyDescent="0.35">
      <c r="A136" s="32">
        <f t="shared" ca="1" si="2"/>
        <v>45448</v>
      </c>
      <c r="B136">
        <v>0</v>
      </c>
      <c r="C136">
        <v>226</v>
      </c>
      <c r="D136">
        <v>7207.14</v>
      </c>
    </row>
    <row r="137" spans="1:4" x14ac:dyDescent="0.35">
      <c r="A137" s="32">
        <f t="shared" ca="1" si="2"/>
        <v>45308</v>
      </c>
      <c r="B137">
        <v>3</v>
      </c>
      <c r="C137">
        <v>160</v>
      </c>
      <c r="D137">
        <v>25598.400000000001</v>
      </c>
    </row>
    <row r="138" spans="1:4" x14ac:dyDescent="0.35">
      <c r="A138" s="32">
        <f t="shared" ca="1" si="2"/>
        <v>45383</v>
      </c>
      <c r="B138">
        <v>130</v>
      </c>
      <c r="C138">
        <v>397</v>
      </c>
      <c r="D138">
        <v>16277</v>
      </c>
    </row>
    <row r="139" spans="1:4" x14ac:dyDescent="0.35">
      <c r="A139" s="32">
        <f t="shared" ca="1" si="2"/>
        <v>45399</v>
      </c>
      <c r="B139">
        <v>0</v>
      </c>
      <c r="C139">
        <v>1024</v>
      </c>
      <c r="D139">
        <v>36433.919999999998</v>
      </c>
    </row>
    <row r="140" spans="1:4" x14ac:dyDescent="0.35">
      <c r="A140" s="32">
        <f t="shared" ca="1" si="2"/>
        <v>45433</v>
      </c>
      <c r="B140">
        <v>0</v>
      </c>
      <c r="C140">
        <v>8</v>
      </c>
      <c r="D140">
        <v>438.8</v>
      </c>
    </row>
    <row r="141" spans="1:4" x14ac:dyDescent="0.35">
      <c r="A141" s="32">
        <f t="shared" ca="1" si="2"/>
        <v>45410</v>
      </c>
      <c r="B141">
        <v>4</v>
      </c>
      <c r="C141">
        <v>109</v>
      </c>
      <c r="D141">
        <v>4027.55</v>
      </c>
    </row>
    <row r="142" spans="1:4" x14ac:dyDescent="0.35">
      <c r="A142" s="32">
        <f t="shared" ca="1" si="2"/>
        <v>45407</v>
      </c>
      <c r="B142">
        <v>10</v>
      </c>
      <c r="C142">
        <v>40</v>
      </c>
      <c r="D142">
        <v>719.2</v>
      </c>
    </row>
    <row r="143" spans="1:4" x14ac:dyDescent="0.35">
      <c r="A143" s="32">
        <f t="shared" ca="1" si="2"/>
        <v>45460</v>
      </c>
      <c r="B143">
        <v>8</v>
      </c>
      <c r="C143">
        <v>12</v>
      </c>
      <c r="D143">
        <v>215.76</v>
      </c>
    </row>
    <row r="144" spans="1:4" x14ac:dyDescent="0.35">
      <c r="A144" s="32">
        <f t="shared" ca="1" si="2"/>
        <v>45469</v>
      </c>
      <c r="B144">
        <v>3</v>
      </c>
      <c r="C144">
        <v>9</v>
      </c>
      <c r="D144">
        <v>161.82</v>
      </c>
    </row>
    <row r="145" spans="1:4" x14ac:dyDescent="0.35">
      <c r="A145" s="32">
        <f t="shared" ca="1" si="2"/>
        <v>45400</v>
      </c>
      <c r="B145">
        <v>0</v>
      </c>
      <c r="C145">
        <v>3</v>
      </c>
      <c r="D145">
        <v>98.97</v>
      </c>
    </row>
    <row r="146" spans="1:4" x14ac:dyDescent="0.35">
      <c r="A146" s="32">
        <f t="shared" ca="1" si="2"/>
        <v>45450</v>
      </c>
      <c r="B146">
        <v>5</v>
      </c>
      <c r="C146">
        <v>39</v>
      </c>
      <c r="D146">
        <v>1208.6099999999999</v>
      </c>
    </row>
    <row r="147" spans="1:4" x14ac:dyDescent="0.35">
      <c r="A147" s="32">
        <f t="shared" ca="1" si="2"/>
        <v>45336</v>
      </c>
      <c r="B147">
        <v>3</v>
      </c>
      <c r="C147">
        <v>180</v>
      </c>
      <c r="D147">
        <v>13138.199999999999</v>
      </c>
    </row>
    <row r="148" spans="1:4" x14ac:dyDescent="0.35">
      <c r="A148" s="32">
        <f t="shared" ca="1" si="2"/>
        <v>45433</v>
      </c>
      <c r="B148">
        <v>0</v>
      </c>
      <c r="C148">
        <v>14</v>
      </c>
      <c r="D148">
        <v>334.46000000000004</v>
      </c>
    </row>
    <row r="149" spans="1:4" x14ac:dyDescent="0.35">
      <c r="A149" s="32">
        <f t="shared" ca="1" si="2"/>
        <v>45416</v>
      </c>
      <c r="B149">
        <v>0</v>
      </c>
      <c r="C149">
        <v>47</v>
      </c>
      <c r="D149">
        <v>517</v>
      </c>
    </row>
    <row r="150" spans="1:4" x14ac:dyDescent="0.35">
      <c r="A150" s="32">
        <f t="shared" ca="1" si="2"/>
        <v>45460</v>
      </c>
      <c r="B150">
        <v>9</v>
      </c>
      <c r="C150">
        <v>16</v>
      </c>
      <c r="D150">
        <v>263.68</v>
      </c>
    </row>
    <row r="151" spans="1:4" x14ac:dyDescent="0.35">
      <c r="A151" s="32">
        <f t="shared" ca="1" si="2"/>
        <v>45440</v>
      </c>
      <c r="B151">
        <v>2</v>
      </c>
      <c r="C151">
        <v>316</v>
      </c>
      <c r="D151">
        <v>25276.84</v>
      </c>
    </row>
    <row r="152" spans="1:4" x14ac:dyDescent="0.35">
      <c r="A152" s="32">
        <f t="shared" ca="1" si="2"/>
        <v>45422</v>
      </c>
      <c r="B152">
        <v>3</v>
      </c>
      <c r="C152">
        <v>5</v>
      </c>
      <c r="D152">
        <v>619.94999999999993</v>
      </c>
    </row>
    <row r="153" spans="1:4" x14ac:dyDescent="0.35">
      <c r="A153" s="32">
        <f t="shared" ca="1" si="2"/>
        <v>45420</v>
      </c>
      <c r="B153">
        <v>5</v>
      </c>
      <c r="C153">
        <v>23</v>
      </c>
      <c r="D153">
        <v>2069.77</v>
      </c>
    </row>
    <row r="154" spans="1:4" x14ac:dyDescent="0.35">
      <c r="A154" s="32">
        <f t="shared" ca="1" si="2"/>
        <v>45364</v>
      </c>
      <c r="B154">
        <v>10</v>
      </c>
      <c r="C154">
        <v>1433</v>
      </c>
      <c r="D154">
        <v>40668.54</v>
      </c>
    </row>
    <row r="155" spans="1:4" x14ac:dyDescent="0.35">
      <c r="A155" s="32">
        <f t="shared" ca="1" si="2"/>
        <v>45392</v>
      </c>
      <c r="B155">
        <v>10</v>
      </c>
      <c r="C155">
        <v>578</v>
      </c>
      <c r="D155">
        <v>17189.719999999998</v>
      </c>
    </row>
    <row r="156" spans="1:4" x14ac:dyDescent="0.35">
      <c r="A156" s="32">
        <f t="shared" ca="1" si="2"/>
        <v>45417</v>
      </c>
      <c r="B156">
        <v>10</v>
      </c>
      <c r="C156">
        <v>17</v>
      </c>
      <c r="D156">
        <v>815.83</v>
      </c>
    </row>
    <row r="157" spans="1:4" x14ac:dyDescent="0.35">
      <c r="A157" s="32">
        <f t="shared" ca="1" si="2"/>
        <v>45307</v>
      </c>
      <c r="B157">
        <v>10</v>
      </c>
      <c r="C157">
        <v>37</v>
      </c>
      <c r="D157">
        <v>1665</v>
      </c>
    </row>
    <row r="158" spans="1:4" x14ac:dyDescent="0.35">
      <c r="A158" s="32">
        <f t="shared" ca="1" si="2"/>
        <v>45411</v>
      </c>
      <c r="B158">
        <v>10</v>
      </c>
      <c r="C158">
        <v>39</v>
      </c>
      <c r="D158">
        <v>3480.75</v>
      </c>
    </row>
    <row r="159" spans="1:4" x14ac:dyDescent="0.35">
      <c r="A159" s="32">
        <f t="shared" ca="1" si="2"/>
        <v>45363</v>
      </c>
      <c r="B159">
        <v>10</v>
      </c>
      <c r="C159">
        <v>504</v>
      </c>
      <c r="D159">
        <v>10710</v>
      </c>
    </row>
    <row r="160" spans="1:4" x14ac:dyDescent="0.35">
      <c r="A160" s="32">
        <f t="shared" ca="1" si="2"/>
        <v>45427</v>
      </c>
      <c r="B160">
        <v>10</v>
      </c>
      <c r="C160">
        <v>23</v>
      </c>
      <c r="D160">
        <v>3519</v>
      </c>
    </row>
    <row r="161" spans="1:4" x14ac:dyDescent="0.35">
      <c r="A161" s="32">
        <f t="shared" ca="1" si="2"/>
        <v>45404</v>
      </c>
      <c r="B161">
        <v>5</v>
      </c>
      <c r="C161">
        <v>118</v>
      </c>
      <c r="D161">
        <v>4718.8200000000006</v>
      </c>
    </row>
    <row r="162" spans="1:4" x14ac:dyDescent="0.35">
      <c r="A162" s="32">
        <f t="shared" ca="1" si="2"/>
        <v>45431</v>
      </c>
      <c r="B162">
        <v>5</v>
      </c>
      <c r="C162">
        <v>7</v>
      </c>
      <c r="D162">
        <v>209.92999999999998</v>
      </c>
    </row>
    <row r="163" spans="1:4" x14ac:dyDescent="0.35">
      <c r="A163" s="32">
        <f t="shared" ca="1" si="2"/>
        <v>45461</v>
      </c>
      <c r="B163">
        <v>10</v>
      </c>
      <c r="C163">
        <v>21</v>
      </c>
      <c r="D163">
        <v>566.79</v>
      </c>
    </row>
    <row r="164" spans="1:4" x14ac:dyDescent="0.35">
      <c r="A164" s="32">
        <f t="shared" ca="1" si="2"/>
        <v>45348</v>
      </c>
      <c r="B164">
        <v>7</v>
      </c>
      <c r="C164">
        <v>485</v>
      </c>
      <c r="D164">
        <v>31525</v>
      </c>
    </row>
    <row r="165" spans="1:4" x14ac:dyDescent="0.35">
      <c r="A165" s="32">
        <f t="shared" ca="1" si="2"/>
        <v>45372</v>
      </c>
      <c r="B165">
        <v>10</v>
      </c>
      <c r="C165">
        <v>14</v>
      </c>
      <c r="D165">
        <v>265.85999999999996</v>
      </c>
    </row>
    <row r="166" spans="1:4" x14ac:dyDescent="0.35">
      <c r="A166" s="32">
        <f t="shared" ca="1" si="2"/>
        <v>45436</v>
      </c>
      <c r="B166">
        <v>9</v>
      </c>
      <c r="C166">
        <v>1306</v>
      </c>
      <c r="D166">
        <v>37808.699999999997</v>
      </c>
    </row>
    <row r="167" spans="1:4" x14ac:dyDescent="0.35">
      <c r="A167" s="32">
        <f t="shared" ca="1" si="2"/>
        <v>45350</v>
      </c>
      <c r="B167">
        <v>8</v>
      </c>
      <c r="C167">
        <v>31</v>
      </c>
      <c r="D167">
        <v>712.68999999999994</v>
      </c>
    </row>
    <row r="168" spans="1:4" x14ac:dyDescent="0.35">
      <c r="A168" s="32">
        <f t="shared" ca="1" si="2"/>
        <v>45360</v>
      </c>
      <c r="B168">
        <v>10</v>
      </c>
      <c r="C168">
        <v>52</v>
      </c>
      <c r="D168">
        <v>1195.48</v>
      </c>
    </row>
    <row r="169" spans="1:4" x14ac:dyDescent="0.35">
      <c r="A169" s="32">
        <f t="shared" ca="1" si="2"/>
        <v>45298</v>
      </c>
      <c r="B169">
        <v>8</v>
      </c>
      <c r="C169">
        <v>700</v>
      </c>
      <c r="D169">
        <v>39865</v>
      </c>
    </row>
    <row r="170" spans="1:4" x14ac:dyDescent="0.35">
      <c r="A170" s="32">
        <f t="shared" ca="1" si="2"/>
        <v>45335</v>
      </c>
      <c r="B170">
        <v>0</v>
      </c>
      <c r="C170">
        <v>955</v>
      </c>
      <c r="D170">
        <v>41494.75</v>
      </c>
    </row>
    <row r="171" spans="1:4" x14ac:dyDescent="0.35">
      <c r="A171" s="32">
        <f t="shared" ca="1" si="2"/>
        <v>45413</v>
      </c>
      <c r="B171">
        <v>10</v>
      </c>
      <c r="C171">
        <v>2</v>
      </c>
      <c r="D171">
        <v>319.98</v>
      </c>
    </row>
    <row r="172" spans="1:4" x14ac:dyDescent="0.35">
      <c r="A172" s="32">
        <f t="shared" ca="1" si="2"/>
        <v>45293</v>
      </c>
      <c r="B172">
        <v>10</v>
      </c>
      <c r="C172">
        <v>248</v>
      </c>
      <c r="D172">
        <v>17109.52</v>
      </c>
    </row>
    <row r="173" spans="1:4" x14ac:dyDescent="0.35">
      <c r="A173" s="32">
        <f t="shared" ca="1" si="2"/>
        <v>45325</v>
      </c>
      <c r="B173">
        <v>10</v>
      </c>
      <c r="C173">
        <v>577</v>
      </c>
      <c r="D173">
        <v>20189.23</v>
      </c>
    </row>
    <row r="174" spans="1:4" x14ac:dyDescent="0.35">
      <c r="A174" s="32">
        <f t="shared" ca="1" si="2"/>
        <v>45419</v>
      </c>
      <c r="B174">
        <v>6</v>
      </c>
      <c r="C174">
        <v>19</v>
      </c>
      <c r="D174">
        <v>189.81</v>
      </c>
    </row>
    <row r="175" spans="1:4" x14ac:dyDescent="0.35">
      <c r="A175" s="32">
        <f t="shared" ca="1" si="2"/>
        <v>45317</v>
      </c>
      <c r="B175">
        <v>10</v>
      </c>
      <c r="C175">
        <v>4972</v>
      </c>
      <c r="D175">
        <v>137177.48000000001</v>
      </c>
    </row>
    <row r="176" spans="1:4" x14ac:dyDescent="0.35">
      <c r="A176" s="32">
        <f t="shared" ca="1" si="2"/>
        <v>45302</v>
      </c>
      <c r="B176">
        <v>71</v>
      </c>
      <c r="C176">
        <v>8385</v>
      </c>
      <c r="D176">
        <v>275447.25</v>
      </c>
    </row>
    <row r="177" spans="1:4" x14ac:dyDescent="0.35">
      <c r="A177" s="32">
        <f t="shared" ca="1" si="2"/>
        <v>45417</v>
      </c>
      <c r="B177">
        <v>29</v>
      </c>
      <c r="C177">
        <v>12</v>
      </c>
      <c r="D177">
        <v>456</v>
      </c>
    </row>
    <row r="178" spans="1:4" x14ac:dyDescent="0.35">
      <c r="A178" s="32">
        <f t="shared" ca="1" si="2"/>
        <v>45309</v>
      </c>
      <c r="B178">
        <v>0</v>
      </c>
      <c r="C178">
        <v>3</v>
      </c>
      <c r="D178">
        <v>50.97</v>
      </c>
    </row>
    <row r="179" spans="1:4" x14ac:dyDescent="0.35">
      <c r="A179" s="32">
        <f t="shared" ca="1" si="2"/>
        <v>45313</v>
      </c>
      <c r="B179">
        <v>8</v>
      </c>
      <c r="C179">
        <v>157</v>
      </c>
      <c r="D179">
        <v>4380.3</v>
      </c>
    </row>
    <row r="180" spans="1:4" x14ac:dyDescent="0.35">
      <c r="A180" s="32">
        <f t="shared" ca="1" si="2"/>
        <v>45427</v>
      </c>
      <c r="B180">
        <v>10</v>
      </c>
      <c r="C180">
        <v>1</v>
      </c>
      <c r="D180">
        <v>100</v>
      </c>
    </row>
    <row r="181" spans="1:4" x14ac:dyDescent="0.35">
      <c r="A181" s="32">
        <f t="shared" ca="1" si="2"/>
        <v>45324</v>
      </c>
      <c r="B181">
        <v>7</v>
      </c>
      <c r="C181">
        <v>111</v>
      </c>
      <c r="D181">
        <v>5770.89</v>
      </c>
    </row>
    <row r="182" spans="1:4" x14ac:dyDescent="0.35">
      <c r="A182" s="32">
        <f t="shared" ca="1" si="2"/>
        <v>45314</v>
      </c>
      <c r="B182">
        <v>10</v>
      </c>
      <c r="C182">
        <v>81</v>
      </c>
      <c r="D182">
        <v>5669.19</v>
      </c>
    </row>
    <row r="183" spans="1:4" x14ac:dyDescent="0.35">
      <c r="A183" s="32">
        <f t="shared" ca="1" si="2"/>
        <v>45357</v>
      </c>
      <c r="B183">
        <v>0</v>
      </c>
      <c r="C183">
        <v>3</v>
      </c>
      <c r="D183">
        <v>79.5</v>
      </c>
    </row>
    <row r="184" spans="1:4" x14ac:dyDescent="0.35">
      <c r="A184" s="32">
        <f t="shared" ca="1" si="2"/>
        <v>45379</v>
      </c>
      <c r="B184">
        <v>5</v>
      </c>
      <c r="C184">
        <v>4</v>
      </c>
      <c r="D184">
        <v>177.96</v>
      </c>
    </row>
    <row r="185" spans="1:4" x14ac:dyDescent="0.35">
      <c r="A185" s="32">
        <f t="shared" ca="1" si="2"/>
        <v>45405</v>
      </c>
      <c r="B185">
        <v>3</v>
      </c>
      <c r="C185">
        <v>21</v>
      </c>
      <c r="D185">
        <v>1049.79</v>
      </c>
    </row>
    <row r="186" spans="1:4" x14ac:dyDescent="0.35">
      <c r="A186" s="32">
        <f t="shared" ca="1" si="2"/>
        <v>45414</v>
      </c>
      <c r="B186">
        <v>2</v>
      </c>
      <c r="C186">
        <v>31</v>
      </c>
      <c r="D186">
        <v>1084.69</v>
      </c>
    </row>
    <row r="187" spans="1:4" x14ac:dyDescent="0.35">
      <c r="A187" s="32">
        <f t="shared" ca="1" si="2"/>
        <v>45445</v>
      </c>
      <c r="B187">
        <v>10</v>
      </c>
      <c r="C187">
        <v>12</v>
      </c>
      <c r="D187">
        <v>359.88</v>
      </c>
    </row>
    <row r="188" spans="1:4" x14ac:dyDescent="0.35">
      <c r="A188" s="32">
        <f t="shared" ca="1" si="2"/>
        <v>45457</v>
      </c>
      <c r="B188">
        <v>5</v>
      </c>
      <c r="C188">
        <v>264</v>
      </c>
      <c r="D188">
        <v>7101.5999999999995</v>
      </c>
    </row>
    <row r="189" spans="1:4" x14ac:dyDescent="0.35">
      <c r="A189" s="32">
        <f t="shared" ca="1" si="2"/>
        <v>45442</v>
      </c>
      <c r="B189">
        <v>3</v>
      </c>
      <c r="C189">
        <v>1044</v>
      </c>
      <c r="D189">
        <v>11473.56</v>
      </c>
    </row>
    <row r="190" spans="1:4" x14ac:dyDescent="0.35">
      <c r="A190" s="32">
        <f t="shared" ca="1" si="2"/>
        <v>45466</v>
      </c>
      <c r="B190">
        <v>3</v>
      </c>
      <c r="C190">
        <v>179</v>
      </c>
      <c r="D190">
        <v>1967.21</v>
      </c>
    </row>
    <row r="191" spans="1:4" x14ac:dyDescent="0.35">
      <c r="A191" s="32">
        <f t="shared" ca="1" si="2"/>
        <v>45458</v>
      </c>
      <c r="B191">
        <v>10</v>
      </c>
      <c r="C191">
        <v>35</v>
      </c>
      <c r="D191">
        <v>384.65000000000003</v>
      </c>
    </row>
    <row r="192" spans="1:4" x14ac:dyDescent="0.35">
      <c r="A192" s="32">
        <f t="shared" ca="1" si="2"/>
        <v>45355</v>
      </c>
      <c r="B192">
        <v>9</v>
      </c>
      <c r="C192">
        <v>51</v>
      </c>
      <c r="D192">
        <v>611.49</v>
      </c>
    </row>
    <row r="193" spans="1:4" x14ac:dyDescent="0.35">
      <c r="A193" s="32">
        <f t="shared" ca="1" si="2"/>
        <v>45463</v>
      </c>
      <c r="B193">
        <v>6</v>
      </c>
      <c r="C193">
        <v>20</v>
      </c>
      <c r="D193">
        <v>299.8</v>
      </c>
    </row>
    <row r="194" spans="1:4" x14ac:dyDescent="0.35">
      <c r="A194" s="32">
        <f t="shared" ca="1" si="2"/>
        <v>45357</v>
      </c>
      <c r="B194">
        <v>3</v>
      </c>
      <c r="C194">
        <v>102</v>
      </c>
      <c r="D194">
        <v>709.92</v>
      </c>
    </row>
    <row r="195" spans="1:4" x14ac:dyDescent="0.35">
      <c r="A195" s="32">
        <f t="shared" ref="A195:A258" ca="1" si="3">RANDBETWEEN(DATE(2024,1,1),(DATE(2024,6,30)))</f>
        <v>45340</v>
      </c>
      <c r="B195">
        <v>2</v>
      </c>
      <c r="C195">
        <v>75</v>
      </c>
      <c r="D195">
        <v>2024.2499999999998</v>
      </c>
    </row>
    <row r="196" spans="1:4" x14ac:dyDescent="0.35">
      <c r="A196" s="32">
        <f t="shared" ca="1" si="3"/>
        <v>45417</v>
      </c>
      <c r="B196">
        <v>5</v>
      </c>
      <c r="C196">
        <v>594</v>
      </c>
      <c r="D196">
        <v>7692.2999999999993</v>
      </c>
    </row>
    <row r="197" spans="1:4" x14ac:dyDescent="0.35">
      <c r="A197" s="32">
        <f t="shared" ca="1" si="3"/>
        <v>45337</v>
      </c>
      <c r="B197">
        <v>95</v>
      </c>
      <c r="C197">
        <v>10</v>
      </c>
      <c r="D197">
        <v>319.5</v>
      </c>
    </row>
    <row r="198" spans="1:4" x14ac:dyDescent="0.35">
      <c r="A198" s="32">
        <f t="shared" ca="1" si="3"/>
        <v>45407</v>
      </c>
      <c r="B198">
        <v>6</v>
      </c>
      <c r="C198">
        <v>147</v>
      </c>
      <c r="D198">
        <v>2499</v>
      </c>
    </row>
    <row r="199" spans="1:4" x14ac:dyDescent="0.35">
      <c r="A199" s="32">
        <f t="shared" ca="1" si="3"/>
        <v>45294</v>
      </c>
      <c r="B199">
        <v>3</v>
      </c>
      <c r="C199">
        <v>293</v>
      </c>
      <c r="D199">
        <v>22604.95</v>
      </c>
    </row>
    <row r="200" spans="1:4" x14ac:dyDescent="0.35">
      <c r="A200" s="32">
        <f t="shared" ca="1" si="3"/>
        <v>45411</v>
      </c>
      <c r="B200">
        <v>10</v>
      </c>
      <c r="C200">
        <v>17</v>
      </c>
      <c r="D200">
        <v>221</v>
      </c>
    </row>
    <row r="201" spans="1:4" x14ac:dyDescent="0.35">
      <c r="A201" s="32">
        <f t="shared" ca="1" si="3"/>
        <v>45356</v>
      </c>
      <c r="B201">
        <v>7</v>
      </c>
      <c r="C201">
        <v>4</v>
      </c>
      <c r="D201">
        <v>123.8</v>
      </c>
    </row>
    <row r="202" spans="1:4" x14ac:dyDescent="0.35">
      <c r="A202" s="32">
        <f t="shared" ca="1" si="3"/>
        <v>45344</v>
      </c>
      <c r="B202">
        <v>0</v>
      </c>
      <c r="C202">
        <v>103</v>
      </c>
      <c r="D202">
        <v>3294.97</v>
      </c>
    </row>
    <row r="203" spans="1:4" x14ac:dyDescent="0.35">
      <c r="A203" s="32">
        <f t="shared" ca="1" si="3"/>
        <v>45469</v>
      </c>
      <c r="B203">
        <v>5</v>
      </c>
      <c r="C203">
        <v>655</v>
      </c>
      <c r="D203">
        <v>10473.450000000001</v>
      </c>
    </row>
    <row r="204" spans="1:4" x14ac:dyDescent="0.35">
      <c r="A204" s="32">
        <f t="shared" ca="1" si="3"/>
        <v>45451</v>
      </c>
      <c r="B204">
        <v>4</v>
      </c>
      <c r="C204">
        <v>5</v>
      </c>
      <c r="D204">
        <v>164.45</v>
      </c>
    </row>
    <row r="205" spans="1:4" x14ac:dyDescent="0.35">
      <c r="A205" s="32">
        <f t="shared" ca="1" si="3"/>
        <v>45415</v>
      </c>
      <c r="B205">
        <v>6</v>
      </c>
      <c r="C205">
        <v>460</v>
      </c>
      <c r="D205">
        <v>7976.4</v>
      </c>
    </row>
    <row r="206" spans="1:4" x14ac:dyDescent="0.35">
      <c r="A206" s="32">
        <f t="shared" ca="1" si="3"/>
        <v>45457</v>
      </c>
      <c r="B206">
        <v>10</v>
      </c>
      <c r="C206">
        <v>4</v>
      </c>
      <c r="D206">
        <v>236</v>
      </c>
    </row>
    <row r="207" spans="1:4" x14ac:dyDescent="0.35">
      <c r="A207" s="32">
        <f t="shared" ca="1" si="3"/>
        <v>45369</v>
      </c>
      <c r="B207">
        <v>0</v>
      </c>
      <c r="C207">
        <v>40</v>
      </c>
      <c r="D207">
        <v>1599.6000000000001</v>
      </c>
    </row>
    <row r="208" spans="1:4" x14ac:dyDescent="0.35">
      <c r="A208" s="32">
        <f t="shared" ca="1" si="3"/>
        <v>45309</v>
      </c>
      <c r="B208">
        <v>10</v>
      </c>
      <c r="C208">
        <v>37</v>
      </c>
      <c r="D208">
        <v>3404</v>
      </c>
    </row>
    <row r="209" spans="1:4" x14ac:dyDescent="0.35">
      <c r="A209" s="32">
        <f t="shared" ca="1" si="3"/>
        <v>45451</v>
      </c>
      <c r="B209">
        <v>4</v>
      </c>
      <c r="C209">
        <v>174</v>
      </c>
      <c r="D209">
        <v>7271.46</v>
      </c>
    </row>
    <row r="210" spans="1:4" x14ac:dyDescent="0.35">
      <c r="A210" s="32">
        <f t="shared" ca="1" si="3"/>
        <v>45327</v>
      </c>
      <c r="B210">
        <v>10</v>
      </c>
      <c r="C210">
        <v>63</v>
      </c>
      <c r="D210">
        <v>917.91</v>
      </c>
    </row>
    <row r="211" spans="1:4" x14ac:dyDescent="0.35">
      <c r="A211" s="32">
        <f t="shared" ca="1" si="3"/>
        <v>45310</v>
      </c>
      <c r="B211">
        <v>10</v>
      </c>
      <c r="C211">
        <v>47</v>
      </c>
      <c r="D211">
        <v>2439.77</v>
      </c>
    </row>
    <row r="212" spans="1:4" x14ac:dyDescent="0.35">
      <c r="A212" s="32">
        <f t="shared" ca="1" si="3"/>
        <v>45455</v>
      </c>
      <c r="B212">
        <v>5</v>
      </c>
      <c r="C212">
        <v>129</v>
      </c>
      <c r="D212">
        <v>5803.71</v>
      </c>
    </row>
    <row r="213" spans="1:4" x14ac:dyDescent="0.35">
      <c r="A213" s="32">
        <f t="shared" ca="1" si="3"/>
        <v>45380</v>
      </c>
      <c r="B213">
        <v>7</v>
      </c>
      <c r="C213">
        <v>38</v>
      </c>
      <c r="D213">
        <v>1595.6200000000001</v>
      </c>
    </row>
    <row r="214" spans="1:4" x14ac:dyDescent="0.35">
      <c r="A214" s="32">
        <f t="shared" ca="1" si="3"/>
        <v>45297</v>
      </c>
      <c r="B214">
        <v>3</v>
      </c>
      <c r="C214">
        <v>151</v>
      </c>
      <c r="D214">
        <v>18868.96</v>
      </c>
    </row>
    <row r="215" spans="1:4" x14ac:dyDescent="0.35">
      <c r="A215" s="32">
        <f t="shared" ca="1" si="3"/>
        <v>45465</v>
      </c>
      <c r="B215">
        <v>13</v>
      </c>
      <c r="C215">
        <v>5</v>
      </c>
      <c r="D215">
        <v>135</v>
      </c>
    </row>
    <row r="216" spans="1:4" x14ac:dyDescent="0.35">
      <c r="A216" s="32">
        <f t="shared" ca="1" si="3"/>
        <v>45472</v>
      </c>
      <c r="B216">
        <v>3</v>
      </c>
      <c r="C216">
        <v>3</v>
      </c>
      <c r="D216">
        <v>77.97</v>
      </c>
    </row>
    <row r="217" spans="1:4" x14ac:dyDescent="0.35">
      <c r="A217" s="32">
        <f t="shared" ca="1" si="3"/>
        <v>45390</v>
      </c>
      <c r="B217">
        <v>7</v>
      </c>
      <c r="C217">
        <v>496</v>
      </c>
      <c r="D217">
        <v>29755.040000000001</v>
      </c>
    </row>
    <row r="218" spans="1:4" x14ac:dyDescent="0.35">
      <c r="A218" s="32">
        <f t="shared" ca="1" si="3"/>
        <v>45296</v>
      </c>
      <c r="B218">
        <v>0</v>
      </c>
      <c r="C218">
        <v>196</v>
      </c>
      <c r="D218">
        <v>3134.04</v>
      </c>
    </row>
    <row r="219" spans="1:4" x14ac:dyDescent="0.35">
      <c r="A219" s="32">
        <f t="shared" ca="1" si="3"/>
        <v>45333</v>
      </c>
      <c r="B219">
        <v>0</v>
      </c>
      <c r="C219">
        <v>14</v>
      </c>
      <c r="D219">
        <v>377.85999999999996</v>
      </c>
    </row>
    <row r="220" spans="1:4" x14ac:dyDescent="0.35">
      <c r="A220" s="32">
        <f t="shared" ca="1" si="3"/>
        <v>45338</v>
      </c>
      <c r="B220">
        <v>13</v>
      </c>
      <c r="C220">
        <v>10</v>
      </c>
      <c r="D220">
        <v>640.19999999999993</v>
      </c>
    </row>
    <row r="221" spans="1:4" x14ac:dyDescent="0.35">
      <c r="A221" s="32">
        <f t="shared" ca="1" si="3"/>
        <v>45473</v>
      </c>
      <c r="B221">
        <v>10</v>
      </c>
      <c r="C221">
        <v>10</v>
      </c>
      <c r="D221">
        <v>399.90000000000003</v>
      </c>
    </row>
    <row r="222" spans="1:4" x14ac:dyDescent="0.35">
      <c r="A222" s="32">
        <f t="shared" ca="1" si="3"/>
        <v>45473</v>
      </c>
      <c r="B222">
        <v>3</v>
      </c>
      <c r="C222">
        <v>24</v>
      </c>
      <c r="D222">
        <v>395.52</v>
      </c>
    </row>
    <row r="223" spans="1:4" x14ac:dyDescent="0.35">
      <c r="A223" s="32">
        <f t="shared" ca="1" si="3"/>
        <v>45447</v>
      </c>
      <c r="B223">
        <v>10</v>
      </c>
      <c r="C223">
        <v>2</v>
      </c>
      <c r="D223">
        <v>67.98</v>
      </c>
    </row>
    <row r="224" spans="1:4" x14ac:dyDescent="0.35">
      <c r="A224" s="32">
        <f t="shared" ca="1" si="3"/>
        <v>45320</v>
      </c>
      <c r="B224">
        <v>5</v>
      </c>
      <c r="C224">
        <v>68</v>
      </c>
      <c r="D224">
        <v>3399.32</v>
      </c>
    </row>
    <row r="225" spans="1:4" x14ac:dyDescent="0.35">
      <c r="A225" s="32">
        <f t="shared" ca="1" si="3"/>
        <v>45356</v>
      </c>
      <c r="B225">
        <v>6</v>
      </c>
      <c r="C225">
        <v>731</v>
      </c>
      <c r="D225">
        <v>20775.02</v>
      </c>
    </row>
    <row r="226" spans="1:4" x14ac:dyDescent="0.35">
      <c r="A226" s="32">
        <f t="shared" ca="1" si="3"/>
        <v>45473</v>
      </c>
      <c r="B226">
        <v>8</v>
      </c>
      <c r="C226">
        <v>37</v>
      </c>
      <c r="D226">
        <v>1552.15</v>
      </c>
    </row>
    <row r="227" spans="1:4" x14ac:dyDescent="0.35">
      <c r="A227" s="32">
        <f t="shared" ca="1" si="3"/>
        <v>45445</v>
      </c>
      <c r="B227">
        <v>2</v>
      </c>
      <c r="C227">
        <v>118</v>
      </c>
      <c r="D227">
        <v>7668.82</v>
      </c>
    </row>
    <row r="228" spans="1:4" x14ac:dyDescent="0.35">
      <c r="A228" s="32">
        <f t="shared" ca="1" si="3"/>
        <v>45438</v>
      </c>
      <c r="B228">
        <v>10</v>
      </c>
      <c r="C228">
        <v>26</v>
      </c>
      <c r="D228">
        <v>519.74</v>
      </c>
    </row>
    <row r="229" spans="1:4" x14ac:dyDescent="0.35">
      <c r="A229" s="32">
        <f t="shared" ca="1" si="3"/>
        <v>45303</v>
      </c>
      <c r="B229">
        <v>0</v>
      </c>
      <c r="C229">
        <v>39</v>
      </c>
      <c r="D229">
        <v>2339.61</v>
      </c>
    </row>
    <row r="230" spans="1:4" x14ac:dyDescent="0.35">
      <c r="A230" s="32">
        <f t="shared" ca="1" si="3"/>
        <v>45357</v>
      </c>
      <c r="B230">
        <v>2</v>
      </c>
      <c r="C230">
        <v>12</v>
      </c>
      <c r="D230">
        <v>180</v>
      </c>
    </row>
    <row r="231" spans="1:4" x14ac:dyDescent="0.35">
      <c r="A231" s="32">
        <f t="shared" ca="1" si="3"/>
        <v>45441</v>
      </c>
      <c r="B231">
        <v>10</v>
      </c>
      <c r="C231">
        <v>24</v>
      </c>
      <c r="D231">
        <v>1056</v>
      </c>
    </row>
    <row r="232" spans="1:4" x14ac:dyDescent="0.35">
      <c r="A232" s="32">
        <f t="shared" ca="1" si="3"/>
        <v>45472</v>
      </c>
      <c r="B232">
        <v>10</v>
      </c>
      <c r="C232">
        <v>16</v>
      </c>
      <c r="D232">
        <v>863.84</v>
      </c>
    </row>
    <row r="233" spans="1:4" x14ac:dyDescent="0.35">
      <c r="A233" s="32">
        <f t="shared" ca="1" si="3"/>
        <v>45452</v>
      </c>
      <c r="B233">
        <v>8</v>
      </c>
      <c r="C233">
        <v>30</v>
      </c>
      <c r="D233">
        <v>2999.7</v>
      </c>
    </row>
    <row r="234" spans="1:4" x14ac:dyDescent="0.35">
      <c r="A234" s="32">
        <f t="shared" ca="1" si="3"/>
        <v>45313</v>
      </c>
      <c r="B234">
        <v>6</v>
      </c>
      <c r="C234">
        <v>20</v>
      </c>
      <c r="D234">
        <v>759</v>
      </c>
    </row>
    <row r="235" spans="1:4" x14ac:dyDescent="0.35">
      <c r="A235" s="32">
        <f t="shared" ca="1" si="3"/>
        <v>45449</v>
      </c>
      <c r="B235">
        <v>3</v>
      </c>
      <c r="C235">
        <v>209</v>
      </c>
      <c r="D235">
        <v>5431.91</v>
      </c>
    </row>
    <row r="236" spans="1:4" x14ac:dyDescent="0.35">
      <c r="A236" s="32">
        <f t="shared" ca="1" si="3"/>
        <v>45448</v>
      </c>
      <c r="B236">
        <v>5</v>
      </c>
      <c r="C236">
        <v>16</v>
      </c>
      <c r="D236">
        <v>269.60000000000002</v>
      </c>
    </row>
    <row r="237" spans="1:4" x14ac:dyDescent="0.35">
      <c r="A237" s="32">
        <f t="shared" ca="1" si="3"/>
        <v>45462</v>
      </c>
      <c r="B237">
        <v>10</v>
      </c>
      <c r="C237">
        <v>644</v>
      </c>
      <c r="D237">
        <v>10471.44</v>
      </c>
    </row>
    <row r="238" spans="1:4" x14ac:dyDescent="0.35">
      <c r="A238" s="32">
        <f t="shared" ca="1" si="3"/>
        <v>45402</v>
      </c>
      <c r="B238">
        <v>0</v>
      </c>
      <c r="C238">
        <v>7</v>
      </c>
      <c r="D238">
        <v>293.65000000000003</v>
      </c>
    </row>
    <row r="239" spans="1:4" x14ac:dyDescent="0.35">
      <c r="A239" s="32">
        <f t="shared" ca="1" si="3"/>
        <v>45366</v>
      </c>
      <c r="B239">
        <v>2</v>
      </c>
      <c r="C239">
        <v>324</v>
      </c>
      <c r="D239">
        <v>5828.7599999999993</v>
      </c>
    </row>
    <row r="240" spans="1:4" x14ac:dyDescent="0.35">
      <c r="A240" s="32">
        <f t="shared" ca="1" si="3"/>
        <v>45473</v>
      </c>
      <c r="B240">
        <v>3</v>
      </c>
      <c r="C240">
        <v>32</v>
      </c>
      <c r="D240">
        <v>1376</v>
      </c>
    </row>
    <row r="241" spans="1:4" x14ac:dyDescent="0.35">
      <c r="A241" s="32">
        <f t="shared" ca="1" si="3"/>
        <v>45415</v>
      </c>
      <c r="B241">
        <v>0</v>
      </c>
      <c r="C241">
        <v>4</v>
      </c>
      <c r="D241">
        <v>133.96</v>
      </c>
    </row>
    <row r="242" spans="1:4" x14ac:dyDescent="0.35">
      <c r="A242" s="32">
        <f t="shared" ca="1" si="3"/>
        <v>45415</v>
      </c>
      <c r="B242">
        <v>84</v>
      </c>
      <c r="C242">
        <v>6</v>
      </c>
      <c r="D242">
        <v>169.14000000000001</v>
      </c>
    </row>
    <row r="243" spans="1:4" x14ac:dyDescent="0.35">
      <c r="A243" s="32">
        <f t="shared" ca="1" si="3"/>
        <v>45371</v>
      </c>
      <c r="B243">
        <v>10</v>
      </c>
      <c r="C243">
        <v>343</v>
      </c>
      <c r="D243">
        <v>15771.14</v>
      </c>
    </row>
    <row r="244" spans="1:4" x14ac:dyDescent="0.35">
      <c r="A244" s="32">
        <f t="shared" ca="1" si="3"/>
        <v>45350</v>
      </c>
      <c r="B244">
        <v>10</v>
      </c>
      <c r="C244">
        <v>6</v>
      </c>
      <c r="D244">
        <v>840</v>
      </c>
    </row>
    <row r="245" spans="1:4" x14ac:dyDescent="0.35">
      <c r="A245" s="32">
        <f t="shared" ca="1" si="3"/>
        <v>45429</v>
      </c>
      <c r="B245">
        <v>3</v>
      </c>
      <c r="C245">
        <v>27</v>
      </c>
      <c r="D245">
        <v>2106</v>
      </c>
    </row>
    <row r="246" spans="1:4" x14ac:dyDescent="0.35">
      <c r="A246" s="32">
        <f t="shared" ca="1" si="3"/>
        <v>45428</v>
      </c>
      <c r="B246">
        <v>10</v>
      </c>
      <c r="C246">
        <v>30</v>
      </c>
      <c r="D246">
        <v>5431.2</v>
      </c>
    </row>
    <row r="247" spans="1:4" x14ac:dyDescent="0.35">
      <c r="A247" s="32">
        <f t="shared" ca="1" si="3"/>
        <v>45381</v>
      </c>
      <c r="B247">
        <v>0</v>
      </c>
      <c r="C247">
        <v>22</v>
      </c>
      <c r="D247">
        <v>219.78</v>
      </c>
    </row>
    <row r="248" spans="1:4" x14ac:dyDescent="0.35">
      <c r="A248" s="32">
        <f t="shared" ca="1" si="3"/>
        <v>45365</v>
      </c>
      <c r="B248">
        <v>10</v>
      </c>
      <c r="C248">
        <v>131</v>
      </c>
      <c r="D248">
        <v>909.1400000000001</v>
      </c>
    </row>
    <row r="249" spans="1:4" x14ac:dyDescent="0.35">
      <c r="A249" s="32">
        <f t="shared" ca="1" si="3"/>
        <v>45447</v>
      </c>
      <c r="B249">
        <v>3</v>
      </c>
      <c r="C249">
        <v>8</v>
      </c>
      <c r="D249">
        <v>151.91999999999999</v>
      </c>
    </row>
    <row r="250" spans="1:4" x14ac:dyDescent="0.35">
      <c r="A250" s="32">
        <f t="shared" ca="1" si="3"/>
        <v>45378</v>
      </c>
      <c r="B250">
        <v>10</v>
      </c>
      <c r="C250">
        <v>5</v>
      </c>
      <c r="D250">
        <v>61</v>
      </c>
    </row>
    <row r="251" spans="1:4" x14ac:dyDescent="0.35">
      <c r="A251" s="32">
        <f t="shared" ca="1" si="3"/>
        <v>45298</v>
      </c>
      <c r="B251">
        <v>10</v>
      </c>
      <c r="C251">
        <v>677</v>
      </c>
      <c r="D251">
        <v>37912</v>
      </c>
    </row>
    <row r="252" spans="1:4" x14ac:dyDescent="0.35">
      <c r="A252" s="32">
        <f t="shared" ca="1" si="3"/>
        <v>45309</v>
      </c>
      <c r="B252">
        <v>3</v>
      </c>
      <c r="C252">
        <v>1</v>
      </c>
      <c r="D252">
        <v>55</v>
      </c>
    </row>
    <row r="253" spans="1:4" x14ac:dyDescent="0.35">
      <c r="A253" s="32">
        <f t="shared" ca="1" si="3"/>
        <v>45423</v>
      </c>
      <c r="B253">
        <v>3</v>
      </c>
      <c r="C253">
        <v>1</v>
      </c>
      <c r="D253">
        <v>31.29</v>
      </c>
    </row>
    <row r="254" spans="1:4" x14ac:dyDescent="0.35">
      <c r="A254" s="32">
        <f t="shared" ca="1" si="3"/>
        <v>45457</v>
      </c>
      <c r="B254">
        <v>6</v>
      </c>
      <c r="C254">
        <v>101</v>
      </c>
      <c r="D254">
        <v>4947.99</v>
      </c>
    </row>
    <row r="255" spans="1:4" x14ac:dyDescent="0.35">
      <c r="A255" s="32">
        <f t="shared" ca="1" si="3"/>
        <v>45389</v>
      </c>
      <c r="B255">
        <v>10</v>
      </c>
      <c r="C255">
        <v>7</v>
      </c>
      <c r="D255">
        <v>272.93</v>
      </c>
    </row>
    <row r="256" spans="1:4" x14ac:dyDescent="0.35">
      <c r="A256" s="32">
        <f t="shared" ca="1" si="3"/>
        <v>45339</v>
      </c>
      <c r="B256">
        <v>3</v>
      </c>
      <c r="C256">
        <v>57</v>
      </c>
      <c r="D256">
        <v>1653</v>
      </c>
    </row>
    <row r="257" spans="1:4" x14ac:dyDescent="0.35">
      <c r="A257" s="32">
        <f t="shared" ca="1" si="3"/>
        <v>45430</v>
      </c>
      <c r="B257">
        <v>3</v>
      </c>
      <c r="C257">
        <v>292</v>
      </c>
      <c r="D257">
        <v>18944.96</v>
      </c>
    </row>
    <row r="258" spans="1:4" x14ac:dyDescent="0.35">
      <c r="A258" s="32">
        <f t="shared" ca="1" si="3"/>
        <v>45350</v>
      </c>
      <c r="B258">
        <v>10</v>
      </c>
      <c r="C258">
        <v>23</v>
      </c>
      <c r="D258">
        <v>666.77</v>
      </c>
    </row>
    <row r="259" spans="1:4" x14ac:dyDescent="0.35">
      <c r="A259" s="32">
        <f t="shared" ref="A259:A322" ca="1" si="4">RANDBETWEEN(DATE(2024,1,1),(DATE(2024,6,30)))</f>
        <v>45436</v>
      </c>
      <c r="B259">
        <v>9</v>
      </c>
      <c r="C259">
        <v>4</v>
      </c>
      <c r="D259">
        <v>169.56</v>
      </c>
    </row>
    <row r="260" spans="1:4" x14ac:dyDescent="0.35">
      <c r="A260" s="32">
        <f t="shared" ca="1" si="4"/>
        <v>45380</v>
      </c>
      <c r="B260">
        <v>0</v>
      </c>
      <c r="C260">
        <v>17</v>
      </c>
      <c r="D260">
        <v>163.37</v>
      </c>
    </row>
    <row r="261" spans="1:4" x14ac:dyDescent="0.35">
      <c r="A261" s="32">
        <f t="shared" ca="1" si="4"/>
        <v>45325</v>
      </c>
      <c r="B261">
        <v>8</v>
      </c>
      <c r="C261">
        <v>66</v>
      </c>
      <c r="D261">
        <v>1186.68</v>
      </c>
    </row>
    <row r="262" spans="1:4" x14ac:dyDescent="0.35">
      <c r="A262" s="32">
        <f t="shared" ca="1" si="4"/>
        <v>45336</v>
      </c>
      <c r="B262">
        <v>45</v>
      </c>
      <c r="C262">
        <v>227</v>
      </c>
      <c r="D262">
        <v>4258.5200000000004</v>
      </c>
    </row>
    <row r="263" spans="1:4" x14ac:dyDescent="0.35">
      <c r="A263" s="32">
        <f t="shared" ca="1" si="4"/>
        <v>45333</v>
      </c>
      <c r="B263">
        <v>10</v>
      </c>
      <c r="C263">
        <v>8</v>
      </c>
      <c r="D263">
        <v>390.96</v>
      </c>
    </row>
    <row r="264" spans="1:4" x14ac:dyDescent="0.35">
      <c r="A264" s="32">
        <f t="shared" ca="1" si="4"/>
        <v>45405</v>
      </c>
      <c r="B264">
        <v>113</v>
      </c>
      <c r="C264">
        <v>453</v>
      </c>
      <c r="D264">
        <v>15112.08</v>
      </c>
    </row>
    <row r="265" spans="1:4" x14ac:dyDescent="0.35">
      <c r="A265" s="32">
        <f t="shared" ca="1" si="4"/>
        <v>45375</v>
      </c>
      <c r="B265">
        <v>0</v>
      </c>
      <c r="C265">
        <v>120</v>
      </c>
      <c r="D265">
        <v>4434</v>
      </c>
    </row>
    <row r="266" spans="1:4" x14ac:dyDescent="0.35">
      <c r="A266" s="32">
        <f t="shared" ca="1" si="4"/>
        <v>45296</v>
      </c>
      <c r="B266">
        <v>21</v>
      </c>
      <c r="C266">
        <v>15</v>
      </c>
      <c r="D266">
        <v>299.54999999999995</v>
      </c>
    </row>
    <row r="267" spans="1:4" x14ac:dyDescent="0.35">
      <c r="A267" s="32">
        <f t="shared" ca="1" si="4"/>
        <v>45349</v>
      </c>
      <c r="B267">
        <v>0</v>
      </c>
      <c r="C267">
        <v>1034</v>
      </c>
      <c r="D267">
        <v>19604.64</v>
      </c>
    </row>
    <row r="268" spans="1:4" x14ac:dyDescent="0.35">
      <c r="A268" s="32">
        <f t="shared" ca="1" si="4"/>
        <v>45360</v>
      </c>
      <c r="B268">
        <v>3</v>
      </c>
      <c r="C268">
        <v>145</v>
      </c>
      <c r="D268">
        <v>6008.7999999999993</v>
      </c>
    </row>
    <row r="269" spans="1:4" x14ac:dyDescent="0.35">
      <c r="A269" s="32">
        <f t="shared" ca="1" si="4"/>
        <v>45419</v>
      </c>
      <c r="B269">
        <v>4</v>
      </c>
      <c r="C269">
        <v>38</v>
      </c>
      <c r="D269">
        <v>417.62</v>
      </c>
    </row>
    <row r="270" spans="1:4" x14ac:dyDescent="0.35">
      <c r="A270" s="32">
        <f t="shared" ca="1" si="4"/>
        <v>45457</v>
      </c>
      <c r="B270">
        <v>0</v>
      </c>
      <c r="C270">
        <v>29</v>
      </c>
      <c r="D270">
        <v>2668</v>
      </c>
    </row>
    <row r="271" spans="1:4" x14ac:dyDescent="0.35">
      <c r="A271" s="32">
        <f t="shared" ca="1" si="4"/>
        <v>45349</v>
      </c>
      <c r="B271">
        <v>2</v>
      </c>
      <c r="C271">
        <v>2</v>
      </c>
      <c r="D271">
        <v>45</v>
      </c>
    </row>
    <row r="272" spans="1:4" x14ac:dyDescent="0.35">
      <c r="A272" s="32">
        <f t="shared" ca="1" si="4"/>
        <v>45431</v>
      </c>
      <c r="B272">
        <v>0</v>
      </c>
      <c r="C272">
        <v>3</v>
      </c>
      <c r="D272">
        <v>215.96999999999997</v>
      </c>
    </row>
    <row r="273" spans="1:4" x14ac:dyDescent="0.35">
      <c r="A273" s="32">
        <f t="shared" ca="1" si="4"/>
        <v>45437</v>
      </c>
      <c r="B273">
        <v>10</v>
      </c>
      <c r="C273">
        <v>22</v>
      </c>
      <c r="D273">
        <v>1297.78</v>
      </c>
    </row>
    <row r="274" spans="1:4" x14ac:dyDescent="0.35">
      <c r="A274" s="32">
        <f t="shared" ca="1" si="4"/>
        <v>45322</v>
      </c>
      <c r="B274">
        <v>10</v>
      </c>
      <c r="C274">
        <v>5</v>
      </c>
      <c r="D274">
        <v>899.95</v>
      </c>
    </row>
    <row r="275" spans="1:4" x14ac:dyDescent="0.35">
      <c r="A275" s="32">
        <f t="shared" ca="1" si="4"/>
        <v>45384</v>
      </c>
      <c r="B275">
        <v>10</v>
      </c>
      <c r="C275">
        <v>12</v>
      </c>
      <c r="D275">
        <v>217.32</v>
      </c>
    </row>
    <row r="276" spans="1:4" x14ac:dyDescent="0.35">
      <c r="A276" s="32">
        <f t="shared" ca="1" si="4"/>
        <v>45385</v>
      </c>
      <c r="B276">
        <v>10</v>
      </c>
      <c r="C276">
        <v>269</v>
      </c>
      <c r="D276">
        <v>2676.5499999999997</v>
      </c>
    </row>
    <row r="277" spans="1:4" x14ac:dyDescent="0.35">
      <c r="A277" s="32">
        <f t="shared" ca="1" si="4"/>
        <v>45358</v>
      </c>
      <c r="B277">
        <v>10</v>
      </c>
      <c r="C277">
        <v>4443</v>
      </c>
      <c r="D277">
        <v>68910.929999999993</v>
      </c>
    </row>
    <row r="278" spans="1:4" x14ac:dyDescent="0.35">
      <c r="A278" s="32">
        <f t="shared" ca="1" si="4"/>
        <v>45454</v>
      </c>
      <c r="B278">
        <v>0</v>
      </c>
      <c r="C278">
        <v>6</v>
      </c>
      <c r="D278">
        <v>660</v>
      </c>
    </row>
    <row r="279" spans="1:4" x14ac:dyDescent="0.35">
      <c r="A279" s="32">
        <f t="shared" ca="1" si="4"/>
        <v>45339</v>
      </c>
      <c r="B279">
        <v>3</v>
      </c>
      <c r="C279">
        <v>52</v>
      </c>
      <c r="D279">
        <v>2079.48</v>
      </c>
    </row>
    <row r="280" spans="1:4" x14ac:dyDescent="0.35">
      <c r="A280" s="32">
        <f t="shared" ca="1" si="4"/>
        <v>45318</v>
      </c>
      <c r="B280">
        <v>0</v>
      </c>
      <c r="C280">
        <v>2774</v>
      </c>
      <c r="D280">
        <v>235041.02000000002</v>
      </c>
    </row>
    <row r="281" spans="1:4" x14ac:dyDescent="0.35">
      <c r="A281" s="32">
        <f t="shared" ca="1" si="4"/>
        <v>45349</v>
      </c>
      <c r="B281">
        <v>8</v>
      </c>
      <c r="C281">
        <v>13</v>
      </c>
      <c r="D281">
        <v>1039.8699999999999</v>
      </c>
    </row>
    <row r="282" spans="1:4" x14ac:dyDescent="0.35">
      <c r="A282" s="32">
        <f t="shared" ca="1" si="4"/>
        <v>45325</v>
      </c>
      <c r="B282">
        <v>0</v>
      </c>
      <c r="C282">
        <v>674</v>
      </c>
      <c r="D282">
        <v>12698.16</v>
      </c>
    </row>
    <row r="283" spans="1:4" x14ac:dyDescent="0.35">
      <c r="A283" s="32">
        <f t="shared" ca="1" si="4"/>
        <v>45389</v>
      </c>
      <c r="B283">
        <v>3</v>
      </c>
      <c r="C283">
        <v>60</v>
      </c>
      <c r="D283">
        <v>2220</v>
      </c>
    </row>
    <row r="284" spans="1:4" x14ac:dyDescent="0.35">
      <c r="A284" s="32">
        <f t="shared" ca="1" si="4"/>
        <v>45300</v>
      </c>
      <c r="B284">
        <v>0</v>
      </c>
      <c r="C284">
        <v>37</v>
      </c>
      <c r="D284">
        <v>1701.63</v>
      </c>
    </row>
    <row r="285" spans="1:4" x14ac:dyDescent="0.35">
      <c r="A285" s="32">
        <f t="shared" ca="1" si="4"/>
        <v>45462</v>
      </c>
      <c r="B285">
        <v>6</v>
      </c>
      <c r="C285">
        <v>14</v>
      </c>
      <c r="D285">
        <v>839.86</v>
      </c>
    </row>
    <row r="286" spans="1:4" x14ac:dyDescent="0.35">
      <c r="A286" s="32">
        <f t="shared" ca="1" si="4"/>
        <v>45473</v>
      </c>
      <c r="B286">
        <v>0</v>
      </c>
      <c r="C286">
        <v>386</v>
      </c>
      <c r="D286">
        <v>62111.26</v>
      </c>
    </row>
    <row r="287" spans="1:4" x14ac:dyDescent="0.35">
      <c r="A287" s="32">
        <f t="shared" ca="1" si="4"/>
        <v>45400</v>
      </c>
      <c r="B287">
        <v>4</v>
      </c>
      <c r="C287">
        <v>42</v>
      </c>
      <c r="D287">
        <v>3569.1600000000003</v>
      </c>
    </row>
    <row r="288" spans="1:4" x14ac:dyDescent="0.35">
      <c r="A288" s="32">
        <f t="shared" ca="1" si="4"/>
        <v>45437</v>
      </c>
      <c r="B288">
        <v>96</v>
      </c>
      <c r="C288">
        <v>5032</v>
      </c>
      <c r="D288">
        <v>165502.48000000001</v>
      </c>
    </row>
    <row r="289" spans="1:4" x14ac:dyDescent="0.35">
      <c r="A289" s="32">
        <f t="shared" ca="1" si="4"/>
        <v>45376</v>
      </c>
      <c r="B289">
        <v>10</v>
      </c>
      <c r="C289">
        <v>55</v>
      </c>
      <c r="D289">
        <v>1422.3</v>
      </c>
    </row>
    <row r="290" spans="1:4" x14ac:dyDescent="0.35">
      <c r="A290" s="32">
        <f t="shared" ca="1" si="4"/>
        <v>45451</v>
      </c>
      <c r="B290">
        <v>8</v>
      </c>
      <c r="C290">
        <v>127</v>
      </c>
      <c r="D290">
        <v>2146.2999999999997</v>
      </c>
    </row>
    <row r="291" spans="1:4" x14ac:dyDescent="0.35">
      <c r="A291" s="32">
        <f t="shared" ca="1" si="4"/>
        <v>45432</v>
      </c>
      <c r="B291">
        <v>10</v>
      </c>
      <c r="C291">
        <v>15</v>
      </c>
      <c r="D291">
        <v>398.25</v>
      </c>
    </row>
    <row r="292" spans="1:4" x14ac:dyDescent="0.35">
      <c r="A292" s="32">
        <f t="shared" ca="1" si="4"/>
        <v>45387</v>
      </c>
      <c r="B292">
        <v>0</v>
      </c>
      <c r="C292">
        <v>40</v>
      </c>
      <c r="D292">
        <v>1559.6000000000001</v>
      </c>
    </row>
    <row r="293" spans="1:4" x14ac:dyDescent="0.35">
      <c r="A293" s="32">
        <f t="shared" ca="1" si="4"/>
        <v>45401</v>
      </c>
      <c r="B293">
        <v>124</v>
      </c>
      <c r="C293">
        <v>916</v>
      </c>
      <c r="D293">
        <v>45790.840000000004</v>
      </c>
    </row>
    <row r="294" spans="1:4" x14ac:dyDescent="0.35">
      <c r="A294" s="32">
        <f t="shared" ca="1" si="4"/>
        <v>45350</v>
      </c>
      <c r="B294">
        <v>5</v>
      </c>
      <c r="C294">
        <v>16</v>
      </c>
      <c r="D294">
        <v>495.2</v>
      </c>
    </row>
    <row r="295" spans="1:4" x14ac:dyDescent="0.35">
      <c r="A295" s="32">
        <f t="shared" ca="1" si="4"/>
        <v>45435</v>
      </c>
      <c r="B295">
        <v>10</v>
      </c>
      <c r="C295">
        <v>9</v>
      </c>
      <c r="D295">
        <v>359.91</v>
      </c>
    </row>
    <row r="296" spans="1:4" x14ac:dyDescent="0.35">
      <c r="A296" s="32">
        <f t="shared" ca="1" si="4"/>
        <v>45359</v>
      </c>
      <c r="B296">
        <v>10</v>
      </c>
      <c r="C296">
        <v>16</v>
      </c>
      <c r="D296">
        <v>767.84</v>
      </c>
    </row>
    <row r="297" spans="1:4" x14ac:dyDescent="0.35">
      <c r="A297" s="32">
        <f t="shared" ca="1" si="4"/>
        <v>45358</v>
      </c>
      <c r="B297">
        <v>31</v>
      </c>
      <c r="C297">
        <v>210</v>
      </c>
      <c r="D297">
        <v>3801.0000000000005</v>
      </c>
    </row>
    <row r="298" spans="1:4" x14ac:dyDescent="0.35">
      <c r="A298" s="32">
        <f t="shared" ca="1" si="4"/>
        <v>45466</v>
      </c>
      <c r="B298">
        <v>3</v>
      </c>
      <c r="C298">
        <v>457</v>
      </c>
      <c r="D298">
        <v>15990.43</v>
      </c>
    </row>
    <row r="299" spans="1:4" x14ac:dyDescent="0.35">
      <c r="A299" s="32">
        <f t="shared" ca="1" si="4"/>
        <v>45360</v>
      </c>
      <c r="B299">
        <v>3</v>
      </c>
      <c r="C299">
        <v>1047</v>
      </c>
      <c r="D299">
        <v>28122.42</v>
      </c>
    </row>
    <row r="300" spans="1:4" x14ac:dyDescent="0.35">
      <c r="A300" s="32">
        <f t="shared" ca="1" si="4"/>
        <v>45449</v>
      </c>
      <c r="B300">
        <v>7</v>
      </c>
      <c r="C300">
        <v>2777</v>
      </c>
      <c r="D300">
        <v>43460.05</v>
      </c>
    </row>
    <row r="301" spans="1:4" x14ac:dyDescent="0.35">
      <c r="A301" s="32">
        <f t="shared" ca="1" si="4"/>
        <v>45342</v>
      </c>
      <c r="B301">
        <v>0</v>
      </c>
      <c r="C301">
        <v>24</v>
      </c>
      <c r="D301">
        <v>676.8</v>
      </c>
    </row>
    <row r="302" spans="1:4" x14ac:dyDescent="0.35">
      <c r="A302" s="32">
        <f t="shared" ca="1" si="4"/>
        <v>45467</v>
      </c>
      <c r="B302">
        <v>10</v>
      </c>
      <c r="C302">
        <v>7253</v>
      </c>
      <c r="D302">
        <v>143246.75</v>
      </c>
    </row>
    <row r="303" spans="1:4" x14ac:dyDescent="0.35">
      <c r="A303" s="32">
        <f t="shared" ca="1" si="4"/>
        <v>45335</v>
      </c>
      <c r="B303">
        <v>3</v>
      </c>
      <c r="C303">
        <v>1337</v>
      </c>
      <c r="D303">
        <v>36139.11</v>
      </c>
    </row>
    <row r="304" spans="1:4" x14ac:dyDescent="0.35">
      <c r="A304" s="32">
        <f t="shared" ca="1" si="4"/>
        <v>45424</v>
      </c>
      <c r="B304">
        <v>10</v>
      </c>
      <c r="C304">
        <v>43</v>
      </c>
      <c r="D304">
        <v>3439.5699999999997</v>
      </c>
    </row>
    <row r="305" spans="1:4" x14ac:dyDescent="0.35">
      <c r="A305" s="32">
        <f t="shared" ca="1" si="4"/>
        <v>45463</v>
      </c>
      <c r="B305">
        <v>7</v>
      </c>
      <c r="C305">
        <v>14</v>
      </c>
      <c r="D305">
        <v>3359.86</v>
      </c>
    </row>
    <row r="306" spans="1:4" x14ac:dyDescent="0.35">
      <c r="A306" s="32">
        <f t="shared" ca="1" si="4"/>
        <v>45417</v>
      </c>
      <c r="B306">
        <v>10</v>
      </c>
      <c r="C306">
        <v>424</v>
      </c>
      <c r="D306">
        <v>11435.279999999999</v>
      </c>
    </row>
    <row r="307" spans="1:4" x14ac:dyDescent="0.35">
      <c r="A307" s="32">
        <f t="shared" ca="1" si="4"/>
        <v>45356</v>
      </c>
      <c r="B307">
        <v>10</v>
      </c>
      <c r="C307">
        <v>178</v>
      </c>
      <c r="D307">
        <v>7111.1</v>
      </c>
    </row>
    <row r="308" spans="1:4" x14ac:dyDescent="0.35">
      <c r="A308" s="32">
        <f t="shared" ca="1" si="4"/>
        <v>45387</v>
      </c>
      <c r="B308">
        <v>3</v>
      </c>
      <c r="C308">
        <v>8453</v>
      </c>
      <c r="D308">
        <v>84360.94</v>
      </c>
    </row>
    <row r="309" spans="1:4" x14ac:dyDescent="0.35">
      <c r="A309" s="32">
        <f t="shared" ca="1" si="4"/>
        <v>45413</v>
      </c>
      <c r="B309">
        <v>620</v>
      </c>
      <c r="C309">
        <v>131</v>
      </c>
      <c r="D309">
        <v>4414.7000000000007</v>
      </c>
    </row>
    <row r="310" spans="1:4" x14ac:dyDescent="0.35">
      <c r="A310" s="32">
        <f t="shared" ca="1" si="4"/>
        <v>45447</v>
      </c>
      <c r="B310">
        <v>10</v>
      </c>
      <c r="C310">
        <v>86</v>
      </c>
      <c r="D310">
        <v>1891.1399999999999</v>
      </c>
    </row>
    <row r="311" spans="1:4" x14ac:dyDescent="0.35">
      <c r="A311" s="32">
        <f t="shared" ca="1" si="4"/>
        <v>45431</v>
      </c>
      <c r="B311">
        <v>0</v>
      </c>
      <c r="C311">
        <v>550</v>
      </c>
      <c r="D311">
        <v>31949.500000000004</v>
      </c>
    </row>
    <row r="312" spans="1:4" x14ac:dyDescent="0.35">
      <c r="A312" s="32">
        <f t="shared" ca="1" si="4"/>
        <v>45454</v>
      </c>
      <c r="B312">
        <v>8</v>
      </c>
      <c r="C312">
        <v>397</v>
      </c>
      <c r="D312">
        <v>10877.8</v>
      </c>
    </row>
    <row r="313" spans="1:4" x14ac:dyDescent="0.35">
      <c r="A313" s="32">
        <f t="shared" ca="1" si="4"/>
        <v>45391</v>
      </c>
      <c r="B313">
        <v>0</v>
      </c>
      <c r="C313">
        <v>1333</v>
      </c>
      <c r="D313">
        <v>95949.340000000011</v>
      </c>
    </row>
    <row r="314" spans="1:4" x14ac:dyDescent="0.35">
      <c r="A314" s="32">
        <f t="shared" ca="1" si="4"/>
        <v>45301</v>
      </c>
      <c r="B314">
        <v>10</v>
      </c>
      <c r="C314">
        <v>10</v>
      </c>
      <c r="D314">
        <v>281.90000000000003</v>
      </c>
    </row>
    <row r="315" spans="1:4" x14ac:dyDescent="0.35">
      <c r="A315" s="32">
        <f t="shared" ca="1" si="4"/>
        <v>45404</v>
      </c>
      <c r="B315">
        <v>10</v>
      </c>
      <c r="C315">
        <v>45</v>
      </c>
      <c r="D315">
        <v>2249.5500000000002</v>
      </c>
    </row>
    <row r="316" spans="1:4" x14ac:dyDescent="0.35">
      <c r="A316" s="32">
        <f t="shared" ca="1" si="4"/>
        <v>45368</v>
      </c>
      <c r="B316">
        <v>10</v>
      </c>
      <c r="C316">
        <v>9</v>
      </c>
      <c r="D316">
        <v>1160.9100000000001</v>
      </c>
    </row>
    <row r="317" spans="1:4" x14ac:dyDescent="0.35">
      <c r="A317" s="32">
        <f t="shared" ca="1" si="4"/>
        <v>45469</v>
      </c>
      <c r="B317">
        <v>0</v>
      </c>
      <c r="C317">
        <v>12</v>
      </c>
      <c r="D317">
        <v>275.88</v>
      </c>
    </row>
    <row r="318" spans="1:4" x14ac:dyDescent="0.35">
      <c r="A318" s="32">
        <f t="shared" ca="1" si="4"/>
        <v>45455</v>
      </c>
      <c r="B318">
        <v>10</v>
      </c>
      <c r="C318">
        <v>1995</v>
      </c>
      <c r="D318">
        <v>108727.5</v>
      </c>
    </row>
    <row r="319" spans="1:4" x14ac:dyDescent="0.35">
      <c r="A319" s="32">
        <f t="shared" ca="1" si="4"/>
        <v>45455</v>
      </c>
      <c r="B319">
        <v>5</v>
      </c>
      <c r="C319">
        <v>5</v>
      </c>
      <c r="D319">
        <v>248.15</v>
      </c>
    </row>
    <row r="320" spans="1:4" x14ac:dyDescent="0.35">
      <c r="A320" s="32">
        <f t="shared" ca="1" si="4"/>
        <v>45435</v>
      </c>
      <c r="B320">
        <v>4</v>
      </c>
      <c r="C320">
        <v>30</v>
      </c>
      <c r="D320">
        <v>4799.7000000000007</v>
      </c>
    </row>
    <row r="321" spans="1:4" x14ac:dyDescent="0.35">
      <c r="A321" s="32">
        <f t="shared" ca="1" si="4"/>
        <v>45413</v>
      </c>
      <c r="B321">
        <v>10</v>
      </c>
      <c r="C321">
        <v>11</v>
      </c>
      <c r="D321">
        <v>1419</v>
      </c>
    </row>
    <row r="322" spans="1:4" x14ac:dyDescent="0.35">
      <c r="A322" s="32">
        <f t="shared" ca="1" si="4"/>
        <v>45457</v>
      </c>
      <c r="B322">
        <v>10</v>
      </c>
      <c r="C322">
        <v>612</v>
      </c>
      <c r="D322">
        <v>23243.759999999998</v>
      </c>
    </row>
    <row r="323" spans="1:4" x14ac:dyDescent="0.35">
      <c r="A323" s="32">
        <f t="shared" ref="A323:A386" ca="1" si="5">RANDBETWEEN(DATE(2024,1,1),(DATE(2024,6,30)))</f>
        <v>45455</v>
      </c>
      <c r="B323">
        <v>10</v>
      </c>
      <c r="C323">
        <v>6</v>
      </c>
      <c r="D323">
        <v>383.94</v>
      </c>
    </row>
    <row r="324" spans="1:4" x14ac:dyDescent="0.35">
      <c r="A324" s="32">
        <f t="shared" ca="1" si="5"/>
        <v>45328</v>
      </c>
      <c r="B324">
        <v>4</v>
      </c>
      <c r="C324">
        <v>8</v>
      </c>
      <c r="D324">
        <v>159.91999999999999</v>
      </c>
    </row>
    <row r="325" spans="1:4" x14ac:dyDescent="0.35">
      <c r="A325" s="32">
        <f t="shared" ca="1" si="5"/>
        <v>45419</v>
      </c>
      <c r="B325">
        <v>10</v>
      </c>
      <c r="C325">
        <v>18882</v>
      </c>
      <c r="D325">
        <v>125565.3</v>
      </c>
    </row>
    <row r="326" spans="1:4" x14ac:dyDescent="0.35">
      <c r="A326" s="32">
        <f t="shared" ca="1" si="5"/>
        <v>45344</v>
      </c>
      <c r="B326">
        <v>10</v>
      </c>
      <c r="C326">
        <v>2486</v>
      </c>
      <c r="D326">
        <v>52230.86</v>
      </c>
    </row>
    <row r="327" spans="1:4" x14ac:dyDescent="0.35">
      <c r="A327" s="32">
        <f t="shared" ca="1" si="5"/>
        <v>45463</v>
      </c>
      <c r="B327">
        <v>10</v>
      </c>
      <c r="C327">
        <v>889</v>
      </c>
      <c r="D327">
        <v>14215.11</v>
      </c>
    </row>
    <row r="328" spans="1:4" x14ac:dyDescent="0.35">
      <c r="A328" s="32">
        <f t="shared" ca="1" si="5"/>
        <v>45319</v>
      </c>
      <c r="B328">
        <v>10</v>
      </c>
      <c r="C328">
        <v>803</v>
      </c>
      <c r="D328">
        <v>5596.91</v>
      </c>
    </row>
    <row r="329" spans="1:4" x14ac:dyDescent="0.35">
      <c r="A329" s="32">
        <f t="shared" ca="1" si="5"/>
        <v>45398</v>
      </c>
      <c r="B329">
        <v>2</v>
      </c>
      <c r="C329">
        <v>3</v>
      </c>
      <c r="D329">
        <v>104.97</v>
      </c>
    </row>
    <row r="330" spans="1:4" x14ac:dyDescent="0.35">
      <c r="A330" s="32">
        <f t="shared" ca="1" si="5"/>
        <v>45331</v>
      </c>
      <c r="B330">
        <v>5</v>
      </c>
      <c r="C330">
        <v>290</v>
      </c>
      <c r="D330">
        <v>4057.1</v>
      </c>
    </row>
    <row r="331" spans="1:4" x14ac:dyDescent="0.35">
      <c r="A331" s="32">
        <f t="shared" ca="1" si="5"/>
        <v>45377</v>
      </c>
      <c r="B331">
        <v>10</v>
      </c>
      <c r="C331">
        <v>11</v>
      </c>
      <c r="D331">
        <v>131.89000000000001</v>
      </c>
    </row>
    <row r="332" spans="1:4" x14ac:dyDescent="0.35">
      <c r="A332" s="32">
        <f t="shared" ca="1" si="5"/>
        <v>45300</v>
      </c>
      <c r="B332">
        <v>4</v>
      </c>
      <c r="C332">
        <v>62</v>
      </c>
      <c r="D332">
        <v>991.38</v>
      </c>
    </row>
    <row r="333" spans="1:4" x14ac:dyDescent="0.35">
      <c r="A333" s="32">
        <f t="shared" ca="1" si="5"/>
        <v>45386</v>
      </c>
      <c r="B333">
        <v>0</v>
      </c>
      <c r="C333">
        <v>10</v>
      </c>
      <c r="D333">
        <v>129.9</v>
      </c>
    </row>
    <row r="334" spans="1:4" x14ac:dyDescent="0.35">
      <c r="A334" s="32">
        <f t="shared" ca="1" si="5"/>
        <v>45420</v>
      </c>
      <c r="B334">
        <v>3</v>
      </c>
      <c r="C334">
        <v>149</v>
      </c>
      <c r="D334">
        <v>1084.72</v>
      </c>
    </row>
    <row r="335" spans="1:4" x14ac:dyDescent="0.35">
      <c r="A335" s="32">
        <f t="shared" ca="1" si="5"/>
        <v>45406</v>
      </c>
      <c r="B335">
        <v>0</v>
      </c>
      <c r="C335">
        <v>3942</v>
      </c>
      <c r="D335">
        <v>60706.8</v>
      </c>
    </row>
    <row r="336" spans="1:4" x14ac:dyDescent="0.35">
      <c r="A336" s="32">
        <f t="shared" ca="1" si="5"/>
        <v>45411</v>
      </c>
      <c r="B336">
        <v>62</v>
      </c>
      <c r="C336">
        <v>432</v>
      </c>
      <c r="D336">
        <v>25526.880000000001</v>
      </c>
    </row>
    <row r="337" spans="1:4" x14ac:dyDescent="0.35">
      <c r="A337" s="32">
        <f t="shared" ca="1" si="5"/>
        <v>45386</v>
      </c>
      <c r="B337">
        <v>12</v>
      </c>
      <c r="C337">
        <v>4</v>
      </c>
      <c r="D337">
        <v>97.72</v>
      </c>
    </row>
    <row r="338" spans="1:4" x14ac:dyDescent="0.35">
      <c r="A338" s="32">
        <f t="shared" ca="1" si="5"/>
        <v>45437</v>
      </c>
      <c r="B338">
        <v>10</v>
      </c>
      <c r="C338">
        <v>15</v>
      </c>
      <c r="D338">
        <v>704.85</v>
      </c>
    </row>
    <row r="339" spans="1:4" x14ac:dyDescent="0.35">
      <c r="A339" s="32">
        <f t="shared" ca="1" si="5"/>
        <v>45418</v>
      </c>
      <c r="B339">
        <v>2</v>
      </c>
      <c r="C339">
        <v>1992</v>
      </c>
      <c r="D339">
        <v>33505.440000000002</v>
      </c>
    </row>
    <row r="340" spans="1:4" x14ac:dyDescent="0.35">
      <c r="A340" s="32">
        <f t="shared" ca="1" si="5"/>
        <v>45362</v>
      </c>
      <c r="B340">
        <v>4</v>
      </c>
      <c r="C340">
        <v>2098</v>
      </c>
      <c r="D340">
        <v>94263.14</v>
      </c>
    </row>
    <row r="341" spans="1:4" x14ac:dyDescent="0.35">
      <c r="A341" s="32">
        <f t="shared" ca="1" si="5"/>
        <v>45361</v>
      </c>
      <c r="B341">
        <v>6</v>
      </c>
      <c r="C341">
        <v>998</v>
      </c>
      <c r="D341">
        <v>30868.14</v>
      </c>
    </row>
    <row r="342" spans="1:4" x14ac:dyDescent="0.35">
      <c r="A342" s="32">
        <f t="shared" ca="1" si="5"/>
        <v>45401</v>
      </c>
      <c r="B342">
        <v>10</v>
      </c>
      <c r="C342">
        <v>32</v>
      </c>
      <c r="D342">
        <v>4063.68</v>
      </c>
    </row>
    <row r="343" spans="1:4" x14ac:dyDescent="0.35">
      <c r="A343" s="32">
        <f t="shared" ca="1" si="5"/>
        <v>45449</v>
      </c>
      <c r="B343">
        <v>2</v>
      </c>
      <c r="C343">
        <v>2934</v>
      </c>
      <c r="D343">
        <v>119091.06000000001</v>
      </c>
    </row>
    <row r="344" spans="1:4" x14ac:dyDescent="0.35">
      <c r="A344" s="32">
        <f t="shared" ca="1" si="5"/>
        <v>45323</v>
      </c>
      <c r="B344">
        <v>60</v>
      </c>
      <c r="C344">
        <v>1362</v>
      </c>
      <c r="D344">
        <v>42330.96</v>
      </c>
    </row>
    <row r="345" spans="1:4" x14ac:dyDescent="0.35">
      <c r="A345" s="32">
        <f t="shared" ca="1" si="5"/>
        <v>45385</v>
      </c>
      <c r="B345">
        <v>10</v>
      </c>
      <c r="C345">
        <v>14</v>
      </c>
      <c r="D345">
        <v>629.86</v>
      </c>
    </row>
    <row r="346" spans="1:4" x14ac:dyDescent="0.35">
      <c r="A346" s="32">
        <f t="shared" ca="1" si="5"/>
        <v>45331</v>
      </c>
      <c r="B346">
        <v>10</v>
      </c>
      <c r="C346">
        <v>692</v>
      </c>
      <c r="D346">
        <v>16850.2</v>
      </c>
    </row>
    <row r="347" spans="1:4" x14ac:dyDescent="0.35">
      <c r="A347" s="32">
        <f t="shared" ca="1" si="5"/>
        <v>45443</v>
      </c>
      <c r="B347">
        <v>0</v>
      </c>
      <c r="C347">
        <v>50</v>
      </c>
      <c r="D347">
        <v>4999.5</v>
      </c>
    </row>
    <row r="348" spans="1:4" x14ac:dyDescent="0.35">
      <c r="A348" s="32">
        <f t="shared" ca="1" si="5"/>
        <v>45413</v>
      </c>
      <c r="B348">
        <v>3</v>
      </c>
      <c r="C348">
        <v>37</v>
      </c>
      <c r="D348">
        <v>1516.63</v>
      </c>
    </row>
    <row r="349" spans="1:4" x14ac:dyDescent="0.35">
      <c r="A349" s="32">
        <f t="shared" ca="1" si="5"/>
        <v>45418</v>
      </c>
      <c r="B349">
        <v>8</v>
      </c>
      <c r="C349">
        <v>442</v>
      </c>
      <c r="D349">
        <v>5299.58</v>
      </c>
    </row>
    <row r="350" spans="1:4" x14ac:dyDescent="0.35">
      <c r="A350" s="32">
        <f t="shared" ca="1" si="5"/>
        <v>45436</v>
      </c>
      <c r="B350">
        <v>19</v>
      </c>
      <c r="C350">
        <v>2</v>
      </c>
      <c r="D350">
        <v>165.98</v>
      </c>
    </row>
    <row r="351" spans="1:4" x14ac:dyDescent="0.35">
      <c r="A351" s="32">
        <f t="shared" ca="1" si="5"/>
        <v>45352</v>
      </c>
      <c r="B351">
        <v>9</v>
      </c>
      <c r="C351">
        <v>1243</v>
      </c>
      <c r="D351">
        <v>111845.14</v>
      </c>
    </row>
    <row r="352" spans="1:4" x14ac:dyDescent="0.35">
      <c r="A352" s="32">
        <f t="shared" ca="1" si="5"/>
        <v>45432</v>
      </c>
      <c r="B352">
        <v>10</v>
      </c>
      <c r="C352">
        <v>68</v>
      </c>
      <c r="D352">
        <v>1216.52</v>
      </c>
    </row>
    <row r="353" spans="1:4" x14ac:dyDescent="0.35">
      <c r="A353" s="32">
        <f t="shared" ca="1" si="5"/>
        <v>45293</v>
      </c>
      <c r="B353">
        <v>0</v>
      </c>
      <c r="C353">
        <v>78</v>
      </c>
      <c r="D353">
        <v>1868.1</v>
      </c>
    </row>
    <row r="354" spans="1:4" x14ac:dyDescent="0.35">
      <c r="A354" s="32">
        <f t="shared" ca="1" si="5"/>
        <v>45303</v>
      </c>
      <c r="B354">
        <v>0</v>
      </c>
      <c r="C354">
        <v>81</v>
      </c>
      <c r="D354">
        <v>2344.9499999999998</v>
      </c>
    </row>
    <row r="355" spans="1:4" x14ac:dyDescent="0.35">
      <c r="A355" s="32">
        <f t="shared" ca="1" si="5"/>
        <v>45366</v>
      </c>
      <c r="B355">
        <v>5</v>
      </c>
      <c r="C355">
        <v>79</v>
      </c>
      <c r="D355">
        <v>1181.05</v>
      </c>
    </row>
    <row r="356" spans="1:4" x14ac:dyDescent="0.35">
      <c r="A356" s="32">
        <f t="shared" ca="1" si="5"/>
        <v>45362</v>
      </c>
      <c r="B356">
        <v>50</v>
      </c>
      <c r="C356">
        <v>19</v>
      </c>
      <c r="D356">
        <v>1315.75</v>
      </c>
    </row>
    <row r="357" spans="1:4" x14ac:dyDescent="0.35">
      <c r="A357" s="32">
        <f t="shared" ca="1" si="5"/>
        <v>45418</v>
      </c>
      <c r="B357">
        <v>4</v>
      </c>
      <c r="C357">
        <v>30</v>
      </c>
      <c r="D357">
        <v>1125</v>
      </c>
    </row>
    <row r="358" spans="1:4" x14ac:dyDescent="0.35">
      <c r="A358" s="32">
        <f t="shared" ca="1" si="5"/>
        <v>45397</v>
      </c>
      <c r="B358">
        <v>0</v>
      </c>
      <c r="C358">
        <v>755</v>
      </c>
      <c r="D358">
        <v>86054.900000000009</v>
      </c>
    </row>
    <row r="359" spans="1:4" x14ac:dyDescent="0.35">
      <c r="A359" s="32">
        <f t="shared" ca="1" si="5"/>
        <v>45437</v>
      </c>
      <c r="B359">
        <v>10</v>
      </c>
      <c r="C359">
        <v>24</v>
      </c>
      <c r="D359">
        <v>486</v>
      </c>
    </row>
    <row r="360" spans="1:4" x14ac:dyDescent="0.35">
      <c r="A360" s="32">
        <f t="shared" ca="1" si="5"/>
        <v>45306</v>
      </c>
      <c r="B360">
        <v>8</v>
      </c>
      <c r="C360">
        <v>13</v>
      </c>
      <c r="D360">
        <v>1104.8699999999999</v>
      </c>
    </row>
    <row r="361" spans="1:4" x14ac:dyDescent="0.35">
      <c r="A361" s="32">
        <f t="shared" ca="1" si="5"/>
        <v>45293</v>
      </c>
      <c r="B361">
        <v>8</v>
      </c>
      <c r="C361">
        <v>19</v>
      </c>
      <c r="D361">
        <v>854.81000000000006</v>
      </c>
    </row>
    <row r="362" spans="1:4" x14ac:dyDescent="0.35">
      <c r="A362" s="32">
        <f t="shared" ca="1" si="5"/>
        <v>45341</v>
      </c>
      <c r="B362">
        <v>10</v>
      </c>
      <c r="C362">
        <v>12</v>
      </c>
      <c r="D362">
        <v>462.36</v>
      </c>
    </row>
    <row r="363" spans="1:4" x14ac:dyDescent="0.35">
      <c r="A363" s="32">
        <f t="shared" ca="1" si="5"/>
        <v>45382</v>
      </c>
      <c r="B363">
        <v>0</v>
      </c>
      <c r="C363">
        <v>950</v>
      </c>
      <c r="D363">
        <v>58976</v>
      </c>
    </row>
    <row r="364" spans="1:4" x14ac:dyDescent="0.35">
      <c r="A364" s="32">
        <f t="shared" ca="1" si="5"/>
        <v>45405</v>
      </c>
      <c r="B364">
        <v>0</v>
      </c>
      <c r="C364">
        <v>2550</v>
      </c>
      <c r="D364">
        <v>138363</v>
      </c>
    </row>
    <row r="365" spans="1:4" x14ac:dyDescent="0.35">
      <c r="A365" s="32">
        <f t="shared" ca="1" si="5"/>
        <v>45415</v>
      </c>
      <c r="B365">
        <v>53</v>
      </c>
      <c r="C365">
        <v>13</v>
      </c>
      <c r="D365">
        <v>378.69</v>
      </c>
    </row>
    <row r="366" spans="1:4" x14ac:dyDescent="0.35">
      <c r="A366" s="32">
        <f t="shared" ca="1" si="5"/>
        <v>45469</v>
      </c>
      <c r="B366">
        <v>10</v>
      </c>
      <c r="C366">
        <v>78</v>
      </c>
      <c r="D366">
        <v>12962.04</v>
      </c>
    </row>
    <row r="367" spans="1:4" x14ac:dyDescent="0.35">
      <c r="A367" s="32">
        <f t="shared" ca="1" si="5"/>
        <v>45440</v>
      </c>
      <c r="B367">
        <v>0</v>
      </c>
      <c r="C367">
        <v>33</v>
      </c>
      <c r="D367">
        <v>2540.6699999999996</v>
      </c>
    </row>
    <row r="368" spans="1:4" x14ac:dyDescent="0.35">
      <c r="A368" s="32">
        <f t="shared" ca="1" si="5"/>
        <v>45468</v>
      </c>
      <c r="B368">
        <v>10</v>
      </c>
      <c r="C368">
        <v>1113</v>
      </c>
      <c r="D368">
        <v>8904</v>
      </c>
    </row>
    <row r="369" spans="1:4" x14ac:dyDescent="0.35">
      <c r="A369" s="32">
        <f t="shared" ca="1" si="5"/>
        <v>45376</v>
      </c>
      <c r="B369">
        <v>36</v>
      </c>
      <c r="C369">
        <v>38</v>
      </c>
      <c r="D369">
        <v>1709.6200000000001</v>
      </c>
    </row>
    <row r="370" spans="1:4" x14ac:dyDescent="0.35">
      <c r="A370" s="32">
        <f t="shared" ca="1" si="5"/>
        <v>45451</v>
      </c>
      <c r="B370">
        <v>10</v>
      </c>
      <c r="C370">
        <v>73</v>
      </c>
      <c r="D370">
        <v>3795.27</v>
      </c>
    </row>
    <row r="371" spans="1:4" x14ac:dyDescent="0.35">
      <c r="A371" s="32">
        <f t="shared" ca="1" si="5"/>
        <v>45412</v>
      </c>
      <c r="B371">
        <v>10</v>
      </c>
      <c r="C371">
        <v>51</v>
      </c>
      <c r="D371">
        <v>1529.49</v>
      </c>
    </row>
    <row r="372" spans="1:4" x14ac:dyDescent="0.35">
      <c r="A372" s="32">
        <f t="shared" ca="1" si="5"/>
        <v>45418</v>
      </c>
      <c r="B372">
        <v>0</v>
      </c>
      <c r="C372">
        <v>2153</v>
      </c>
      <c r="D372">
        <v>154972.94</v>
      </c>
    </row>
    <row r="373" spans="1:4" x14ac:dyDescent="0.35">
      <c r="A373" s="32">
        <f t="shared" ca="1" si="5"/>
        <v>45432</v>
      </c>
      <c r="B373">
        <v>0</v>
      </c>
      <c r="C373">
        <v>100</v>
      </c>
      <c r="D373">
        <v>5294</v>
      </c>
    </row>
    <row r="374" spans="1:4" x14ac:dyDescent="0.35">
      <c r="A374" s="32">
        <f t="shared" ca="1" si="5"/>
        <v>45454</v>
      </c>
      <c r="B374">
        <v>5</v>
      </c>
      <c r="C374">
        <v>9</v>
      </c>
      <c r="D374">
        <v>269.90999999999997</v>
      </c>
    </row>
    <row r="375" spans="1:4" x14ac:dyDescent="0.35">
      <c r="A375" s="32">
        <f t="shared" ca="1" si="5"/>
        <v>45418</v>
      </c>
      <c r="B375">
        <v>6</v>
      </c>
      <c r="C375">
        <v>440</v>
      </c>
      <c r="D375">
        <v>10062.800000000001</v>
      </c>
    </row>
    <row r="376" spans="1:4" x14ac:dyDescent="0.35">
      <c r="A376" s="32">
        <f t="shared" ca="1" si="5"/>
        <v>45344</v>
      </c>
      <c r="B376">
        <v>6</v>
      </c>
      <c r="C376">
        <v>129</v>
      </c>
      <c r="D376">
        <v>11608.71</v>
      </c>
    </row>
    <row r="377" spans="1:4" x14ac:dyDescent="0.35">
      <c r="A377" s="32">
        <f t="shared" ca="1" si="5"/>
        <v>45311</v>
      </c>
      <c r="B377">
        <v>4</v>
      </c>
      <c r="C377">
        <v>30</v>
      </c>
      <c r="D377">
        <v>2099.1</v>
      </c>
    </row>
    <row r="378" spans="1:4" x14ac:dyDescent="0.35">
      <c r="A378" s="32">
        <f t="shared" ca="1" si="5"/>
        <v>45324</v>
      </c>
      <c r="B378">
        <v>10</v>
      </c>
      <c r="C378">
        <v>415</v>
      </c>
      <c r="D378">
        <v>9802.3000000000011</v>
      </c>
    </row>
    <row r="379" spans="1:4" x14ac:dyDescent="0.35">
      <c r="A379" s="32">
        <f t="shared" ca="1" si="5"/>
        <v>45374</v>
      </c>
      <c r="B379">
        <v>88</v>
      </c>
      <c r="C379">
        <v>13</v>
      </c>
      <c r="D379">
        <v>1295.19</v>
      </c>
    </row>
    <row r="380" spans="1:4" x14ac:dyDescent="0.35">
      <c r="A380" s="32">
        <f t="shared" ca="1" si="5"/>
        <v>45385</v>
      </c>
      <c r="B380">
        <v>23</v>
      </c>
      <c r="C380">
        <v>1128</v>
      </c>
      <c r="D380">
        <v>13795.44</v>
      </c>
    </row>
    <row r="381" spans="1:4" x14ac:dyDescent="0.35">
      <c r="A381" s="32">
        <f t="shared" ca="1" si="5"/>
        <v>45377</v>
      </c>
      <c r="B381">
        <v>8</v>
      </c>
      <c r="C381">
        <v>73</v>
      </c>
      <c r="D381">
        <v>6204.2699999999995</v>
      </c>
    </row>
    <row r="382" spans="1:4" x14ac:dyDescent="0.35">
      <c r="A382" s="32">
        <f t="shared" ca="1" si="5"/>
        <v>45297</v>
      </c>
      <c r="B382">
        <v>10</v>
      </c>
      <c r="C382">
        <v>217</v>
      </c>
      <c r="D382">
        <v>7150.1500000000005</v>
      </c>
    </row>
    <row r="383" spans="1:4" x14ac:dyDescent="0.35">
      <c r="A383" s="32">
        <f t="shared" ca="1" si="5"/>
        <v>45316</v>
      </c>
      <c r="B383">
        <v>26</v>
      </c>
      <c r="C383">
        <v>1332</v>
      </c>
      <c r="D383">
        <v>24415.559999999998</v>
      </c>
    </row>
    <row r="384" spans="1:4" x14ac:dyDescent="0.35">
      <c r="A384" s="32">
        <f t="shared" ca="1" si="5"/>
        <v>45422</v>
      </c>
      <c r="B384">
        <v>3</v>
      </c>
      <c r="C384">
        <v>2</v>
      </c>
      <c r="D384">
        <v>40</v>
      </c>
    </row>
    <row r="385" spans="1:4" x14ac:dyDescent="0.35">
      <c r="A385" s="32">
        <f t="shared" ca="1" si="5"/>
        <v>45386</v>
      </c>
      <c r="B385">
        <v>52</v>
      </c>
      <c r="C385">
        <v>6634</v>
      </c>
      <c r="D385">
        <v>225489.66</v>
      </c>
    </row>
    <row r="386" spans="1:4" x14ac:dyDescent="0.35">
      <c r="A386" s="32">
        <f t="shared" ca="1" si="5"/>
        <v>45436</v>
      </c>
      <c r="B386">
        <v>73</v>
      </c>
      <c r="C386">
        <v>27</v>
      </c>
      <c r="D386">
        <v>1862.7299999999998</v>
      </c>
    </row>
    <row r="387" spans="1:4" x14ac:dyDescent="0.35">
      <c r="A387" s="32">
        <f t="shared" ref="A387:A450" ca="1" si="6">RANDBETWEEN(DATE(2024,1,1),(DATE(2024,6,30)))</f>
        <v>45301</v>
      </c>
      <c r="B387">
        <v>10</v>
      </c>
      <c r="C387">
        <v>43</v>
      </c>
      <c r="D387">
        <v>1266.78</v>
      </c>
    </row>
    <row r="388" spans="1:4" x14ac:dyDescent="0.35">
      <c r="A388" s="32">
        <f t="shared" ca="1" si="6"/>
        <v>45304</v>
      </c>
      <c r="B388">
        <v>4</v>
      </c>
      <c r="C388">
        <v>40</v>
      </c>
      <c r="D388">
        <v>1958</v>
      </c>
    </row>
    <row r="389" spans="1:4" x14ac:dyDescent="0.35">
      <c r="A389" s="32">
        <f t="shared" ca="1" si="6"/>
        <v>45466</v>
      </c>
      <c r="B389">
        <v>10</v>
      </c>
      <c r="C389">
        <v>24</v>
      </c>
      <c r="D389">
        <v>936</v>
      </c>
    </row>
    <row r="390" spans="1:4" x14ac:dyDescent="0.35">
      <c r="A390" s="32">
        <f t="shared" ca="1" si="6"/>
        <v>45406</v>
      </c>
      <c r="B390">
        <v>10</v>
      </c>
      <c r="C390">
        <v>28</v>
      </c>
      <c r="D390">
        <v>758.80000000000007</v>
      </c>
    </row>
    <row r="391" spans="1:4" x14ac:dyDescent="0.35">
      <c r="A391" s="32">
        <f t="shared" ca="1" si="6"/>
        <v>45379</v>
      </c>
      <c r="B391">
        <v>0</v>
      </c>
      <c r="C391">
        <v>1140</v>
      </c>
      <c r="D391">
        <v>31851.600000000002</v>
      </c>
    </row>
    <row r="392" spans="1:4" x14ac:dyDescent="0.35">
      <c r="A392" s="32">
        <f t="shared" ca="1" si="6"/>
        <v>45306</v>
      </c>
      <c r="B392">
        <v>0</v>
      </c>
      <c r="C392">
        <v>39</v>
      </c>
      <c r="D392">
        <v>467.61</v>
      </c>
    </row>
    <row r="393" spans="1:4" x14ac:dyDescent="0.35">
      <c r="A393" s="32">
        <f t="shared" ca="1" si="6"/>
        <v>45454</v>
      </c>
      <c r="B393">
        <v>10</v>
      </c>
      <c r="C393">
        <v>71</v>
      </c>
      <c r="D393">
        <v>1845.29</v>
      </c>
    </row>
    <row r="394" spans="1:4" x14ac:dyDescent="0.35">
      <c r="A394" s="32">
        <f t="shared" ca="1" si="6"/>
        <v>45418</v>
      </c>
      <c r="B394">
        <v>5</v>
      </c>
      <c r="C394">
        <v>13</v>
      </c>
      <c r="D394">
        <v>1624.87</v>
      </c>
    </row>
    <row r="395" spans="1:4" x14ac:dyDescent="0.35">
      <c r="A395" s="32">
        <f t="shared" ca="1" si="6"/>
        <v>45455</v>
      </c>
      <c r="B395">
        <v>10</v>
      </c>
      <c r="C395">
        <v>4764</v>
      </c>
      <c r="D395">
        <v>137822.51999999999</v>
      </c>
    </row>
    <row r="396" spans="1:4" x14ac:dyDescent="0.35">
      <c r="A396" s="32">
        <f t="shared" ca="1" si="6"/>
        <v>45353</v>
      </c>
      <c r="B396">
        <v>10</v>
      </c>
      <c r="C396">
        <v>1207</v>
      </c>
      <c r="D396">
        <v>55522</v>
      </c>
    </row>
    <row r="397" spans="1:4" x14ac:dyDescent="0.35">
      <c r="A397" s="32">
        <f t="shared" ca="1" si="6"/>
        <v>45437</v>
      </c>
      <c r="B397">
        <v>3</v>
      </c>
      <c r="C397">
        <v>24</v>
      </c>
      <c r="D397">
        <v>654</v>
      </c>
    </row>
    <row r="398" spans="1:4" x14ac:dyDescent="0.35">
      <c r="A398" s="32">
        <f t="shared" ca="1" si="6"/>
        <v>45375</v>
      </c>
      <c r="B398">
        <v>54</v>
      </c>
      <c r="C398">
        <v>11</v>
      </c>
      <c r="D398">
        <v>609.95000000000005</v>
      </c>
    </row>
    <row r="399" spans="1:4" x14ac:dyDescent="0.35">
      <c r="A399" s="32">
        <f t="shared" ca="1" si="6"/>
        <v>45320</v>
      </c>
      <c r="B399">
        <v>10</v>
      </c>
      <c r="C399">
        <v>740</v>
      </c>
      <c r="D399">
        <v>73985.2</v>
      </c>
    </row>
    <row r="400" spans="1:4" x14ac:dyDescent="0.35">
      <c r="A400" s="32">
        <f t="shared" ca="1" si="6"/>
        <v>45369</v>
      </c>
      <c r="B400">
        <v>0</v>
      </c>
      <c r="C400">
        <v>111</v>
      </c>
      <c r="D400">
        <v>9390.5999999999985</v>
      </c>
    </row>
    <row r="401" spans="1:4" x14ac:dyDescent="0.35">
      <c r="A401" s="32">
        <f t="shared" ca="1" si="6"/>
        <v>45464</v>
      </c>
      <c r="B401">
        <v>2</v>
      </c>
      <c r="C401">
        <v>743</v>
      </c>
      <c r="D401">
        <v>58689.57</v>
      </c>
    </row>
    <row r="402" spans="1:4" x14ac:dyDescent="0.35">
      <c r="A402" s="32">
        <f t="shared" ca="1" si="6"/>
        <v>45297</v>
      </c>
      <c r="B402">
        <v>13</v>
      </c>
      <c r="C402">
        <v>48</v>
      </c>
      <c r="D402">
        <v>666.72</v>
      </c>
    </row>
    <row r="403" spans="1:4" x14ac:dyDescent="0.35">
      <c r="A403" s="32">
        <f t="shared" ca="1" si="6"/>
        <v>45336</v>
      </c>
      <c r="B403">
        <v>8</v>
      </c>
      <c r="C403">
        <v>65</v>
      </c>
      <c r="D403">
        <v>1116.7</v>
      </c>
    </row>
    <row r="404" spans="1:4" x14ac:dyDescent="0.35">
      <c r="A404" s="32">
        <f t="shared" ca="1" si="6"/>
        <v>45422</v>
      </c>
      <c r="B404">
        <v>10</v>
      </c>
      <c r="C404">
        <v>125</v>
      </c>
      <c r="D404">
        <v>7761.25</v>
      </c>
    </row>
    <row r="405" spans="1:4" x14ac:dyDescent="0.35">
      <c r="A405" s="32">
        <f t="shared" ca="1" si="6"/>
        <v>45374</v>
      </c>
      <c r="B405">
        <v>10</v>
      </c>
      <c r="C405">
        <v>139</v>
      </c>
      <c r="D405">
        <v>2639.6099999999997</v>
      </c>
    </row>
    <row r="406" spans="1:4" x14ac:dyDescent="0.35">
      <c r="A406" s="32">
        <f t="shared" ca="1" si="6"/>
        <v>45301</v>
      </c>
      <c r="B406">
        <v>0</v>
      </c>
      <c r="C406">
        <v>177</v>
      </c>
      <c r="D406">
        <v>4292.25</v>
      </c>
    </row>
    <row r="407" spans="1:4" x14ac:dyDescent="0.35">
      <c r="A407" s="32">
        <f t="shared" ca="1" si="6"/>
        <v>45406</v>
      </c>
      <c r="B407">
        <v>10</v>
      </c>
      <c r="C407">
        <v>18</v>
      </c>
      <c r="D407">
        <v>495</v>
      </c>
    </row>
    <row r="408" spans="1:4" x14ac:dyDescent="0.35">
      <c r="A408" s="32">
        <f t="shared" ca="1" si="6"/>
        <v>45457</v>
      </c>
      <c r="B408">
        <v>8</v>
      </c>
      <c r="C408">
        <v>2817</v>
      </c>
      <c r="D408">
        <v>45184.68</v>
      </c>
    </row>
    <row r="409" spans="1:4" x14ac:dyDescent="0.35">
      <c r="A409" s="32">
        <f t="shared" ca="1" si="6"/>
        <v>45311</v>
      </c>
      <c r="B409">
        <v>10</v>
      </c>
      <c r="C409">
        <v>8</v>
      </c>
      <c r="D409">
        <v>255.6</v>
      </c>
    </row>
    <row r="410" spans="1:4" x14ac:dyDescent="0.35">
      <c r="A410" s="32">
        <f t="shared" ca="1" si="6"/>
        <v>45341</v>
      </c>
      <c r="B410">
        <v>10</v>
      </c>
      <c r="C410">
        <v>50</v>
      </c>
      <c r="D410">
        <v>899</v>
      </c>
    </row>
    <row r="411" spans="1:4" x14ac:dyDescent="0.35">
      <c r="A411" s="32">
        <f t="shared" ca="1" si="6"/>
        <v>45445</v>
      </c>
      <c r="B411">
        <v>0</v>
      </c>
      <c r="C411">
        <v>454</v>
      </c>
      <c r="D411">
        <v>16171.48</v>
      </c>
    </row>
    <row r="412" spans="1:4" x14ac:dyDescent="0.35">
      <c r="A412" s="32">
        <f t="shared" ca="1" si="6"/>
        <v>45311</v>
      </c>
      <c r="B412">
        <v>10</v>
      </c>
      <c r="C412">
        <v>17</v>
      </c>
      <c r="D412">
        <v>1699.83</v>
      </c>
    </row>
    <row r="413" spans="1:4" x14ac:dyDescent="0.35">
      <c r="A413" s="32">
        <f t="shared" ca="1" si="6"/>
        <v>45425</v>
      </c>
      <c r="B413">
        <v>0</v>
      </c>
      <c r="C413">
        <v>29</v>
      </c>
      <c r="D413">
        <v>681.20999999999992</v>
      </c>
    </row>
    <row r="414" spans="1:4" x14ac:dyDescent="0.35">
      <c r="A414" s="32">
        <f t="shared" ca="1" si="6"/>
        <v>45352</v>
      </c>
      <c r="B414">
        <v>10</v>
      </c>
      <c r="C414">
        <v>20</v>
      </c>
      <c r="D414">
        <v>779.80000000000007</v>
      </c>
    </row>
    <row r="415" spans="1:4" x14ac:dyDescent="0.35">
      <c r="A415" s="32">
        <f t="shared" ca="1" si="6"/>
        <v>45349</v>
      </c>
      <c r="B415">
        <v>3</v>
      </c>
      <c r="C415">
        <v>65</v>
      </c>
      <c r="D415">
        <v>1039.3499999999999</v>
      </c>
    </row>
    <row r="416" spans="1:4" x14ac:dyDescent="0.35">
      <c r="A416" s="32">
        <f t="shared" ca="1" si="6"/>
        <v>45460</v>
      </c>
      <c r="B416">
        <v>10</v>
      </c>
      <c r="C416">
        <v>368</v>
      </c>
      <c r="D416">
        <v>20604.32</v>
      </c>
    </row>
    <row r="417" spans="1:4" x14ac:dyDescent="0.35">
      <c r="A417" s="32">
        <f t="shared" ca="1" si="6"/>
        <v>45473</v>
      </c>
      <c r="B417">
        <v>4</v>
      </c>
      <c r="C417">
        <v>22</v>
      </c>
      <c r="D417">
        <v>1846.9</v>
      </c>
    </row>
    <row r="418" spans="1:4" x14ac:dyDescent="0.35">
      <c r="A418" s="32">
        <f t="shared" ca="1" si="6"/>
        <v>45442</v>
      </c>
      <c r="B418">
        <v>10</v>
      </c>
      <c r="C418">
        <v>33</v>
      </c>
      <c r="D418">
        <v>2244</v>
      </c>
    </row>
    <row r="419" spans="1:4" x14ac:dyDescent="0.35">
      <c r="A419" s="32">
        <f t="shared" ca="1" si="6"/>
        <v>45446</v>
      </c>
      <c r="B419">
        <v>19</v>
      </c>
      <c r="C419">
        <v>2703</v>
      </c>
      <c r="D419">
        <v>108471.39000000001</v>
      </c>
    </row>
    <row r="420" spans="1:4" x14ac:dyDescent="0.35">
      <c r="A420" s="32">
        <f t="shared" ca="1" si="6"/>
        <v>45410</v>
      </c>
      <c r="B420">
        <v>10</v>
      </c>
      <c r="C420">
        <v>21</v>
      </c>
      <c r="D420">
        <v>2519.79</v>
      </c>
    </row>
    <row r="421" spans="1:4" x14ac:dyDescent="0.35">
      <c r="A421" s="32">
        <f t="shared" ca="1" si="6"/>
        <v>45400</v>
      </c>
      <c r="B421">
        <v>3</v>
      </c>
      <c r="C421">
        <v>31</v>
      </c>
      <c r="D421">
        <v>2216.19</v>
      </c>
    </row>
    <row r="422" spans="1:4" x14ac:dyDescent="0.35">
      <c r="A422" s="32">
        <f t="shared" ca="1" si="6"/>
        <v>45348</v>
      </c>
      <c r="B422">
        <v>0</v>
      </c>
      <c r="C422">
        <v>1511</v>
      </c>
      <c r="D422">
        <v>50618.5</v>
      </c>
    </row>
    <row r="423" spans="1:4" x14ac:dyDescent="0.35">
      <c r="A423" s="32">
        <f t="shared" ca="1" si="6"/>
        <v>45354</v>
      </c>
      <c r="B423">
        <v>0</v>
      </c>
      <c r="C423">
        <v>77</v>
      </c>
      <c r="D423">
        <v>13782.230000000001</v>
      </c>
    </row>
    <row r="424" spans="1:4" x14ac:dyDescent="0.35">
      <c r="A424" s="32">
        <f t="shared" ca="1" si="6"/>
        <v>45406</v>
      </c>
      <c r="B424">
        <v>16</v>
      </c>
      <c r="C424">
        <v>38</v>
      </c>
      <c r="D424">
        <v>3989.62</v>
      </c>
    </row>
    <row r="425" spans="1:4" x14ac:dyDescent="0.35">
      <c r="A425" s="32">
        <f t="shared" ca="1" si="6"/>
        <v>45393</v>
      </c>
      <c r="B425">
        <v>10</v>
      </c>
      <c r="C425">
        <v>73</v>
      </c>
      <c r="D425">
        <v>6219.6</v>
      </c>
    </row>
    <row r="426" spans="1:4" x14ac:dyDescent="0.35">
      <c r="A426" s="32">
        <f t="shared" ca="1" si="6"/>
        <v>45358</v>
      </c>
      <c r="B426">
        <v>0</v>
      </c>
      <c r="C426">
        <v>350</v>
      </c>
      <c r="D426">
        <v>36393</v>
      </c>
    </row>
    <row r="427" spans="1:4" x14ac:dyDescent="0.35">
      <c r="A427" s="32">
        <f t="shared" ca="1" si="6"/>
        <v>45375</v>
      </c>
      <c r="B427">
        <v>8</v>
      </c>
      <c r="C427">
        <v>32</v>
      </c>
      <c r="D427">
        <v>319.68</v>
      </c>
    </row>
    <row r="428" spans="1:4" x14ac:dyDescent="0.35">
      <c r="A428" s="32">
        <f t="shared" ca="1" si="6"/>
        <v>45437</v>
      </c>
      <c r="B428">
        <v>10</v>
      </c>
      <c r="C428">
        <v>211</v>
      </c>
      <c r="D428">
        <v>3865.52</v>
      </c>
    </row>
    <row r="429" spans="1:4" x14ac:dyDescent="0.35">
      <c r="A429" s="32">
        <f t="shared" ca="1" si="6"/>
        <v>45437</v>
      </c>
      <c r="B429">
        <v>10</v>
      </c>
      <c r="C429">
        <v>24</v>
      </c>
      <c r="D429">
        <v>1199.76</v>
      </c>
    </row>
    <row r="430" spans="1:4" x14ac:dyDescent="0.35">
      <c r="A430" s="32">
        <f t="shared" ca="1" si="6"/>
        <v>45327</v>
      </c>
      <c r="B430">
        <v>10</v>
      </c>
      <c r="C430">
        <v>1503</v>
      </c>
      <c r="D430">
        <v>57970.71</v>
      </c>
    </row>
    <row r="431" spans="1:4" x14ac:dyDescent="0.35">
      <c r="A431" s="32">
        <f t="shared" ca="1" si="6"/>
        <v>45312</v>
      </c>
      <c r="B431">
        <v>10</v>
      </c>
      <c r="C431">
        <v>34</v>
      </c>
      <c r="D431">
        <v>1801.66</v>
      </c>
    </row>
    <row r="432" spans="1:4" x14ac:dyDescent="0.35">
      <c r="A432" s="32">
        <f t="shared" ca="1" si="6"/>
        <v>45426</v>
      </c>
      <c r="B432">
        <v>10</v>
      </c>
      <c r="C432">
        <v>13</v>
      </c>
      <c r="D432">
        <v>1559.87</v>
      </c>
    </row>
    <row r="433" spans="1:4" x14ac:dyDescent="0.35">
      <c r="A433" s="32">
        <f t="shared" ca="1" si="6"/>
        <v>45463</v>
      </c>
      <c r="B433">
        <v>10</v>
      </c>
      <c r="C433">
        <v>3</v>
      </c>
      <c r="D433">
        <v>179.97</v>
      </c>
    </row>
    <row r="434" spans="1:4" x14ac:dyDescent="0.35">
      <c r="A434" s="32">
        <f t="shared" ca="1" si="6"/>
        <v>45377</v>
      </c>
      <c r="B434">
        <v>116</v>
      </c>
      <c r="C434">
        <v>4</v>
      </c>
      <c r="D434">
        <v>98</v>
      </c>
    </row>
    <row r="435" spans="1:4" x14ac:dyDescent="0.35">
      <c r="A435" s="32">
        <f t="shared" ca="1" si="6"/>
        <v>45336</v>
      </c>
      <c r="B435">
        <v>10</v>
      </c>
      <c r="C435">
        <v>3</v>
      </c>
      <c r="D435">
        <v>79.5</v>
      </c>
    </row>
    <row r="436" spans="1:4" x14ac:dyDescent="0.35">
      <c r="A436" s="32">
        <f t="shared" ca="1" si="6"/>
        <v>45434</v>
      </c>
      <c r="B436">
        <v>0</v>
      </c>
      <c r="C436">
        <v>5076</v>
      </c>
      <c r="D436">
        <v>127407.6</v>
      </c>
    </row>
    <row r="437" spans="1:4" x14ac:dyDescent="0.35">
      <c r="A437" s="32">
        <f t="shared" ca="1" si="6"/>
        <v>45361</v>
      </c>
      <c r="B437">
        <v>0</v>
      </c>
      <c r="C437">
        <v>2</v>
      </c>
      <c r="D437">
        <v>51.9</v>
      </c>
    </row>
    <row r="438" spans="1:4" x14ac:dyDescent="0.35">
      <c r="A438" s="32">
        <f t="shared" ca="1" si="6"/>
        <v>45309</v>
      </c>
      <c r="B438">
        <v>5</v>
      </c>
      <c r="C438">
        <v>43</v>
      </c>
      <c r="D438">
        <v>2149.5700000000002</v>
      </c>
    </row>
    <row r="439" spans="1:4" x14ac:dyDescent="0.35">
      <c r="A439" s="32">
        <f t="shared" ca="1" si="6"/>
        <v>45394</v>
      </c>
      <c r="B439">
        <v>10</v>
      </c>
      <c r="C439">
        <v>22</v>
      </c>
      <c r="D439">
        <v>373.78</v>
      </c>
    </row>
    <row r="440" spans="1:4" x14ac:dyDescent="0.35">
      <c r="A440" s="32">
        <f t="shared" ca="1" si="6"/>
        <v>45323</v>
      </c>
      <c r="B440">
        <v>6</v>
      </c>
      <c r="C440">
        <v>7</v>
      </c>
      <c r="D440">
        <v>92.05</v>
      </c>
    </row>
    <row r="441" spans="1:4" x14ac:dyDescent="0.35">
      <c r="A441" s="32">
        <f t="shared" ca="1" si="6"/>
        <v>45308</v>
      </c>
      <c r="B441">
        <v>10</v>
      </c>
      <c r="C441">
        <v>9</v>
      </c>
      <c r="D441">
        <v>330.12</v>
      </c>
    </row>
    <row r="442" spans="1:4" x14ac:dyDescent="0.35">
      <c r="A442" s="32">
        <f t="shared" ca="1" si="6"/>
        <v>45399</v>
      </c>
      <c r="B442">
        <v>10</v>
      </c>
      <c r="C442">
        <v>11</v>
      </c>
      <c r="D442">
        <v>722.48</v>
      </c>
    </row>
    <row r="443" spans="1:4" x14ac:dyDescent="0.35">
      <c r="A443" s="32">
        <f t="shared" ca="1" si="6"/>
        <v>45317</v>
      </c>
      <c r="B443">
        <v>3</v>
      </c>
      <c r="C443">
        <v>780</v>
      </c>
      <c r="D443">
        <v>42892.200000000004</v>
      </c>
    </row>
    <row r="444" spans="1:4" x14ac:dyDescent="0.35">
      <c r="A444" s="32">
        <f t="shared" ca="1" si="6"/>
        <v>45390</v>
      </c>
      <c r="B444">
        <v>0</v>
      </c>
      <c r="C444">
        <v>7</v>
      </c>
      <c r="D444">
        <v>111.93</v>
      </c>
    </row>
    <row r="445" spans="1:4" x14ac:dyDescent="0.35">
      <c r="A445" s="32">
        <f t="shared" ca="1" si="6"/>
        <v>45356</v>
      </c>
      <c r="B445">
        <v>3</v>
      </c>
      <c r="C445">
        <v>6</v>
      </c>
      <c r="D445">
        <v>419.93999999999994</v>
      </c>
    </row>
    <row r="446" spans="1:4" x14ac:dyDescent="0.35">
      <c r="A446" s="32">
        <f t="shared" ca="1" si="6"/>
        <v>45416</v>
      </c>
      <c r="B446">
        <v>10</v>
      </c>
      <c r="C446">
        <v>4</v>
      </c>
      <c r="D446">
        <v>399.44</v>
      </c>
    </row>
    <row r="447" spans="1:4" x14ac:dyDescent="0.35">
      <c r="A447" s="32">
        <f t="shared" ca="1" si="6"/>
        <v>45457</v>
      </c>
      <c r="B447">
        <v>5</v>
      </c>
      <c r="C447">
        <v>8</v>
      </c>
      <c r="D447">
        <v>439.92</v>
      </c>
    </row>
    <row r="448" spans="1:4" x14ac:dyDescent="0.35">
      <c r="A448" s="32">
        <f t="shared" ca="1" si="6"/>
        <v>45383</v>
      </c>
      <c r="B448">
        <v>10</v>
      </c>
      <c r="C448">
        <v>5</v>
      </c>
      <c r="D448">
        <v>414.95</v>
      </c>
    </row>
    <row r="449" spans="1:4" x14ac:dyDescent="0.35">
      <c r="A449" s="32">
        <f t="shared" ca="1" si="6"/>
        <v>45381</v>
      </c>
      <c r="B449">
        <v>0</v>
      </c>
      <c r="C449">
        <v>6</v>
      </c>
      <c r="D449">
        <v>140.94</v>
      </c>
    </row>
    <row r="450" spans="1:4" x14ac:dyDescent="0.35">
      <c r="A450" s="32">
        <f t="shared" ca="1" si="6"/>
        <v>45451</v>
      </c>
      <c r="B450">
        <v>10</v>
      </c>
      <c r="C450">
        <v>5</v>
      </c>
      <c r="D450">
        <v>228.4</v>
      </c>
    </row>
    <row r="451" spans="1:4" x14ac:dyDescent="0.35">
      <c r="A451" s="32">
        <f t="shared" ref="A451:A514" ca="1" si="7">RANDBETWEEN(DATE(2024,1,1),(DATE(2024,6,30)))</f>
        <v>45317</v>
      </c>
      <c r="B451">
        <v>10</v>
      </c>
      <c r="C451">
        <v>1</v>
      </c>
      <c r="D451">
        <v>15.39</v>
      </c>
    </row>
    <row r="452" spans="1:4" x14ac:dyDescent="0.35">
      <c r="A452" s="32">
        <f t="shared" ca="1" si="7"/>
        <v>45320</v>
      </c>
      <c r="B452">
        <v>5</v>
      </c>
      <c r="C452">
        <v>507</v>
      </c>
      <c r="D452">
        <v>16720.859999999997</v>
      </c>
    </row>
    <row r="453" spans="1:4" x14ac:dyDescent="0.35">
      <c r="A453" s="32">
        <f t="shared" ca="1" si="7"/>
        <v>45418</v>
      </c>
      <c r="B453">
        <v>3</v>
      </c>
      <c r="C453">
        <v>28</v>
      </c>
      <c r="D453">
        <v>2435.7199999999998</v>
      </c>
    </row>
    <row r="454" spans="1:4" x14ac:dyDescent="0.35">
      <c r="A454" s="32">
        <f t="shared" ca="1" si="7"/>
        <v>45387</v>
      </c>
      <c r="B454">
        <v>0</v>
      </c>
      <c r="C454">
        <v>32</v>
      </c>
      <c r="D454">
        <v>1183.68</v>
      </c>
    </row>
    <row r="455" spans="1:4" x14ac:dyDescent="0.35">
      <c r="A455" s="32">
        <f t="shared" ca="1" si="7"/>
        <v>45342</v>
      </c>
      <c r="B455">
        <v>4</v>
      </c>
      <c r="C455">
        <v>15</v>
      </c>
      <c r="D455">
        <v>747.15000000000009</v>
      </c>
    </row>
    <row r="456" spans="1:4" x14ac:dyDescent="0.35">
      <c r="A456" s="32">
        <f t="shared" ca="1" si="7"/>
        <v>45421</v>
      </c>
      <c r="B456">
        <v>5</v>
      </c>
      <c r="C456">
        <v>9</v>
      </c>
      <c r="D456">
        <v>257.84999999999997</v>
      </c>
    </row>
    <row r="457" spans="1:4" x14ac:dyDescent="0.35">
      <c r="A457" s="32">
        <f t="shared" ca="1" si="7"/>
        <v>45381</v>
      </c>
      <c r="B457">
        <v>0</v>
      </c>
      <c r="C457">
        <v>2624</v>
      </c>
      <c r="D457">
        <v>53739.520000000004</v>
      </c>
    </row>
    <row r="458" spans="1:4" x14ac:dyDescent="0.35">
      <c r="A458" s="32">
        <f t="shared" ca="1" si="7"/>
        <v>45311</v>
      </c>
      <c r="B458">
        <v>9</v>
      </c>
      <c r="C458">
        <v>27</v>
      </c>
      <c r="D458">
        <v>2700</v>
      </c>
    </row>
    <row r="459" spans="1:4" x14ac:dyDescent="0.35">
      <c r="A459" s="32">
        <f t="shared" ca="1" si="7"/>
        <v>45370</v>
      </c>
      <c r="B459">
        <v>2</v>
      </c>
      <c r="C459">
        <v>8</v>
      </c>
      <c r="D459">
        <v>127.12</v>
      </c>
    </row>
    <row r="460" spans="1:4" x14ac:dyDescent="0.35">
      <c r="A460" s="32">
        <f t="shared" ca="1" si="7"/>
        <v>45453</v>
      </c>
      <c r="B460">
        <v>10</v>
      </c>
      <c r="C460">
        <v>2</v>
      </c>
      <c r="D460">
        <v>75.98</v>
      </c>
    </row>
    <row r="461" spans="1:4" x14ac:dyDescent="0.35">
      <c r="A461" s="32">
        <f t="shared" ca="1" si="7"/>
        <v>45367</v>
      </c>
      <c r="B461">
        <v>8</v>
      </c>
      <c r="C461">
        <v>1691</v>
      </c>
      <c r="D461">
        <v>41344.949999999997</v>
      </c>
    </row>
    <row r="462" spans="1:4" x14ac:dyDescent="0.35">
      <c r="A462" s="32">
        <f t="shared" ca="1" si="7"/>
        <v>45426</v>
      </c>
      <c r="B462">
        <v>0</v>
      </c>
      <c r="C462">
        <v>111</v>
      </c>
      <c r="D462">
        <v>10424.01</v>
      </c>
    </row>
    <row r="463" spans="1:4" x14ac:dyDescent="0.35">
      <c r="A463" s="32">
        <f t="shared" ca="1" si="7"/>
        <v>45323</v>
      </c>
      <c r="B463">
        <v>10</v>
      </c>
      <c r="C463">
        <v>244</v>
      </c>
      <c r="D463">
        <v>17072.68</v>
      </c>
    </row>
    <row r="464" spans="1:4" x14ac:dyDescent="0.35">
      <c r="A464" s="32">
        <f t="shared" ca="1" si="7"/>
        <v>45471</v>
      </c>
      <c r="B464">
        <v>4</v>
      </c>
      <c r="C464">
        <v>94</v>
      </c>
      <c r="D464">
        <v>1372.3999999999999</v>
      </c>
    </row>
    <row r="465" spans="1:4" x14ac:dyDescent="0.35">
      <c r="A465" s="32">
        <f t="shared" ca="1" si="7"/>
        <v>45356</v>
      </c>
      <c r="B465">
        <v>74</v>
      </c>
      <c r="C465">
        <v>61</v>
      </c>
      <c r="D465">
        <v>3842.3900000000003</v>
      </c>
    </row>
    <row r="466" spans="1:4" x14ac:dyDescent="0.35">
      <c r="A466" s="32">
        <f t="shared" ca="1" si="7"/>
        <v>45464</v>
      </c>
      <c r="B466">
        <v>4</v>
      </c>
      <c r="C466">
        <v>98</v>
      </c>
      <c r="D466">
        <v>3625.02</v>
      </c>
    </row>
    <row r="467" spans="1:4" x14ac:dyDescent="0.35">
      <c r="A467" s="32">
        <f t="shared" ca="1" si="7"/>
        <v>45401</v>
      </c>
      <c r="B467">
        <v>484</v>
      </c>
      <c r="C467">
        <v>12865</v>
      </c>
      <c r="D467">
        <v>317765.5</v>
      </c>
    </row>
    <row r="468" spans="1:4" x14ac:dyDescent="0.35">
      <c r="A468" s="32">
        <f t="shared" ca="1" si="7"/>
        <v>45429</v>
      </c>
      <c r="B468">
        <v>10</v>
      </c>
      <c r="C468">
        <v>111</v>
      </c>
      <c r="D468">
        <v>3217.89</v>
      </c>
    </row>
    <row r="469" spans="1:4" x14ac:dyDescent="0.35">
      <c r="A469" s="32">
        <f t="shared" ca="1" si="7"/>
        <v>45455</v>
      </c>
      <c r="B469">
        <v>0</v>
      </c>
      <c r="C469">
        <v>5377</v>
      </c>
      <c r="D469">
        <v>150663.54</v>
      </c>
    </row>
    <row r="470" spans="1:4" x14ac:dyDescent="0.35">
      <c r="A470" s="32">
        <f t="shared" ca="1" si="7"/>
        <v>45454</v>
      </c>
      <c r="B470">
        <v>10</v>
      </c>
      <c r="C470">
        <v>11</v>
      </c>
      <c r="D470">
        <v>319.33000000000004</v>
      </c>
    </row>
    <row r="471" spans="1:4" x14ac:dyDescent="0.35">
      <c r="A471" s="32">
        <f t="shared" ca="1" si="7"/>
        <v>45454</v>
      </c>
      <c r="B471">
        <v>5</v>
      </c>
      <c r="C471">
        <v>1</v>
      </c>
      <c r="D471">
        <v>45.35</v>
      </c>
    </row>
    <row r="472" spans="1:4" x14ac:dyDescent="0.35">
      <c r="A472" s="32">
        <f t="shared" ca="1" si="7"/>
        <v>45399</v>
      </c>
      <c r="B472">
        <v>10</v>
      </c>
      <c r="C472">
        <v>55</v>
      </c>
      <c r="D472">
        <v>3779.6</v>
      </c>
    </row>
    <row r="473" spans="1:4" x14ac:dyDescent="0.35">
      <c r="A473" s="32">
        <f t="shared" ca="1" si="7"/>
        <v>45471</v>
      </c>
      <c r="B473">
        <v>0</v>
      </c>
      <c r="C473">
        <v>14</v>
      </c>
      <c r="D473">
        <v>1819.8600000000001</v>
      </c>
    </row>
    <row r="474" spans="1:4" x14ac:dyDescent="0.35">
      <c r="A474" s="32">
        <f t="shared" ca="1" si="7"/>
        <v>45463</v>
      </c>
      <c r="B474">
        <v>12</v>
      </c>
      <c r="C474">
        <v>60</v>
      </c>
      <c r="D474">
        <v>4499.3999999999996</v>
      </c>
    </row>
    <row r="475" spans="1:4" x14ac:dyDescent="0.35">
      <c r="A475" s="32">
        <f t="shared" ca="1" si="7"/>
        <v>45372</v>
      </c>
      <c r="B475">
        <v>3</v>
      </c>
      <c r="C475">
        <v>60</v>
      </c>
      <c r="D475">
        <v>3179.4</v>
      </c>
    </row>
    <row r="476" spans="1:4" x14ac:dyDescent="0.35">
      <c r="A476" s="32">
        <f t="shared" ca="1" si="7"/>
        <v>45348</v>
      </c>
      <c r="B476">
        <v>0</v>
      </c>
      <c r="C476">
        <v>604</v>
      </c>
      <c r="D476">
        <v>17987.12</v>
      </c>
    </row>
    <row r="477" spans="1:4" x14ac:dyDescent="0.35">
      <c r="A477" s="32">
        <f t="shared" ca="1" si="7"/>
        <v>45443</v>
      </c>
      <c r="B477">
        <v>2</v>
      </c>
      <c r="C477">
        <v>63</v>
      </c>
      <c r="D477">
        <v>3779.3700000000003</v>
      </c>
    </row>
    <row r="478" spans="1:4" x14ac:dyDescent="0.35">
      <c r="A478" s="32">
        <f t="shared" ca="1" si="7"/>
        <v>45328</v>
      </c>
      <c r="B478">
        <v>10</v>
      </c>
      <c r="C478">
        <v>74</v>
      </c>
      <c r="D478">
        <v>3396.6</v>
      </c>
    </row>
    <row r="479" spans="1:4" x14ac:dyDescent="0.35">
      <c r="A479" s="32">
        <f t="shared" ca="1" si="7"/>
        <v>45449</v>
      </c>
      <c r="B479">
        <v>7</v>
      </c>
      <c r="C479">
        <v>1391</v>
      </c>
      <c r="D479">
        <v>46528.950000000004</v>
      </c>
    </row>
    <row r="480" spans="1:4" x14ac:dyDescent="0.35">
      <c r="A480" s="32">
        <f t="shared" ca="1" si="7"/>
        <v>45442</v>
      </c>
      <c r="B480">
        <v>8</v>
      </c>
      <c r="C480">
        <v>4</v>
      </c>
      <c r="D480">
        <v>79.959999999999994</v>
      </c>
    </row>
    <row r="481" spans="1:4" x14ac:dyDescent="0.35">
      <c r="A481" s="32">
        <f t="shared" ca="1" si="7"/>
        <v>45378</v>
      </c>
      <c r="B481">
        <v>3</v>
      </c>
      <c r="C481">
        <v>21</v>
      </c>
      <c r="D481">
        <v>1954.05</v>
      </c>
    </row>
    <row r="482" spans="1:4" x14ac:dyDescent="0.35">
      <c r="A482" s="32">
        <f t="shared" ca="1" si="7"/>
        <v>45468</v>
      </c>
      <c r="B482">
        <v>3</v>
      </c>
      <c r="C482">
        <v>420</v>
      </c>
      <c r="D482">
        <v>19194</v>
      </c>
    </row>
    <row r="483" spans="1:4" x14ac:dyDescent="0.35">
      <c r="A483" s="32">
        <f t="shared" ca="1" si="7"/>
        <v>45431</v>
      </c>
      <c r="B483">
        <v>10</v>
      </c>
      <c r="C483">
        <v>3171</v>
      </c>
      <c r="D483">
        <v>230087.76</v>
      </c>
    </row>
    <row r="484" spans="1:4" x14ac:dyDescent="0.35">
      <c r="A484" s="32">
        <f t="shared" ca="1" si="7"/>
        <v>45453</v>
      </c>
      <c r="B484">
        <v>0</v>
      </c>
      <c r="C484">
        <v>684</v>
      </c>
      <c r="D484">
        <v>75294.720000000001</v>
      </c>
    </row>
    <row r="485" spans="1:4" x14ac:dyDescent="0.35">
      <c r="A485" s="32">
        <f t="shared" ca="1" si="7"/>
        <v>45305</v>
      </c>
      <c r="B485">
        <v>3</v>
      </c>
      <c r="C485">
        <v>41</v>
      </c>
      <c r="D485">
        <v>1598.5900000000001</v>
      </c>
    </row>
    <row r="486" spans="1:4" x14ac:dyDescent="0.35">
      <c r="A486" s="32">
        <f t="shared" ca="1" si="7"/>
        <v>45467</v>
      </c>
      <c r="B486">
        <v>10</v>
      </c>
      <c r="C486">
        <v>30</v>
      </c>
      <c r="D486">
        <v>1177.5</v>
      </c>
    </row>
    <row r="487" spans="1:4" x14ac:dyDescent="0.35">
      <c r="A487" s="32">
        <f t="shared" ca="1" si="7"/>
        <v>45317</v>
      </c>
      <c r="B487">
        <v>3</v>
      </c>
      <c r="C487">
        <v>5</v>
      </c>
      <c r="D487">
        <v>98.65</v>
      </c>
    </row>
    <row r="488" spans="1:4" x14ac:dyDescent="0.35">
      <c r="A488" s="32">
        <f t="shared" ca="1" si="7"/>
        <v>45459</v>
      </c>
      <c r="B488">
        <v>10</v>
      </c>
      <c r="C488">
        <v>83</v>
      </c>
      <c r="D488">
        <v>3652</v>
      </c>
    </row>
    <row r="489" spans="1:4" x14ac:dyDescent="0.35">
      <c r="A489" s="32">
        <f t="shared" ca="1" si="7"/>
        <v>45325</v>
      </c>
      <c r="B489">
        <v>2</v>
      </c>
      <c r="C489">
        <v>401</v>
      </c>
      <c r="D489">
        <v>13233</v>
      </c>
    </row>
    <row r="490" spans="1:4" x14ac:dyDescent="0.35">
      <c r="A490" s="32">
        <f t="shared" ca="1" si="7"/>
        <v>45404</v>
      </c>
      <c r="B490">
        <v>10</v>
      </c>
      <c r="C490">
        <v>82</v>
      </c>
      <c r="D490">
        <v>6149.1799999999994</v>
      </c>
    </row>
    <row r="491" spans="1:4" x14ac:dyDescent="0.35">
      <c r="A491" s="32">
        <f t="shared" ca="1" si="7"/>
        <v>45305</v>
      </c>
      <c r="B491">
        <v>10</v>
      </c>
      <c r="C491">
        <v>19</v>
      </c>
      <c r="D491">
        <v>949.24</v>
      </c>
    </row>
    <row r="492" spans="1:4" x14ac:dyDescent="0.35">
      <c r="A492" s="32">
        <f t="shared" ca="1" si="7"/>
        <v>45435</v>
      </c>
      <c r="B492">
        <v>2</v>
      </c>
      <c r="C492">
        <v>20</v>
      </c>
      <c r="D492">
        <v>1199.8</v>
      </c>
    </row>
    <row r="493" spans="1:4" x14ac:dyDescent="0.35">
      <c r="A493" s="32">
        <f t="shared" ca="1" si="7"/>
        <v>45380</v>
      </c>
      <c r="B493">
        <v>0</v>
      </c>
      <c r="C493">
        <v>196</v>
      </c>
      <c r="D493">
        <v>4341.3999999999996</v>
      </c>
    </row>
    <row r="494" spans="1:4" x14ac:dyDescent="0.35">
      <c r="A494" s="32">
        <f t="shared" ca="1" si="7"/>
        <v>45443</v>
      </c>
      <c r="B494">
        <v>10</v>
      </c>
      <c r="C494">
        <v>79</v>
      </c>
      <c r="D494">
        <v>1184.21</v>
      </c>
    </row>
    <row r="495" spans="1:4" x14ac:dyDescent="0.35">
      <c r="A495" s="32">
        <f t="shared" ca="1" si="7"/>
        <v>45463</v>
      </c>
      <c r="B495">
        <v>10</v>
      </c>
      <c r="C495">
        <v>170</v>
      </c>
      <c r="D495">
        <v>8498.3000000000011</v>
      </c>
    </row>
    <row r="496" spans="1:4" x14ac:dyDescent="0.35">
      <c r="A496" s="32">
        <f t="shared" ca="1" si="7"/>
        <v>45419</v>
      </c>
      <c r="B496">
        <v>3</v>
      </c>
      <c r="C496">
        <v>56</v>
      </c>
      <c r="D496">
        <v>1791.4399999999998</v>
      </c>
    </row>
    <row r="497" spans="1:4" x14ac:dyDescent="0.35">
      <c r="A497" s="32">
        <f t="shared" ca="1" si="7"/>
        <v>45375</v>
      </c>
      <c r="B497">
        <v>4</v>
      </c>
      <c r="C497">
        <v>335</v>
      </c>
      <c r="D497">
        <v>20977.7</v>
      </c>
    </row>
    <row r="498" spans="1:4" x14ac:dyDescent="0.35">
      <c r="A498" s="32">
        <f t="shared" ca="1" si="7"/>
        <v>45439</v>
      </c>
      <c r="B498">
        <v>4</v>
      </c>
      <c r="C498">
        <v>68</v>
      </c>
      <c r="D498">
        <v>3399.32</v>
      </c>
    </row>
    <row r="499" spans="1:4" x14ac:dyDescent="0.35">
      <c r="A499" s="32">
        <f t="shared" ca="1" si="7"/>
        <v>45305</v>
      </c>
      <c r="B499">
        <v>2</v>
      </c>
      <c r="C499">
        <v>363</v>
      </c>
      <c r="D499">
        <v>13884.75</v>
      </c>
    </row>
    <row r="500" spans="1:4" x14ac:dyDescent="0.35">
      <c r="A500" s="32">
        <f t="shared" ca="1" si="7"/>
        <v>45445</v>
      </c>
      <c r="B500">
        <v>2</v>
      </c>
      <c r="C500">
        <v>8</v>
      </c>
      <c r="D500">
        <v>306</v>
      </c>
    </row>
    <row r="501" spans="1:4" x14ac:dyDescent="0.35">
      <c r="A501" s="32">
        <f t="shared" ca="1" si="7"/>
        <v>45372</v>
      </c>
      <c r="B501">
        <v>0</v>
      </c>
      <c r="C501">
        <v>5227</v>
      </c>
      <c r="D501">
        <v>305570.42</v>
      </c>
    </row>
    <row r="502" spans="1:4" x14ac:dyDescent="0.35">
      <c r="A502" s="32">
        <f t="shared" ca="1" si="7"/>
        <v>45375</v>
      </c>
      <c r="B502">
        <v>6</v>
      </c>
      <c r="C502">
        <v>47</v>
      </c>
      <c r="D502">
        <v>7532.6900000000005</v>
      </c>
    </row>
    <row r="503" spans="1:4" x14ac:dyDescent="0.35">
      <c r="A503" s="32">
        <f t="shared" ca="1" si="7"/>
        <v>45395</v>
      </c>
      <c r="B503">
        <v>10</v>
      </c>
      <c r="C503">
        <v>969</v>
      </c>
      <c r="D503">
        <v>47432.55</v>
      </c>
    </row>
    <row r="504" spans="1:4" x14ac:dyDescent="0.35">
      <c r="A504" s="32">
        <f t="shared" ca="1" si="7"/>
        <v>45446</v>
      </c>
      <c r="B504">
        <v>0</v>
      </c>
      <c r="C504">
        <v>207</v>
      </c>
      <c r="D504">
        <v>8277.93</v>
      </c>
    </row>
    <row r="505" spans="1:4" x14ac:dyDescent="0.35">
      <c r="A505" s="32">
        <f t="shared" ca="1" si="7"/>
        <v>45301</v>
      </c>
      <c r="B505">
        <v>3</v>
      </c>
      <c r="C505">
        <v>37</v>
      </c>
      <c r="D505">
        <v>7104</v>
      </c>
    </row>
    <row r="506" spans="1:4" x14ac:dyDescent="0.35">
      <c r="A506" s="32">
        <f t="shared" ca="1" si="7"/>
        <v>45298</v>
      </c>
      <c r="B506">
        <v>5</v>
      </c>
      <c r="C506">
        <v>463</v>
      </c>
      <c r="D506">
        <v>22913.870000000003</v>
      </c>
    </row>
    <row r="507" spans="1:4" x14ac:dyDescent="0.35">
      <c r="A507" s="32">
        <f t="shared" ca="1" si="7"/>
        <v>45372</v>
      </c>
      <c r="B507">
        <v>10</v>
      </c>
      <c r="C507">
        <v>8</v>
      </c>
      <c r="D507">
        <v>679.92</v>
      </c>
    </row>
    <row r="508" spans="1:4" x14ac:dyDescent="0.35">
      <c r="A508" s="32">
        <f t="shared" ca="1" si="7"/>
        <v>45339</v>
      </c>
      <c r="B508">
        <v>66</v>
      </c>
      <c r="C508">
        <v>143</v>
      </c>
      <c r="D508">
        <v>7796.3600000000006</v>
      </c>
    </row>
    <row r="509" spans="1:4" x14ac:dyDescent="0.35">
      <c r="A509" s="32">
        <f t="shared" ca="1" si="7"/>
        <v>45472</v>
      </c>
      <c r="B509">
        <v>9</v>
      </c>
      <c r="C509">
        <v>417</v>
      </c>
      <c r="D509">
        <v>3469.44</v>
      </c>
    </row>
    <row r="510" spans="1:4" x14ac:dyDescent="0.35">
      <c r="A510" s="32">
        <f t="shared" ca="1" si="7"/>
        <v>45349</v>
      </c>
      <c r="B510">
        <v>10</v>
      </c>
      <c r="C510">
        <v>16</v>
      </c>
      <c r="D510">
        <v>639.84</v>
      </c>
    </row>
    <row r="511" spans="1:4" x14ac:dyDescent="0.35">
      <c r="A511" s="32">
        <f t="shared" ca="1" si="7"/>
        <v>45386</v>
      </c>
      <c r="B511">
        <v>3</v>
      </c>
      <c r="C511">
        <v>458</v>
      </c>
      <c r="D511">
        <v>13717.1</v>
      </c>
    </row>
    <row r="512" spans="1:4" x14ac:dyDescent="0.35">
      <c r="A512" s="32">
        <f t="shared" ca="1" si="7"/>
        <v>45389</v>
      </c>
      <c r="B512">
        <v>10</v>
      </c>
      <c r="C512">
        <v>112</v>
      </c>
      <c r="D512">
        <v>2382.2399999999998</v>
      </c>
    </row>
    <row r="513" spans="1:4" x14ac:dyDescent="0.35">
      <c r="A513" s="32">
        <f t="shared" ca="1" si="7"/>
        <v>45388</v>
      </c>
      <c r="B513">
        <v>0</v>
      </c>
      <c r="C513">
        <v>31</v>
      </c>
      <c r="D513">
        <v>947.9799999999999</v>
      </c>
    </row>
    <row r="514" spans="1:4" x14ac:dyDescent="0.35">
      <c r="A514" s="32">
        <f t="shared" ca="1" si="7"/>
        <v>45403</v>
      </c>
      <c r="B514">
        <v>10</v>
      </c>
      <c r="C514">
        <v>17</v>
      </c>
      <c r="D514">
        <v>515.27</v>
      </c>
    </row>
    <row r="515" spans="1:4" x14ac:dyDescent="0.35">
      <c r="A515" s="32">
        <f t="shared" ref="A515:A578" ca="1" si="8">RANDBETWEEN(DATE(2024,1,1),(DATE(2024,6,30)))</f>
        <v>45390</v>
      </c>
      <c r="B515">
        <v>44</v>
      </c>
      <c r="C515">
        <v>121</v>
      </c>
      <c r="D515">
        <v>5922.9500000000007</v>
      </c>
    </row>
    <row r="516" spans="1:4" x14ac:dyDescent="0.35">
      <c r="A516" s="32">
        <f t="shared" ca="1" si="8"/>
        <v>45318</v>
      </c>
      <c r="B516">
        <v>10</v>
      </c>
      <c r="C516">
        <v>24048</v>
      </c>
      <c r="D516">
        <v>566570.88</v>
      </c>
    </row>
    <row r="517" spans="1:4" x14ac:dyDescent="0.35">
      <c r="A517" s="32">
        <f t="shared" ca="1" si="8"/>
        <v>45314</v>
      </c>
      <c r="B517">
        <v>0</v>
      </c>
      <c r="C517">
        <v>494</v>
      </c>
      <c r="D517">
        <v>22798.1</v>
      </c>
    </row>
    <row r="518" spans="1:4" x14ac:dyDescent="0.35">
      <c r="A518" s="32">
        <f t="shared" ca="1" si="8"/>
        <v>45467</v>
      </c>
      <c r="B518">
        <v>10</v>
      </c>
      <c r="C518">
        <v>236</v>
      </c>
      <c r="D518">
        <v>9437.6400000000012</v>
      </c>
    </row>
    <row r="519" spans="1:4" x14ac:dyDescent="0.35">
      <c r="A519" s="32">
        <f t="shared" ca="1" si="8"/>
        <v>45420</v>
      </c>
      <c r="B519">
        <v>10</v>
      </c>
      <c r="C519">
        <v>21</v>
      </c>
      <c r="D519">
        <v>879.27</v>
      </c>
    </row>
    <row r="520" spans="1:4" x14ac:dyDescent="0.35">
      <c r="A520" s="32">
        <f t="shared" ca="1" si="8"/>
        <v>45472</v>
      </c>
      <c r="B520">
        <v>10</v>
      </c>
      <c r="C520">
        <v>30</v>
      </c>
      <c r="D520">
        <v>2299.5</v>
      </c>
    </row>
    <row r="521" spans="1:4" x14ac:dyDescent="0.35">
      <c r="A521" s="32">
        <f t="shared" ca="1" si="8"/>
        <v>45395</v>
      </c>
      <c r="B521">
        <v>4</v>
      </c>
      <c r="C521">
        <v>9410</v>
      </c>
      <c r="D521">
        <v>83184.399999999994</v>
      </c>
    </row>
    <row r="522" spans="1:4" x14ac:dyDescent="0.35">
      <c r="A522" s="32">
        <f t="shared" ca="1" si="8"/>
        <v>45434</v>
      </c>
      <c r="B522">
        <v>4</v>
      </c>
      <c r="C522">
        <v>25</v>
      </c>
      <c r="D522">
        <v>999.75</v>
      </c>
    </row>
    <row r="523" spans="1:4" x14ac:dyDescent="0.35">
      <c r="A523" s="32">
        <f t="shared" ca="1" si="8"/>
        <v>45466</v>
      </c>
      <c r="B523">
        <v>3</v>
      </c>
      <c r="C523">
        <v>16</v>
      </c>
      <c r="D523">
        <v>390.88</v>
      </c>
    </row>
    <row r="524" spans="1:4" x14ac:dyDescent="0.35">
      <c r="A524" s="32">
        <f t="shared" ca="1" si="8"/>
        <v>45445</v>
      </c>
      <c r="B524">
        <v>10</v>
      </c>
      <c r="C524">
        <v>3</v>
      </c>
      <c r="D524">
        <v>202.5</v>
      </c>
    </row>
    <row r="525" spans="1:4" x14ac:dyDescent="0.35">
      <c r="A525" s="32">
        <f t="shared" ca="1" si="8"/>
        <v>45418</v>
      </c>
      <c r="B525">
        <v>10</v>
      </c>
      <c r="C525">
        <v>15</v>
      </c>
      <c r="D525">
        <v>1423.95</v>
      </c>
    </row>
    <row r="526" spans="1:4" x14ac:dyDescent="0.35">
      <c r="A526" s="32">
        <f t="shared" ca="1" si="8"/>
        <v>45373</v>
      </c>
      <c r="B526">
        <v>10</v>
      </c>
      <c r="C526">
        <v>300</v>
      </c>
      <c r="D526">
        <v>11340</v>
      </c>
    </row>
    <row r="527" spans="1:4" x14ac:dyDescent="0.35">
      <c r="A527" s="32">
        <f t="shared" ca="1" si="8"/>
        <v>45435</v>
      </c>
      <c r="B527">
        <v>0</v>
      </c>
      <c r="C527">
        <v>3009</v>
      </c>
      <c r="D527">
        <v>10531.5</v>
      </c>
    </row>
    <row r="528" spans="1:4" x14ac:dyDescent="0.35">
      <c r="A528" s="32">
        <f t="shared" ca="1" si="8"/>
        <v>45322</v>
      </c>
      <c r="B528">
        <v>10</v>
      </c>
      <c r="C528">
        <v>87</v>
      </c>
      <c r="D528">
        <v>2609.1299999999997</v>
      </c>
    </row>
    <row r="529" spans="1:4" x14ac:dyDescent="0.35">
      <c r="A529" s="32">
        <f t="shared" ca="1" si="8"/>
        <v>45436</v>
      </c>
      <c r="B529">
        <v>0</v>
      </c>
      <c r="C529">
        <v>15</v>
      </c>
      <c r="D529">
        <v>1198.3499999999999</v>
      </c>
    </row>
    <row r="530" spans="1:4" x14ac:dyDescent="0.35">
      <c r="A530" s="32">
        <f t="shared" ca="1" si="8"/>
        <v>45446</v>
      </c>
      <c r="B530">
        <v>3</v>
      </c>
      <c r="C530">
        <v>242</v>
      </c>
      <c r="D530">
        <v>7894.0399999999991</v>
      </c>
    </row>
    <row r="531" spans="1:4" x14ac:dyDescent="0.35">
      <c r="A531" s="32">
        <f t="shared" ca="1" si="8"/>
        <v>45328</v>
      </c>
      <c r="B531">
        <v>10</v>
      </c>
      <c r="C531">
        <v>33</v>
      </c>
      <c r="D531">
        <v>1271.49</v>
      </c>
    </row>
    <row r="532" spans="1:4" x14ac:dyDescent="0.35">
      <c r="A532" s="32">
        <f t="shared" ca="1" si="8"/>
        <v>45336</v>
      </c>
      <c r="B532">
        <v>10</v>
      </c>
      <c r="C532">
        <v>233</v>
      </c>
      <c r="D532">
        <v>6987.67</v>
      </c>
    </row>
    <row r="533" spans="1:4" x14ac:dyDescent="0.35">
      <c r="A533" s="32">
        <f t="shared" ca="1" si="8"/>
        <v>45372</v>
      </c>
      <c r="B533">
        <v>0</v>
      </c>
      <c r="C533">
        <v>15</v>
      </c>
      <c r="D533">
        <v>1687.35</v>
      </c>
    </row>
    <row r="534" spans="1:4" x14ac:dyDescent="0.35">
      <c r="A534" s="32">
        <f t="shared" ca="1" si="8"/>
        <v>45332</v>
      </c>
      <c r="B534">
        <v>8</v>
      </c>
      <c r="C534">
        <v>7</v>
      </c>
      <c r="D534">
        <v>258.93</v>
      </c>
    </row>
    <row r="535" spans="1:4" x14ac:dyDescent="0.35">
      <c r="A535" s="32">
        <f t="shared" ca="1" si="8"/>
        <v>45391</v>
      </c>
      <c r="B535">
        <v>3</v>
      </c>
      <c r="C535">
        <v>11</v>
      </c>
      <c r="D535">
        <v>403.15</v>
      </c>
    </row>
    <row r="536" spans="1:4" x14ac:dyDescent="0.35">
      <c r="A536" s="32">
        <f t="shared" ca="1" si="8"/>
        <v>45356</v>
      </c>
      <c r="B536">
        <v>2</v>
      </c>
      <c r="C536">
        <v>291</v>
      </c>
      <c r="D536">
        <v>4362.09</v>
      </c>
    </row>
    <row r="537" spans="1:4" x14ac:dyDescent="0.35">
      <c r="A537" s="32">
        <f t="shared" ca="1" si="8"/>
        <v>45382</v>
      </c>
      <c r="B537">
        <v>0</v>
      </c>
      <c r="C537">
        <v>10</v>
      </c>
      <c r="D537">
        <v>1080</v>
      </c>
    </row>
    <row r="538" spans="1:4" x14ac:dyDescent="0.35">
      <c r="A538" s="32">
        <f t="shared" ca="1" si="8"/>
        <v>45365</v>
      </c>
      <c r="B538">
        <v>9</v>
      </c>
      <c r="C538">
        <v>17</v>
      </c>
      <c r="D538">
        <v>594.83000000000004</v>
      </c>
    </row>
    <row r="539" spans="1:4" x14ac:dyDescent="0.35">
      <c r="A539" s="32">
        <f t="shared" ca="1" si="8"/>
        <v>45339</v>
      </c>
      <c r="B539">
        <v>10</v>
      </c>
      <c r="C539">
        <v>16</v>
      </c>
      <c r="D539">
        <v>1188</v>
      </c>
    </row>
    <row r="540" spans="1:4" x14ac:dyDescent="0.35">
      <c r="A540" s="32">
        <f t="shared" ca="1" si="8"/>
        <v>45461</v>
      </c>
      <c r="B540">
        <v>4</v>
      </c>
      <c r="C540">
        <v>11</v>
      </c>
      <c r="D540">
        <v>132</v>
      </c>
    </row>
    <row r="541" spans="1:4" x14ac:dyDescent="0.35">
      <c r="A541" s="32">
        <f t="shared" ca="1" si="8"/>
        <v>45305</v>
      </c>
      <c r="B541">
        <v>129</v>
      </c>
      <c r="C541">
        <v>26</v>
      </c>
      <c r="D541">
        <v>1039.74</v>
      </c>
    </row>
    <row r="542" spans="1:4" x14ac:dyDescent="0.35">
      <c r="A542" s="32">
        <f t="shared" ca="1" si="8"/>
        <v>45417</v>
      </c>
      <c r="B542">
        <v>10</v>
      </c>
      <c r="C542">
        <v>204</v>
      </c>
      <c r="D542">
        <v>6117.96</v>
      </c>
    </row>
    <row r="543" spans="1:4" x14ac:dyDescent="0.35">
      <c r="A543" s="32">
        <f t="shared" ca="1" si="8"/>
        <v>45370</v>
      </c>
      <c r="B543">
        <v>13</v>
      </c>
      <c r="C543">
        <v>15</v>
      </c>
      <c r="D543">
        <v>764.85</v>
      </c>
    </row>
    <row r="544" spans="1:4" x14ac:dyDescent="0.35">
      <c r="A544" s="32">
        <f t="shared" ca="1" si="8"/>
        <v>45396</v>
      </c>
      <c r="B544">
        <v>48</v>
      </c>
      <c r="C544">
        <v>12</v>
      </c>
      <c r="D544">
        <v>383.76</v>
      </c>
    </row>
    <row r="545" spans="1:4" x14ac:dyDescent="0.35">
      <c r="A545" s="32">
        <f t="shared" ca="1" si="8"/>
        <v>45427</v>
      </c>
      <c r="B545">
        <v>3</v>
      </c>
      <c r="C545">
        <v>77</v>
      </c>
      <c r="D545">
        <v>1269.7299999999998</v>
      </c>
    </row>
    <row r="546" spans="1:4" x14ac:dyDescent="0.35">
      <c r="A546" s="32">
        <f t="shared" ca="1" si="8"/>
        <v>45455</v>
      </c>
      <c r="B546">
        <v>456</v>
      </c>
      <c r="C546">
        <v>10</v>
      </c>
      <c r="D546">
        <v>329.90000000000003</v>
      </c>
    </row>
    <row r="547" spans="1:4" x14ac:dyDescent="0.35">
      <c r="A547" s="32">
        <f t="shared" ca="1" si="8"/>
        <v>45424</v>
      </c>
      <c r="B547">
        <v>10</v>
      </c>
      <c r="C547">
        <v>400</v>
      </c>
      <c r="D547">
        <v>13347.999999999998</v>
      </c>
    </row>
    <row r="548" spans="1:4" x14ac:dyDescent="0.35">
      <c r="A548" s="32">
        <f t="shared" ca="1" si="8"/>
        <v>45421</v>
      </c>
      <c r="B548">
        <v>10</v>
      </c>
      <c r="C548">
        <v>40</v>
      </c>
      <c r="D548">
        <v>3546</v>
      </c>
    </row>
    <row r="549" spans="1:4" x14ac:dyDescent="0.35">
      <c r="A549" s="32">
        <f t="shared" ca="1" si="8"/>
        <v>45442</v>
      </c>
      <c r="B549">
        <v>9</v>
      </c>
      <c r="C549">
        <v>5</v>
      </c>
      <c r="D549">
        <v>159.75</v>
      </c>
    </row>
    <row r="550" spans="1:4" x14ac:dyDescent="0.35">
      <c r="A550" s="32">
        <f t="shared" ca="1" si="8"/>
        <v>45292</v>
      </c>
      <c r="B550">
        <v>5</v>
      </c>
      <c r="C550">
        <v>25</v>
      </c>
      <c r="D550">
        <v>587.25</v>
      </c>
    </row>
    <row r="551" spans="1:4" x14ac:dyDescent="0.35">
      <c r="A551" s="32">
        <f t="shared" ca="1" si="8"/>
        <v>45351</v>
      </c>
      <c r="B551">
        <v>10</v>
      </c>
      <c r="C551">
        <v>67</v>
      </c>
      <c r="D551">
        <v>1105.5</v>
      </c>
    </row>
    <row r="552" spans="1:4" x14ac:dyDescent="0.35">
      <c r="A552" s="32">
        <f t="shared" ca="1" si="8"/>
        <v>45410</v>
      </c>
      <c r="B552">
        <v>9</v>
      </c>
      <c r="C552">
        <v>485</v>
      </c>
      <c r="D552">
        <v>13550.900000000001</v>
      </c>
    </row>
    <row r="553" spans="1:4" x14ac:dyDescent="0.35">
      <c r="A553" s="32">
        <f t="shared" ca="1" si="8"/>
        <v>45376</v>
      </c>
      <c r="B553">
        <v>0</v>
      </c>
      <c r="C553">
        <v>103</v>
      </c>
      <c r="D553">
        <v>1028.97</v>
      </c>
    </row>
    <row r="554" spans="1:4" x14ac:dyDescent="0.35">
      <c r="A554" s="32">
        <f t="shared" ca="1" si="8"/>
        <v>45390</v>
      </c>
      <c r="B554">
        <v>50</v>
      </c>
      <c r="C554">
        <v>12184</v>
      </c>
      <c r="D554">
        <v>318124.24</v>
      </c>
    </row>
    <row r="555" spans="1:4" x14ac:dyDescent="0.35">
      <c r="A555" s="32">
        <f t="shared" ca="1" si="8"/>
        <v>45344</v>
      </c>
      <c r="B555">
        <v>44</v>
      </c>
      <c r="C555">
        <v>771</v>
      </c>
      <c r="D555">
        <v>28033.56</v>
      </c>
    </row>
    <row r="556" spans="1:4" x14ac:dyDescent="0.35">
      <c r="A556" s="32">
        <f t="shared" ca="1" si="8"/>
        <v>45410</v>
      </c>
      <c r="B556">
        <v>0</v>
      </c>
      <c r="C556">
        <v>9</v>
      </c>
      <c r="D556">
        <v>828</v>
      </c>
    </row>
    <row r="557" spans="1:4" x14ac:dyDescent="0.35">
      <c r="A557" s="32">
        <f t="shared" ca="1" si="8"/>
        <v>45309</v>
      </c>
      <c r="B557">
        <v>10</v>
      </c>
      <c r="C557">
        <v>8</v>
      </c>
      <c r="D557">
        <v>78.239999999999995</v>
      </c>
    </row>
    <row r="558" spans="1:4" x14ac:dyDescent="0.35">
      <c r="A558" s="32">
        <f t="shared" ca="1" si="8"/>
        <v>45450</v>
      </c>
      <c r="B558">
        <v>10</v>
      </c>
      <c r="C558">
        <v>10</v>
      </c>
      <c r="D558">
        <v>686.1</v>
      </c>
    </row>
    <row r="559" spans="1:4" x14ac:dyDescent="0.35">
      <c r="A559" s="32">
        <f t="shared" ca="1" si="8"/>
        <v>45396</v>
      </c>
      <c r="B559">
        <v>10</v>
      </c>
      <c r="C559">
        <v>103</v>
      </c>
      <c r="D559">
        <v>1683.02</v>
      </c>
    </row>
    <row r="560" spans="1:4" x14ac:dyDescent="0.35">
      <c r="A560" s="32">
        <f t="shared" ca="1" si="8"/>
        <v>45408</v>
      </c>
      <c r="B560">
        <v>0</v>
      </c>
      <c r="C560">
        <v>141</v>
      </c>
      <c r="D560">
        <v>1408.59</v>
      </c>
    </row>
    <row r="561" spans="1:4" x14ac:dyDescent="0.35">
      <c r="A561" s="32">
        <f t="shared" ca="1" si="8"/>
        <v>45336</v>
      </c>
      <c r="B561">
        <v>0</v>
      </c>
      <c r="C561">
        <v>7</v>
      </c>
      <c r="D561">
        <v>643.86</v>
      </c>
    </row>
    <row r="562" spans="1:4" x14ac:dyDescent="0.35">
      <c r="A562" s="32">
        <f t="shared" ca="1" si="8"/>
        <v>45462</v>
      </c>
      <c r="B562">
        <v>0</v>
      </c>
      <c r="C562">
        <v>29</v>
      </c>
      <c r="D562">
        <v>797.5</v>
      </c>
    </row>
    <row r="563" spans="1:4" x14ac:dyDescent="0.35">
      <c r="A563" s="32">
        <f t="shared" ca="1" si="8"/>
        <v>45371</v>
      </c>
      <c r="B563">
        <v>16</v>
      </c>
      <c r="C563">
        <v>6633</v>
      </c>
      <c r="D563">
        <v>134318.25</v>
      </c>
    </row>
    <row r="564" spans="1:4" x14ac:dyDescent="0.35">
      <c r="A564" s="32">
        <f t="shared" ca="1" si="8"/>
        <v>45319</v>
      </c>
      <c r="B564">
        <v>5</v>
      </c>
      <c r="C564">
        <v>136</v>
      </c>
      <c r="D564">
        <v>2174.64</v>
      </c>
    </row>
    <row r="565" spans="1:4" x14ac:dyDescent="0.35">
      <c r="A565" s="32">
        <f t="shared" ca="1" si="8"/>
        <v>45371</v>
      </c>
      <c r="B565">
        <v>10</v>
      </c>
      <c r="C565">
        <v>6</v>
      </c>
      <c r="D565">
        <v>149.94</v>
      </c>
    </row>
    <row r="566" spans="1:4" x14ac:dyDescent="0.35">
      <c r="A566" s="32">
        <f t="shared" ca="1" si="8"/>
        <v>45418</v>
      </c>
      <c r="B566">
        <v>3</v>
      </c>
      <c r="C566">
        <v>4234</v>
      </c>
      <c r="D566">
        <v>177743.31999999998</v>
      </c>
    </row>
    <row r="567" spans="1:4" x14ac:dyDescent="0.35">
      <c r="A567" s="32">
        <f t="shared" ca="1" si="8"/>
        <v>45429</v>
      </c>
      <c r="B567">
        <v>33</v>
      </c>
      <c r="C567">
        <v>98</v>
      </c>
      <c r="D567">
        <v>9254.1400000000012</v>
      </c>
    </row>
    <row r="568" spans="1:4" x14ac:dyDescent="0.35">
      <c r="A568" s="32">
        <f t="shared" ca="1" si="8"/>
        <v>45427</v>
      </c>
      <c r="B568">
        <v>0</v>
      </c>
      <c r="C568">
        <v>305</v>
      </c>
      <c r="D568">
        <v>12196.95</v>
      </c>
    </row>
    <row r="569" spans="1:4" x14ac:dyDescent="0.35">
      <c r="A569" s="32">
        <f t="shared" ca="1" si="8"/>
        <v>45445</v>
      </c>
      <c r="B569">
        <v>3</v>
      </c>
      <c r="C569">
        <v>83</v>
      </c>
      <c r="D569">
        <v>1974.57</v>
      </c>
    </row>
    <row r="570" spans="1:4" x14ac:dyDescent="0.35">
      <c r="A570" s="32">
        <f t="shared" ca="1" si="8"/>
        <v>45332</v>
      </c>
      <c r="B570">
        <v>0</v>
      </c>
      <c r="C570">
        <v>75</v>
      </c>
      <c r="D570">
        <v>3371.25</v>
      </c>
    </row>
    <row r="571" spans="1:4" x14ac:dyDescent="0.35">
      <c r="A571" s="32">
        <f t="shared" ca="1" si="8"/>
        <v>45468</v>
      </c>
      <c r="B571">
        <v>8</v>
      </c>
      <c r="C571">
        <v>19</v>
      </c>
      <c r="D571">
        <v>950</v>
      </c>
    </row>
    <row r="572" spans="1:4" x14ac:dyDescent="0.35">
      <c r="A572" s="32">
        <f t="shared" ca="1" si="8"/>
        <v>45366</v>
      </c>
      <c r="B572">
        <v>2</v>
      </c>
      <c r="C572">
        <v>56</v>
      </c>
      <c r="D572">
        <v>529.19999999999993</v>
      </c>
    </row>
    <row r="573" spans="1:4" x14ac:dyDescent="0.35">
      <c r="A573" s="32">
        <f t="shared" ca="1" si="8"/>
        <v>45365</v>
      </c>
      <c r="B573">
        <v>0</v>
      </c>
      <c r="C573">
        <v>1165</v>
      </c>
      <c r="D573">
        <v>81643.199999999997</v>
      </c>
    </row>
    <row r="574" spans="1:4" x14ac:dyDescent="0.35">
      <c r="A574" s="32">
        <f t="shared" ca="1" si="8"/>
        <v>45362</v>
      </c>
      <c r="B574">
        <v>10</v>
      </c>
      <c r="C574">
        <v>471</v>
      </c>
      <c r="D574">
        <v>14125.289999999999</v>
      </c>
    </row>
    <row r="575" spans="1:4" x14ac:dyDescent="0.35">
      <c r="A575" s="32">
        <f t="shared" ca="1" si="8"/>
        <v>45394</v>
      </c>
      <c r="B575">
        <v>3</v>
      </c>
      <c r="C575">
        <v>244</v>
      </c>
      <c r="D575">
        <v>17543.600000000002</v>
      </c>
    </row>
    <row r="576" spans="1:4" x14ac:dyDescent="0.35">
      <c r="A576" s="32">
        <f t="shared" ca="1" si="8"/>
        <v>45351</v>
      </c>
      <c r="B576">
        <v>19</v>
      </c>
      <c r="C576">
        <v>4</v>
      </c>
      <c r="D576">
        <v>299.95999999999998</v>
      </c>
    </row>
    <row r="577" spans="1:4" x14ac:dyDescent="0.35">
      <c r="A577" s="32">
        <f t="shared" ca="1" si="8"/>
        <v>45425</v>
      </c>
      <c r="B577">
        <v>9</v>
      </c>
      <c r="C577">
        <v>51</v>
      </c>
      <c r="D577">
        <v>6936</v>
      </c>
    </row>
    <row r="578" spans="1:4" x14ac:dyDescent="0.35">
      <c r="A578" s="32">
        <f t="shared" ca="1" si="8"/>
        <v>45395</v>
      </c>
      <c r="B578">
        <v>323</v>
      </c>
      <c r="C578">
        <v>110</v>
      </c>
      <c r="D578">
        <v>2687.3</v>
      </c>
    </row>
    <row r="579" spans="1:4" x14ac:dyDescent="0.35">
      <c r="A579" s="32">
        <f t="shared" ref="A579:A642" ca="1" si="9">RANDBETWEEN(DATE(2024,1,1),(DATE(2024,6,30)))</f>
        <v>45385</v>
      </c>
      <c r="B579">
        <v>11</v>
      </c>
      <c r="C579">
        <v>52</v>
      </c>
      <c r="D579">
        <v>3691.4799999999996</v>
      </c>
    </row>
    <row r="580" spans="1:4" x14ac:dyDescent="0.35">
      <c r="A580" s="32">
        <f t="shared" ca="1" si="9"/>
        <v>45300</v>
      </c>
      <c r="B580">
        <v>6</v>
      </c>
      <c r="C580">
        <v>3</v>
      </c>
      <c r="D580">
        <v>53.97</v>
      </c>
    </row>
    <row r="581" spans="1:4" x14ac:dyDescent="0.35">
      <c r="A581" s="32">
        <f t="shared" ca="1" si="9"/>
        <v>45373</v>
      </c>
      <c r="B581">
        <v>6</v>
      </c>
      <c r="C581">
        <v>372</v>
      </c>
      <c r="D581">
        <v>12090</v>
      </c>
    </row>
    <row r="582" spans="1:4" x14ac:dyDescent="0.35">
      <c r="A582" s="32">
        <f t="shared" ca="1" si="9"/>
        <v>45430</v>
      </c>
      <c r="B582">
        <v>5</v>
      </c>
      <c r="C582">
        <v>14</v>
      </c>
      <c r="D582">
        <v>341.59999999999997</v>
      </c>
    </row>
    <row r="583" spans="1:4" x14ac:dyDescent="0.35">
      <c r="A583" s="32">
        <f t="shared" ca="1" si="9"/>
        <v>45362</v>
      </c>
      <c r="B583">
        <v>0</v>
      </c>
      <c r="C583">
        <v>40</v>
      </c>
      <c r="D583">
        <v>1279.5999999999999</v>
      </c>
    </row>
    <row r="584" spans="1:4" x14ac:dyDescent="0.35">
      <c r="A584" s="32">
        <f t="shared" ca="1" si="9"/>
        <v>45427</v>
      </c>
      <c r="B584">
        <v>51</v>
      </c>
      <c r="C584">
        <v>46</v>
      </c>
      <c r="D584">
        <v>1655.5400000000002</v>
      </c>
    </row>
    <row r="585" spans="1:4" x14ac:dyDescent="0.35">
      <c r="A585" s="32">
        <f t="shared" ca="1" si="9"/>
        <v>45464</v>
      </c>
      <c r="B585">
        <v>10</v>
      </c>
      <c r="C585">
        <v>78</v>
      </c>
      <c r="D585">
        <v>1247.22</v>
      </c>
    </row>
    <row r="586" spans="1:4" x14ac:dyDescent="0.35">
      <c r="A586" s="32">
        <f t="shared" ca="1" si="9"/>
        <v>45331</v>
      </c>
      <c r="B586">
        <v>10</v>
      </c>
      <c r="C586">
        <v>92</v>
      </c>
      <c r="D586">
        <v>2759.08</v>
      </c>
    </row>
    <row r="587" spans="1:4" x14ac:dyDescent="0.35">
      <c r="A587" s="32">
        <f t="shared" ca="1" si="9"/>
        <v>45296</v>
      </c>
      <c r="B587">
        <v>0</v>
      </c>
      <c r="C587">
        <v>37</v>
      </c>
      <c r="D587">
        <v>1442.63</v>
      </c>
    </row>
    <row r="588" spans="1:4" x14ac:dyDescent="0.35">
      <c r="A588" s="32">
        <f t="shared" ca="1" si="9"/>
        <v>45433</v>
      </c>
      <c r="B588">
        <v>10</v>
      </c>
      <c r="C588">
        <v>23</v>
      </c>
      <c r="D588">
        <v>1724.77</v>
      </c>
    </row>
    <row r="589" spans="1:4" x14ac:dyDescent="0.35">
      <c r="A589" s="32">
        <f t="shared" ca="1" si="9"/>
        <v>45370</v>
      </c>
      <c r="B589">
        <v>7</v>
      </c>
      <c r="C589">
        <v>132</v>
      </c>
      <c r="D589">
        <v>2638.68</v>
      </c>
    </row>
    <row r="590" spans="1:4" x14ac:dyDescent="0.35">
      <c r="A590" s="32">
        <f t="shared" ca="1" si="9"/>
        <v>45463</v>
      </c>
      <c r="B590">
        <v>10</v>
      </c>
      <c r="C590">
        <v>4</v>
      </c>
      <c r="D590">
        <v>236</v>
      </c>
    </row>
    <row r="591" spans="1:4" x14ac:dyDescent="0.35">
      <c r="A591" s="32">
        <f t="shared" ca="1" si="9"/>
        <v>45371</v>
      </c>
      <c r="B591">
        <v>5</v>
      </c>
      <c r="C591">
        <v>16</v>
      </c>
      <c r="D591">
        <v>1112.8</v>
      </c>
    </row>
    <row r="592" spans="1:4" x14ac:dyDescent="0.35">
      <c r="A592" s="32">
        <f t="shared" ca="1" si="9"/>
        <v>45350</v>
      </c>
      <c r="B592">
        <v>5</v>
      </c>
      <c r="C592">
        <v>24</v>
      </c>
      <c r="D592">
        <v>2639.7599999999998</v>
      </c>
    </row>
    <row r="593" spans="1:4" x14ac:dyDescent="0.35">
      <c r="A593" s="32">
        <f t="shared" ca="1" si="9"/>
        <v>45390</v>
      </c>
      <c r="B593">
        <v>10</v>
      </c>
      <c r="C593">
        <v>10</v>
      </c>
      <c r="D593">
        <v>239.89999999999998</v>
      </c>
    </row>
    <row r="594" spans="1:4" x14ac:dyDescent="0.35">
      <c r="A594" s="32">
        <f t="shared" ca="1" si="9"/>
        <v>45457</v>
      </c>
      <c r="B594">
        <v>57</v>
      </c>
      <c r="C594">
        <v>4</v>
      </c>
      <c r="D594">
        <v>12</v>
      </c>
    </row>
    <row r="595" spans="1:4" x14ac:dyDescent="0.35">
      <c r="A595" s="32">
        <f t="shared" ca="1" si="9"/>
        <v>45306</v>
      </c>
      <c r="B595">
        <v>3</v>
      </c>
      <c r="C595">
        <v>849</v>
      </c>
      <c r="D595">
        <v>29698.019999999997</v>
      </c>
    </row>
    <row r="596" spans="1:4" x14ac:dyDescent="0.35">
      <c r="A596" s="32">
        <f t="shared" ca="1" si="9"/>
        <v>45442</v>
      </c>
      <c r="B596">
        <v>5</v>
      </c>
      <c r="C596">
        <v>12</v>
      </c>
      <c r="D596">
        <v>138</v>
      </c>
    </row>
    <row r="597" spans="1:4" x14ac:dyDescent="0.35">
      <c r="A597" s="32">
        <f t="shared" ca="1" si="9"/>
        <v>45399</v>
      </c>
      <c r="B597">
        <v>28</v>
      </c>
      <c r="C597">
        <v>3</v>
      </c>
      <c r="D597">
        <v>53.97</v>
      </c>
    </row>
    <row r="598" spans="1:4" x14ac:dyDescent="0.35">
      <c r="A598" s="32">
        <f t="shared" ca="1" si="9"/>
        <v>45428</v>
      </c>
      <c r="B598">
        <v>2</v>
      </c>
      <c r="C598">
        <v>391</v>
      </c>
      <c r="D598">
        <v>4136.78</v>
      </c>
    </row>
    <row r="599" spans="1:4" x14ac:dyDescent="0.35">
      <c r="A599" s="32">
        <f t="shared" ca="1" si="9"/>
        <v>45333</v>
      </c>
      <c r="B599">
        <v>3</v>
      </c>
      <c r="C599">
        <v>2345</v>
      </c>
      <c r="D599">
        <v>39818.1</v>
      </c>
    </row>
    <row r="600" spans="1:4" x14ac:dyDescent="0.35">
      <c r="A600" s="32">
        <f t="shared" ca="1" si="9"/>
        <v>45358</v>
      </c>
      <c r="B600">
        <v>10</v>
      </c>
      <c r="C600">
        <v>410</v>
      </c>
      <c r="D600">
        <v>10438.6</v>
      </c>
    </row>
    <row r="601" spans="1:4" x14ac:dyDescent="0.35">
      <c r="A601" s="32">
        <f t="shared" ca="1" si="9"/>
        <v>45435</v>
      </c>
      <c r="B601">
        <v>9</v>
      </c>
      <c r="C601">
        <v>45</v>
      </c>
      <c r="D601">
        <v>1799.5500000000002</v>
      </c>
    </row>
    <row r="602" spans="1:4" x14ac:dyDescent="0.35">
      <c r="A602" s="32">
        <f t="shared" ca="1" si="9"/>
        <v>45324</v>
      </c>
      <c r="B602">
        <v>0</v>
      </c>
      <c r="C602">
        <v>5</v>
      </c>
      <c r="D602">
        <v>549.94999999999993</v>
      </c>
    </row>
    <row r="603" spans="1:4" x14ac:dyDescent="0.35">
      <c r="A603" s="32">
        <f t="shared" ca="1" si="9"/>
        <v>45455</v>
      </c>
      <c r="B603">
        <v>31</v>
      </c>
      <c r="C603">
        <v>1296</v>
      </c>
      <c r="D603">
        <v>112389.12</v>
      </c>
    </row>
    <row r="604" spans="1:4" x14ac:dyDescent="0.35">
      <c r="A604" s="32">
        <f t="shared" ca="1" si="9"/>
        <v>45305</v>
      </c>
      <c r="B604">
        <v>10</v>
      </c>
      <c r="C604">
        <v>229</v>
      </c>
      <c r="D604">
        <v>2885.4</v>
      </c>
    </row>
    <row r="605" spans="1:4" x14ac:dyDescent="0.35">
      <c r="A605" s="32">
        <f t="shared" ca="1" si="9"/>
        <v>45440</v>
      </c>
      <c r="B605">
        <v>10</v>
      </c>
      <c r="C605">
        <v>578</v>
      </c>
      <c r="D605">
        <v>26559.100000000002</v>
      </c>
    </row>
    <row r="606" spans="1:4" x14ac:dyDescent="0.35">
      <c r="A606" s="32">
        <f t="shared" ca="1" si="9"/>
        <v>45315</v>
      </c>
      <c r="B606">
        <v>6</v>
      </c>
      <c r="C606">
        <v>21310</v>
      </c>
      <c r="D606">
        <v>957671.39999999991</v>
      </c>
    </row>
    <row r="607" spans="1:4" x14ac:dyDescent="0.35">
      <c r="A607" s="32">
        <f t="shared" ca="1" si="9"/>
        <v>45465</v>
      </c>
      <c r="B607">
        <v>9</v>
      </c>
      <c r="C607">
        <v>25</v>
      </c>
      <c r="D607">
        <v>751.75</v>
      </c>
    </row>
    <row r="608" spans="1:4" x14ac:dyDescent="0.35">
      <c r="A608" s="32">
        <f t="shared" ca="1" si="9"/>
        <v>45435</v>
      </c>
      <c r="B608">
        <v>10</v>
      </c>
      <c r="C608">
        <v>12</v>
      </c>
      <c r="D608">
        <v>443.88</v>
      </c>
    </row>
    <row r="609" spans="1:4" x14ac:dyDescent="0.35">
      <c r="A609" s="32">
        <f t="shared" ca="1" si="9"/>
        <v>45381</v>
      </c>
      <c r="B609">
        <v>84</v>
      </c>
      <c r="C609">
        <v>51</v>
      </c>
      <c r="D609">
        <v>1835.49</v>
      </c>
    </row>
    <row r="610" spans="1:4" x14ac:dyDescent="0.35">
      <c r="A610" s="32">
        <f t="shared" ca="1" si="9"/>
        <v>45436</v>
      </c>
      <c r="B610">
        <v>10</v>
      </c>
      <c r="C610">
        <v>28</v>
      </c>
      <c r="D610">
        <v>3500</v>
      </c>
    </row>
    <row r="611" spans="1:4" x14ac:dyDescent="0.35">
      <c r="A611" s="32">
        <f t="shared" ca="1" si="9"/>
        <v>45302</v>
      </c>
      <c r="B611">
        <v>10</v>
      </c>
      <c r="C611">
        <v>45</v>
      </c>
      <c r="D611">
        <v>719.55</v>
      </c>
    </row>
    <row r="612" spans="1:4" x14ac:dyDescent="0.35">
      <c r="A612" s="32">
        <f t="shared" ca="1" si="9"/>
        <v>45463</v>
      </c>
      <c r="B612">
        <v>10</v>
      </c>
      <c r="C612">
        <v>1</v>
      </c>
      <c r="D612">
        <v>27.99</v>
      </c>
    </row>
    <row r="613" spans="1:4" x14ac:dyDescent="0.35">
      <c r="A613" s="32">
        <f t="shared" ca="1" si="9"/>
        <v>45314</v>
      </c>
      <c r="B613">
        <v>8</v>
      </c>
      <c r="C613">
        <v>9208</v>
      </c>
      <c r="D613">
        <v>275687.52</v>
      </c>
    </row>
    <row r="614" spans="1:4" x14ac:dyDescent="0.35">
      <c r="A614" s="32">
        <f t="shared" ca="1" si="9"/>
        <v>45328</v>
      </c>
      <c r="B614">
        <v>3</v>
      </c>
      <c r="C614">
        <v>2</v>
      </c>
      <c r="D614">
        <v>43.98</v>
      </c>
    </row>
    <row r="615" spans="1:4" x14ac:dyDescent="0.35">
      <c r="A615" s="32">
        <f t="shared" ca="1" si="9"/>
        <v>45453</v>
      </c>
      <c r="B615">
        <v>10</v>
      </c>
      <c r="C615">
        <v>27</v>
      </c>
      <c r="D615">
        <v>971.73</v>
      </c>
    </row>
    <row r="616" spans="1:4" x14ac:dyDescent="0.35">
      <c r="A616" s="32">
        <f t="shared" ca="1" si="9"/>
        <v>45376</v>
      </c>
      <c r="B616">
        <v>10</v>
      </c>
      <c r="C616">
        <v>6</v>
      </c>
      <c r="D616">
        <v>107.10000000000001</v>
      </c>
    </row>
    <row r="617" spans="1:4" x14ac:dyDescent="0.35">
      <c r="A617" s="32">
        <f t="shared" ca="1" si="9"/>
        <v>45435</v>
      </c>
      <c r="B617">
        <v>0</v>
      </c>
      <c r="C617">
        <v>322</v>
      </c>
      <c r="D617">
        <v>27972.140000000003</v>
      </c>
    </row>
    <row r="618" spans="1:4" x14ac:dyDescent="0.35">
      <c r="A618" s="32">
        <f t="shared" ca="1" si="9"/>
        <v>45437</v>
      </c>
      <c r="B618">
        <v>226</v>
      </c>
      <c r="C618">
        <v>12</v>
      </c>
      <c r="D618">
        <v>360.84000000000003</v>
      </c>
    </row>
    <row r="619" spans="1:4" x14ac:dyDescent="0.35">
      <c r="A619" s="32">
        <f t="shared" ca="1" si="9"/>
        <v>45453</v>
      </c>
      <c r="B619">
        <v>0</v>
      </c>
      <c r="C619">
        <v>8877</v>
      </c>
      <c r="D619">
        <v>426007.23000000004</v>
      </c>
    </row>
    <row r="620" spans="1:4" x14ac:dyDescent="0.35">
      <c r="A620" s="32">
        <f t="shared" ca="1" si="9"/>
        <v>45319</v>
      </c>
      <c r="B620">
        <v>0</v>
      </c>
      <c r="C620">
        <v>3787</v>
      </c>
      <c r="D620">
        <v>202415.15000000002</v>
      </c>
    </row>
    <row r="621" spans="1:4" x14ac:dyDescent="0.35">
      <c r="A621" s="32">
        <f t="shared" ca="1" si="9"/>
        <v>45308</v>
      </c>
      <c r="B621">
        <v>2</v>
      </c>
      <c r="C621">
        <v>7</v>
      </c>
      <c r="D621">
        <v>138.11000000000001</v>
      </c>
    </row>
    <row r="622" spans="1:4" x14ac:dyDescent="0.35">
      <c r="A622" s="32">
        <f t="shared" ca="1" si="9"/>
        <v>45402</v>
      </c>
      <c r="B622">
        <v>8</v>
      </c>
      <c r="C622">
        <v>25</v>
      </c>
      <c r="D622">
        <v>1197</v>
      </c>
    </row>
    <row r="623" spans="1:4" x14ac:dyDescent="0.35">
      <c r="A623" s="32">
        <f t="shared" ca="1" si="9"/>
        <v>45463</v>
      </c>
      <c r="B623">
        <v>2</v>
      </c>
      <c r="C623">
        <v>16</v>
      </c>
      <c r="D623">
        <v>591.84</v>
      </c>
    </row>
    <row r="624" spans="1:4" x14ac:dyDescent="0.35">
      <c r="A624" s="32">
        <f t="shared" ca="1" si="9"/>
        <v>45352</v>
      </c>
      <c r="B624">
        <v>10</v>
      </c>
      <c r="C624">
        <v>12</v>
      </c>
      <c r="D624">
        <v>707.40000000000009</v>
      </c>
    </row>
    <row r="625" spans="1:4" x14ac:dyDescent="0.35">
      <c r="A625" s="32">
        <f t="shared" ca="1" si="9"/>
        <v>45306</v>
      </c>
      <c r="B625">
        <v>10</v>
      </c>
      <c r="C625">
        <v>23</v>
      </c>
      <c r="D625">
        <v>648.37</v>
      </c>
    </row>
    <row r="626" spans="1:4" x14ac:dyDescent="0.35">
      <c r="A626" s="32">
        <f t="shared" ca="1" si="9"/>
        <v>45410</v>
      </c>
      <c r="B626">
        <v>3</v>
      </c>
      <c r="C626">
        <v>1484</v>
      </c>
      <c r="D626">
        <v>44445.799999999996</v>
      </c>
    </row>
    <row r="627" spans="1:4" x14ac:dyDescent="0.35">
      <c r="A627" s="32">
        <f t="shared" ca="1" si="9"/>
        <v>45301</v>
      </c>
      <c r="B627">
        <v>34</v>
      </c>
      <c r="C627">
        <v>22</v>
      </c>
      <c r="D627">
        <v>1209.78</v>
      </c>
    </row>
    <row r="628" spans="1:4" x14ac:dyDescent="0.35">
      <c r="A628" s="32">
        <f t="shared" ca="1" si="9"/>
        <v>45331</v>
      </c>
      <c r="B628">
        <v>10</v>
      </c>
      <c r="C628">
        <v>6188</v>
      </c>
      <c r="D628">
        <v>204080.24</v>
      </c>
    </row>
    <row r="629" spans="1:4" x14ac:dyDescent="0.35">
      <c r="A629" s="32">
        <f t="shared" ca="1" si="9"/>
        <v>45433</v>
      </c>
      <c r="B629">
        <v>10</v>
      </c>
      <c r="C629">
        <v>45</v>
      </c>
      <c r="D629">
        <v>1295.55</v>
      </c>
    </row>
    <row r="630" spans="1:4" x14ac:dyDescent="0.35">
      <c r="A630" s="32">
        <f t="shared" ca="1" si="9"/>
        <v>45313</v>
      </c>
      <c r="B630">
        <v>10</v>
      </c>
      <c r="C630">
        <v>5500</v>
      </c>
      <c r="D630">
        <v>104005</v>
      </c>
    </row>
    <row r="631" spans="1:4" x14ac:dyDescent="0.35">
      <c r="A631" s="32">
        <f t="shared" ca="1" si="9"/>
        <v>45466</v>
      </c>
      <c r="B631">
        <v>10</v>
      </c>
      <c r="C631">
        <v>9</v>
      </c>
      <c r="D631">
        <v>314.91000000000003</v>
      </c>
    </row>
    <row r="632" spans="1:4" x14ac:dyDescent="0.35">
      <c r="A632" s="32">
        <f t="shared" ca="1" si="9"/>
        <v>45339</v>
      </c>
      <c r="B632">
        <v>13</v>
      </c>
      <c r="C632">
        <v>14</v>
      </c>
      <c r="D632">
        <v>328.85999999999996</v>
      </c>
    </row>
    <row r="633" spans="1:4" x14ac:dyDescent="0.35">
      <c r="A633" s="32">
        <f t="shared" ca="1" si="9"/>
        <v>45352</v>
      </c>
      <c r="B633">
        <v>10</v>
      </c>
      <c r="C633">
        <v>11</v>
      </c>
      <c r="D633">
        <v>1212.0899999999999</v>
      </c>
    </row>
    <row r="634" spans="1:4" x14ac:dyDescent="0.35">
      <c r="A634" s="32">
        <f t="shared" ca="1" si="9"/>
        <v>45392</v>
      </c>
      <c r="B634">
        <v>10</v>
      </c>
      <c r="C634">
        <v>221</v>
      </c>
      <c r="D634">
        <v>13257.79</v>
      </c>
    </row>
    <row r="635" spans="1:4" x14ac:dyDescent="0.35">
      <c r="A635" s="32">
        <f t="shared" ca="1" si="9"/>
        <v>45385</v>
      </c>
      <c r="B635">
        <v>4</v>
      </c>
      <c r="C635">
        <v>9</v>
      </c>
      <c r="D635">
        <v>169.10999999999999</v>
      </c>
    </row>
    <row r="636" spans="1:4" x14ac:dyDescent="0.35">
      <c r="A636" s="32">
        <f t="shared" ca="1" si="9"/>
        <v>45365</v>
      </c>
      <c r="B636">
        <v>0</v>
      </c>
      <c r="C636">
        <v>262</v>
      </c>
      <c r="D636">
        <v>30533.480000000003</v>
      </c>
    </row>
    <row r="637" spans="1:4" x14ac:dyDescent="0.35">
      <c r="A637" s="32">
        <f t="shared" ca="1" si="9"/>
        <v>45310</v>
      </c>
      <c r="B637">
        <v>10</v>
      </c>
      <c r="C637">
        <v>18</v>
      </c>
      <c r="D637">
        <v>413.64</v>
      </c>
    </row>
    <row r="638" spans="1:4" x14ac:dyDescent="0.35">
      <c r="A638" s="32">
        <f t="shared" ca="1" si="9"/>
        <v>45398</v>
      </c>
      <c r="B638">
        <v>10</v>
      </c>
      <c r="C638">
        <v>55</v>
      </c>
      <c r="D638">
        <v>4238.8499999999995</v>
      </c>
    </row>
    <row r="639" spans="1:4" x14ac:dyDescent="0.35">
      <c r="A639" s="32">
        <f t="shared" ca="1" si="9"/>
        <v>45463</v>
      </c>
      <c r="B639">
        <v>9</v>
      </c>
      <c r="C639">
        <v>4</v>
      </c>
      <c r="D639">
        <v>219.44</v>
      </c>
    </row>
    <row r="640" spans="1:4" x14ac:dyDescent="0.35">
      <c r="A640" s="32">
        <f t="shared" ca="1" si="9"/>
        <v>45386</v>
      </c>
      <c r="B640">
        <v>0</v>
      </c>
      <c r="C640">
        <v>717</v>
      </c>
      <c r="D640">
        <v>20032.98</v>
      </c>
    </row>
    <row r="641" spans="1:4" x14ac:dyDescent="0.35">
      <c r="A641" s="32">
        <f t="shared" ca="1" si="9"/>
        <v>45351</v>
      </c>
      <c r="B641">
        <v>8</v>
      </c>
      <c r="C641">
        <v>566</v>
      </c>
      <c r="D641">
        <v>16131</v>
      </c>
    </row>
    <row r="642" spans="1:4" x14ac:dyDescent="0.35">
      <c r="A642" s="32">
        <f t="shared" ca="1" si="9"/>
        <v>45423</v>
      </c>
      <c r="B642">
        <v>40</v>
      </c>
      <c r="C642">
        <v>19</v>
      </c>
      <c r="D642">
        <v>1607.21</v>
      </c>
    </row>
    <row r="643" spans="1:4" x14ac:dyDescent="0.35">
      <c r="A643" s="32">
        <f t="shared" ref="A643:A706" ca="1" si="10">RANDBETWEEN(DATE(2024,1,1),(DATE(2024,6,30)))</f>
        <v>45401</v>
      </c>
      <c r="B643">
        <v>10</v>
      </c>
      <c r="C643">
        <v>448</v>
      </c>
      <c r="D643">
        <v>9833.6</v>
      </c>
    </row>
    <row r="644" spans="1:4" x14ac:dyDescent="0.35">
      <c r="A644" s="32">
        <f t="shared" ca="1" si="10"/>
        <v>45308</v>
      </c>
      <c r="B644">
        <v>8</v>
      </c>
      <c r="C644">
        <v>539</v>
      </c>
      <c r="D644">
        <v>61979.61</v>
      </c>
    </row>
    <row r="645" spans="1:4" x14ac:dyDescent="0.35">
      <c r="A645" s="32">
        <f t="shared" ca="1" si="10"/>
        <v>45314</v>
      </c>
      <c r="B645">
        <v>7</v>
      </c>
      <c r="C645">
        <v>42</v>
      </c>
      <c r="D645">
        <v>3570</v>
      </c>
    </row>
    <row r="646" spans="1:4" x14ac:dyDescent="0.35">
      <c r="A646" s="32">
        <f t="shared" ca="1" si="10"/>
        <v>45406</v>
      </c>
      <c r="B646">
        <v>10</v>
      </c>
      <c r="C646">
        <v>5</v>
      </c>
      <c r="D646">
        <v>440</v>
      </c>
    </row>
    <row r="647" spans="1:4" x14ac:dyDescent="0.35">
      <c r="A647" s="32">
        <f t="shared" ca="1" si="10"/>
        <v>45383</v>
      </c>
      <c r="B647">
        <v>10</v>
      </c>
      <c r="C647">
        <v>157</v>
      </c>
      <c r="D647">
        <v>10988.429999999998</v>
      </c>
    </row>
    <row r="648" spans="1:4" x14ac:dyDescent="0.35">
      <c r="A648" s="32">
        <f t="shared" ca="1" si="10"/>
        <v>45404</v>
      </c>
      <c r="B648">
        <v>10</v>
      </c>
      <c r="C648">
        <v>59</v>
      </c>
      <c r="D648">
        <v>4070.41</v>
      </c>
    </row>
    <row r="649" spans="1:4" x14ac:dyDescent="0.35">
      <c r="A649" s="32">
        <f t="shared" ca="1" si="10"/>
        <v>45471</v>
      </c>
      <c r="B649">
        <v>10</v>
      </c>
      <c r="C649">
        <v>48</v>
      </c>
      <c r="D649">
        <v>5279.5199999999995</v>
      </c>
    </row>
    <row r="650" spans="1:4" x14ac:dyDescent="0.35">
      <c r="A650" s="32">
        <f t="shared" ca="1" si="10"/>
        <v>45391</v>
      </c>
      <c r="B650">
        <v>2</v>
      </c>
      <c r="C650">
        <v>445</v>
      </c>
      <c r="D650">
        <v>14240</v>
      </c>
    </row>
    <row r="651" spans="1:4" x14ac:dyDescent="0.35">
      <c r="A651" s="32">
        <f t="shared" ca="1" si="10"/>
        <v>45416</v>
      </c>
      <c r="B651">
        <v>10</v>
      </c>
      <c r="C651">
        <v>185</v>
      </c>
      <c r="D651">
        <v>6752.5</v>
      </c>
    </row>
    <row r="652" spans="1:4" x14ac:dyDescent="0.35">
      <c r="A652" s="32">
        <f t="shared" ca="1" si="10"/>
        <v>45338</v>
      </c>
      <c r="B652">
        <v>95</v>
      </c>
      <c r="C652">
        <v>11</v>
      </c>
      <c r="D652">
        <v>283.69</v>
      </c>
    </row>
    <row r="653" spans="1:4" x14ac:dyDescent="0.35">
      <c r="A653" s="32">
        <f t="shared" ca="1" si="10"/>
        <v>45469</v>
      </c>
      <c r="B653">
        <v>8</v>
      </c>
      <c r="C653">
        <v>420</v>
      </c>
      <c r="D653">
        <v>39895.799999999996</v>
      </c>
    </row>
    <row r="654" spans="1:4" x14ac:dyDescent="0.35">
      <c r="A654" s="32">
        <f t="shared" ca="1" si="10"/>
        <v>45351</v>
      </c>
      <c r="B654">
        <v>8</v>
      </c>
      <c r="C654">
        <v>4427</v>
      </c>
      <c r="D654">
        <v>146002.46</v>
      </c>
    </row>
    <row r="655" spans="1:4" x14ac:dyDescent="0.35">
      <c r="A655" s="32">
        <f t="shared" ca="1" si="10"/>
        <v>45363</v>
      </c>
      <c r="B655">
        <v>0</v>
      </c>
      <c r="C655">
        <v>266</v>
      </c>
      <c r="D655">
        <v>50087.8</v>
      </c>
    </row>
    <row r="656" spans="1:4" x14ac:dyDescent="0.35">
      <c r="A656" s="32">
        <f t="shared" ca="1" si="10"/>
        <v>45447</v>
      </c>
      <c r="B656">
        <v>9</v>
      </c>
      <c r="C656">
        <v>11</v>
      </c>
      <c r="D656">
        <v>879.89</v>
      </c>
    </row>
    <row r="657" spans="1:4" x14ac:dyDescent="0.35">
      <c r="A657" s="32">
        <f t="shared" ca="1" si="10"/>
        <v>45416</v>
      </c>
      <c r="B657">
        <v>10</v>
      </c>
      <c r="C657">
        <v>5</v>
      </c>
      <c r="D657">
        <v>419.95</v>
      </c>
    </row>
    <row r="658" spans="1:4" x14ac:dyDescent="0.35">
      <c r="A658" s="32">
        <f t="shared" ca="1" si="10"/>
        <v>45430</v>
      </c>
      <c r="B658">
        <v>258</v>
      </c>
      <c r="C658">
        <v>19</v>
      </c>
      <c r="D658">
        <v>1766.81</v>
      </c>
    </row>
    <row r="659" spans="1:4" x14ac:dyDescent="0.35">
      <c r="A659" s="32">
        <f t="shared" ca="1" si="10"/>
        <v>45321</v>
      </c>
      <c r="B659">
        <v>8</v>
      </c>
      <c r="C659">
        <v>4</v>
      </c>
      <c r="D659">
        <v>351.96</v>
      </c>
    </row>
    <row r="660" spans="1:4" x14ac:dyDescent="0.35">
      <c r="A660" s="32">
        <f t="shared" ca="1" si="10"/>
        <v>45386</v>
      </c>
      <c r="B660">
        <v>3</v>
      </c>
      <c r="C660">
        <v>111</v>
      </c>
      <c r="D660">
        <v>3217.89</v>
      </c>
    </row>
    <row r="661" spans="1:4" x14ac:dyDescent="0.35">
      <c r="A661" s="32">
        <f t="shared" ca="1" si="10"/>
        <v>45369</v>
      </c>
      <c r="B661">
        <v>2</v>
      </c>
      <c r="C661">
        <v>376</v>
      </c>
      <c r="D661">
        <v>18796.240000000002</v>
      </c>
    </row>
    <row r="662" spans="1:4" x14ac:dyDescent="0.35">
      <c r="A662" s="32">
        <f t="shared" ca="1" si="10"/>
        <v>45438</v>
      </c>
      <c r="B662">
        <v>10</v>
      </c>
      <c r="C662">
        <v>136</v>
      </c>
      <c r="D662">
        <v>4758.6400000000003</v>
      </c>
    </row>
    <row r="663" spans="1:4" x14ac:dyDescent="0.35">
      <c r="A663" s="32">
        <f t="shared" ca="1" si="10"/>
        <v>45342</v>
      </c>
      <c r="B663">
        <v>2</v>
      </c>
      <c r="C663">
        <v>3</v>
      </c>
      <c r="D663">
        <v>176.97</v>
      </c>
    </row>
    <row r="664" spans="1:4" x14ac:dyDescent="0.35">
      <c r="A664" s="32">
        <f t="shared" ca="1" si="10"/>
        <v>45365</v>
      </c>
      <c r="B664">
        <v>0</v>
      </c>
      <c r="C664">
        <v>1</v>
      </c>
      <c r="D664">
        <v>90.44</v>
      </c>
    </row>
    <row r="665" spans="1:4" x14ac:dyDescent="0.35">
      <c r="A665" s="32">
        <f t="shared" ca="1" si="10"/>
        <v>45423</v>
      </c>
      <c r="B665">
        <v>10</v>
      </c>
      <c r="C665">
        <v>6</v>
      </c>
      <c r="D665">
        <v>510</v>
      </c>
    </row>
    <row r="666" spans="1:4" x14ac:dyDescent="0.35">
      <c r="A666" s="32">
        <f t="shared" ca="1" si="10"/>
        <v>45411</v>
      </c>
      <c r="B666">
        <v>86</v>
      </c>
      <c r="C666">
        <v>84</v>
      </c>
      <c r="D666">
        <v>1427.1599999999999</v>
      </c>
    </row>
    <row r="667" spans="1:4" x14ac:dyDescent="0.35">
      <c r="A667" s="32">
        <f t="shared" ca="1" si="10"/>
        <v>45456</v>
      </c>
      <c r="B667">
        <v>383</v>
      </c>
      <c r="C667">
        <v>43</v>
      </c>
      <c r="D667">
        <v>1547.5700000000002</v>
      </c>
    </row>
    <row r="668" spans="1:4" x14ac:dyDescent="0.35">
      <c r="A668" s="32">
        <f t="shared" ca="1" si="10"/>
        <v>45363</v>
      </c>
      <c r="B668">
        <v>5</v>
      </c>
      <c r="C668">
        <v>552</v>
      </c>
      <c r="D668">
        <v>7540.32</v>
      </c>
    </row>
    <row r="669" spans="1:4" x14ac:dyDescent="0.35">
      <c r="A669" s="32">
        <f t="shared" ca="1" si="10"/>
        <v>45305</v>
      </c>
      <c r="B669">
        <v>48</v>
      </c>
      <c r="C669">
        <v>45</v>
      </c>
      <c r="D669">
        <v>2249.5500000000002</v>
      </c>
    </row>
    <row r="670" spans="1:4" x14ac:dyDescent="0.35">
      <c r="A670" s="32">
        <f t="shared" ca="1" si="10"/>
        <v>45412</v>
      </c>
      <c r="B670">
        <v>0</v>
      </c>
      <c r="C670">
        <v>37</v>
      </c>
      <c r="D670">
        <v>1368.63</v>
      </c>
    </row>
    <row r="671" spans="1:4" x14ac:dyDescent="0.35">
      <c r="A671" s="32">
        <f t="shared" ca="1" si="10"/>
        <v>45325</v>
      </c>
      <c r="B671">
        <v>0</v>
      </c>
      <c r="C671">
        <v>3</v>
      </c>
      <c r="D671">
        <v>298.46999999999997</v>
      </c>
    </row>
    <row r="672" spans="1:4" x14ac:dyDescent="0.35">
      <c r="A672" s="32">
        <f t="shared" ca="1" si="10"/>
        <v>45355</v>
      </c>
      <c r="B672">
        <v>10</v>
      </c>
      <c r="C672">
        <v>25</v>
      </c>
      <c r="D672">
        <v>1249.75</v>
      </c>
    </row>
    <row r="673" spans="1:4" x14ac:dyDescent="0.35">
      <c r="A673" s="32">
        <f t="shared" ca="1" si="10"/>
        <v>45432</v>
      </c>
      <c r="B673">
        <v>2</v>
      </c>
      <c r="C673">
        <v>3</v>
      </c>
      <c r="D673">
        <v>140.97</v>
      </c>
    </row>
    <row r="674" spans="1:4" x14ac:dyDescent="0.35">
      <c r="A674" s="32">
        <f t="shared" ca="1" si="10"/>
        <v>45409</v>
      </c>
      <c r="B674">
        <v>10</v>
      </c>
      <c r="C674">
        <v>239</v>
      </c>
      <c r="D674">
        <v>3319.71</v>
      </c>
    </row>
    <row r="675" spans="1:4" x14ac:dyDescent="0.35">
      <c r="A675" s="32">
        <f t="shared" ca="1" si="10"/>
        <v>45341</v>
      </c>
      <c r="B675">
        <v>5</v>
      </c>
      <c r="C675">
        <v>163</v>
      </c>
      <c r="D675">
        <v>1744.1</v>
      </c>
    </row>
    <row r="676" spans="1:4" x14ac:dyDescent="0.35">
      <c r="A676" s="32">
        <f t="shared" ca="1" si="10"/>
        <v>45440</v>
      </c>
      <c r="B676">
        <v>10</v>
      </c>
      <c r="C676">
        <v>254</v>
      </c>
      <c r="D676">
        <v>2019.3</v>
      </c>
    </row>
    <row r="677" spans="1:4" x14ac:dyDescent="0.35">
      <c r="A677" s="32">
        <f t="shared" ca="1" si="10"/>
        <v>45392</v>
      </c>
      <c r="B677">
        <v>3</v>
      </c>
      <c r="C677">
        <v>131</v>
      </c>
      <c r="D677">
        <v>1112.19</v>
      </c>
    </row>
    <row r="678" spans="1:4" x14ac:dyDescent="0.35">
      <c r="A678" s="32">
        <f t="shared" ca="1" si="10"/>
        <v>45386</v>
      </c>
      <c r="B678">
        <v>3</v>
      </c>
      <c r="C678">
        <v>221</v>
      </c>
      <c r="D678">
        <v>7953.7900000000009</v>
      </c>
    </row>
    <row r="679" spans="1:4" x14ac:dyDescent="0.35">
      <c r="A679" s="32">
        <f t="shared" ca="1" si="10"/>
        <v>45344</v>
      </c>
      <c r="B679">
        <v>6</v>
      </c>
      <c r="C679">
        <v>8</v>
      </c>
      <c r="D679">
        <v>607.91999999999996</v>
      </c>
    </row>
    <row r="680" spans="1:4" x14ac:dyDescent="0.35">
      <c r="A680" s="32">
        <f t="shared" ca="1" si="10"/>
        <v>45351</v>
      </c>
      <c r="B680">
        <v>3</v>
      </c>
      <c r="C680">
        <v>6</v>
      </c>
      <c r="D680">
        <v>329.94</v>
      </c>
    </row>
    <row r="681" spans="1:4" x14ac:dyDescent="0.35">
      <c r="A681" s="32">
        <f t="shared" ca="1" si="10"/>
        <v>45407</v>
      </c>
      <c r="B681">
        <v>7</v>
      </c>
      <c r="C681">
        <v>76</v>
      </c>
      <c r="D681">
        <v>3039.2400000000002</v>
      </c>
    </row>
    <row r="682" spans="1:4" x14ac:dyDescent="0.35">
      <c r="A682" s="32">
        <f t="shared" ca="1" si="10"/>
        <v>45395</v>
      </c>
      <c r="B682">
        <v>2</v>
      </c>
      <c r="C682">
        <v>17</v>
      </c>
      <c r="D682">
        <v>509.83</v>
      </c>
    </row>
    <row r="683" spans="1:4" x14ac:dyDescent="0.35">
      <c r="A683" s="32">
        <f t="shared" ca="1" si="10"/>
        <v>45424</v>
      </c>
      <c r="B683">
        <v>0</v>
      </c>
      <c r="C683">
        <v>15</v>
      </c>
      <c r="D683">
        <v>1889.85</v>
      </c>
    </row>
    <row r="684" spans="1:4" x14ac:dyDescent="0.35">
      <c r="A684" s="32">
        <f t="shared" ca="1" si="10"/>
        <v>45334</v>
      </c>
      <c r="B684">
        <v>10</v>
      </c>
      <c r="C684">
        <v>272</v>
      </c>
      <c r="D684">
        <v>2902.24</v>
      </c>
    </row>
    <row r="685" spans="1:4" x14ac:dyDescent="0.35">
      <c r="A685" s="32">
        <f t="shared" ca="1" si="10"/>
        <v>45343</v>
      </c>
      <c r="B685">
        <v>10</v>
      </c>
      <c r="C685">
        <v>7</v>
      </c>
      <c r="D685">
        <v>325.35999999999996</v>
      </c>
    </row>
    <row r="686" spans="1:4" x14ac:dyDescent="0.35">
      <c r="A686" s="32">
        <f t="shared" ca="1" si="10"/>
        <v>45403</v>
      </c>
      <c r="B686">
        <v>10</v>
      </c>
      <c r="C686">
        <v>214</v>
      </c>
      <c r="D686">
        <v>7490</v>
      </c>
    </row>
    <row r="687" spans="1:4" x14ac:dyDescent="0.35">
      <c r="A687" s="32">
        <f t="shared" ca="1" si="10"/>
        <v>45416</v>
      </c>
      <c r="B687">
        <v>6</v>
      </c>
      <c r="C687">
        <v>275</v>
      </c>
      <c r="D687">
        <v>10997.25</v>
      </c>
    </row>
    <row r="688" spans="1:4" x14ac:dyDescent="0.35">
      <c r="A688" s="32">
        <f t="shared" ca="1" si="10"/>
        <v>45464</v>
      </c>
      <c r="B688">
        <v>10</v>
      </c>
      <c r="C688">
        <v>270</v>
      </c>
      <c r="D688">
        <v>8100</v>
      </c>
    </row>
    <row r="689" spans="1:4" x14ac:dyDescent="0.35">
      <c r="A689" s="32">
        <f t="shared" ca="1" si="10"/>
        <v>45389</v>
      </c>
      <c r="B689">
        <v>10</v>
      </c>
      <c r="C689">
        <v>313</v>
      </c>
      <c r="D689">
        <v>20341.87</v>
      </c>
    </row>
    <row r="690" spans="1:4" x14ac:dyDescent="0.35">
      <c r="A690" s="32">
        <f t="shared" ca="1" si="10"/>
        <v>45391</v>
      </c>
      <c r="B690">
        <v>66</v>
      </c>
      <c r="C690">
        <v>7592</v>
      </c>
      <c r="D690">
        <v>274450.8</v>
      </c>
    </row>
    <row r="691" spans="1:4" x14ac:dyDescent="0.35">
      <c r="A691" s="32">
        <f t="shared" ca="1" si="10"/>
        <v>45310</v>
      </c>
      <c r="B691">
        <v>3</v>
      </c>
      <c r="C691">
        <v>348</v>
      </c>
      <c r="D691">
        <v>6667.68</v>
      </c>
    </row>
    <row r="692" spans="1:4" x14ac:dyDescent="0.35">
      <c r="A692" s="32">
        <f t="shared" ca="1" si="10"/>
        <v>45462</v>
      </c>
      <c r="B692">
        <v>10</v>
      </c>
      <c r="C692">
        <v>210</v>
      </c>
      <c r="D692">
        <v>12005.7</v>
      </c>
    </row>
    <row r="693" spans="1:4" x14ac:dyDescent="0.35">
      <c r="A693" s="32">
        <f t="shared" ca="1" si="10"/>
        <v>45430</v>
      </c>
      <c r="B693">
        <v>0</v>
      </c>
      <c r="C693">
        <v>5145</v>
      </c>
      <c r="D693">
        <v>149822.39999999999</v>
      </c>
    </row>
    <row r="694" spans="1:4" x14ac:dyDescent="0.35">
      <c r="A694" s="32">
        <f t="shared" ca="1" si="10"/>
        <v>45470</v>
      </c>
      <c r="B694">
        <v>8</v>
      </c>
      <c r="C694">
        <v>14</v>
      </c>
      <c r="D694">
        <v>223.86</v>
      </c>
    </row>
    <row r="695" spans="1:4" x14ac:dyDescent="0.35">
      <c r="A695" s="32">
        <f t="shared" ca="1" si="10"/>
        <v>45308</v>
      </c>
      <c r="B695">
        <v>22</v>
      </c>
      <c r="C695">
        <v>35</v>
      </c>
      <c r="D695">
        <v>1119.6499999999999</v>
      </c>
    </row>
    <row r="696" spans="1:4" x14ac:dyDescent="0.35">
      <c r="A696" s="32">
        <f t="shared" ca="1" si="10"/>
        <v>45351</v>
      </c>
      <c r="B696">
        <v>0</v>
      </c>
      <c r="C696">
        <v>16</v>
      </c>
      <c r="D696">
        <v>975.84</v>
      </c>
    </row>
    <row r="697" spans="1:4" x14ac:dyDescent="0.35">
      <c r="A697" s="32">
        <f t="shared" ca="1" si="10"/>
        <v>45361</v>
      </c>
      <c r="B697">
        <v>842</v>
      </c>
      <c r="C697">
        <v>99</v>
      </c>
      <c r="D697">
        <v>6830.0099999999993</v>
      </c>
    </row>
    <row r="698" spans="1:4" x14ac:dyDescent="0.35">
      <c r="A698" s="32">
        <f t="shared" ca="1" si="10"/>
        <v>45374</v>
      </c>
      <c r="B698">
        <v>9</v>
      </c>
      <c r="C698">
        <v>7</v>
      </c>
      <c r="D698">
        <v>594.92999999999995</v>
      </c>
    </row>
    <row r="699" spans="1:4" x14ac:dyDescent="0.35">
      <c r="A699" s="32">
        <f t="shared" ca="1" si="10"/>
        <v>45450</v>
      </c>
      <c r="B699">
        <v>10</v>
      </c>
      <c r="C699">
        <v>15</v>
      </c>
      <c r="D699">
        <v>749.85</v>
      </c>
    </row>
    <row r="700" spans="1:4" x14ac:dyDescent="0.35">
      <c r="A700" s="32">
        <f t="shared" ca="1" si="10"/>
        <v>45410</v>
      </c>
      <c r="B700">
        <v>3</v>
      </c>
      <c r="C700">
        <v>21</v>
      </c>
      <c r="D700">
        <v>1386</v>
      </c>
    </row>
    <row r="701" spans="1:4" x14ac:dyDescent="0.35">
      <c r="A701" s="32">
        <f t="shared" ca="1" si="10"/>
        <v>45329</v>
      </c>
      <c r="B701">
        <v>4</v>
      </c>
      <c r="C701">
        <v>22</v>
      </c>
      <c r="D701">
        <v>550</v>
      </c>
    </row>
    <row r="702" spans="1:4" x14ac:dyDescent="0.35">
      <c r="A702" s="32">
        <f t="shared" ca="1" si="10"/>
        <v>45315</v>
      </c>
      <c r="B702">
        <v>5</v>
      </c>
      <c r="C702">
        <v>20</v>
      </c>
      <c r="D702">
        <v>1379.8</v>
      </c>
    </row>
    <row r="703" spans="1:4" x14ac:dyDescent="0.35">
      <c r="A703" s="32">
        <f t="shared" ca="1" si="10"/>
        <v>45363</v>
      </c>
      <c r="B703">
        <v>0</v>
      </c>
      <c r="C703">
        <v>101</v>
      </c>
      <c r="D703">
        <v>4644.99</v>
      </c>
    </row>
    <row r="704" spans="1:4" x14ac:dyDescent="0.35">
      <c r="A704" s="32">
        <f t="shared" ca="1" si="10"/>
        <v>45457</v>
      </c>
      <c r="B704">
        <v>10</v>
      </c>
      <c r="C704">
        <v>27</v>
      </c>
      <c r="D704">
        <v>1646.73</v>
      </c>
    </row>
    <row r="705" spans="1:4" x14ac:dyDescent="0.35">
      <c r="A705" s="32">
        <f t="shared" ca="1" si="10"/>
        <v>45303</v>
      </c>
      <c r="B705">
        <v>6</v>
      </c>
      <c r="C705">
        <v>61</v>
      </c>
      <c r="D705">
        <v>2006.29</v>
      </c>
    </row>
    <row r="706" spans="1:4" x14ac:dyDescent="0.35">
      <c r="A706" s="32">
        <f t="shared" ca="1" si="10"/>
        <v>45349</v>
      </c>
      <c r="B706">
        <v>10</v>
      </c>
      <c r="C706">
        <v>116</v>
      </c>
      <c r="D706">
        <v>5276.84</v>
      </c>
    </row>
    <row r="707" spans="1:4" x14ac:dyDescent="0.35">
      <c r="A707" s="32">
        <f t="shared" ref="A707:A770" ca="1" si="11">RANDBETWEEN(DATE(2024,1,1),(DATE(2024,6,30)))</f>
        <v>45364</v>
      </c>
      <c r="B707">
        <v>4</v>
      </c>
      <c r="C707">
        <v>197</v>
      </c>
      <c r="D707">
        <v>15760</v>
      </c>
    </row>
    <row r="708" spans="1:4" x14ac:dyDescent="0.35">
      <c r="A708" s="32">
        <f t="shared" ca="1" si="11"/>
        <v>45381</v>
      </c>
      <c r="B708">
        <v>5</v>
      </c>
      <c r="C708">
        <v>5</v>
      </c>
      <c r="D708">
        <v>372.40000000000003</v>
      </c>
    </row>
    <row r="709" spans="1:4" x14ac:dyDescent="0.35">
      <c r="A709" s="32">
        <f t="shared" ca="1" si="11"/>
        <v>45355</v>
      </c>
      <c r="B709">
        <v>0</v>
      </c>
      <c r="C709">
        <v>3</v>
      </c>
      <c r="D709">
        <v>130.47</v>
      </c>
    </row>
    <row r="710" spans="1:4" x14ac:dyDescent="0.35">
      <c r="A710" s="32">
        <f t="shared" ca="1" si="11"/>
        <v>45470</v>
      </c>
      <c r="B710">
        <v>7</v>
      </c>
      <c r="C710">
        <v>159</v>
      </c>
      <c r="D710">
        <v>7153.4100000000008</v>
      </c>
    </row>
    <row r="711" spans="1:4" x14ac:dyDescent="0.35">
      <c r="A711" s="32">
        <f t="shared" ca="1" si="11"/>
        <v>45320</v>
      </c>
      <c r="B711">
        <v>10</v>
      </c>
      <c r="C711">
        <v>71</v>
      </c>
      <c r="D711">
        <v>1738.79</v>
      </c>
    </row>
    <row r="712" spans="1:4" x14ac:dyDescent="0.35">
      <c r="A712" s="32">
        <f t="shared" ca="1" si="11"/>
        <v>45409</v>
      </c>
      <c r="B712">
        <v>10</v>
      </c>
      <c r="C712">
        <v>64</v>
      </c>
      <c r="D712">
        <v>1631.36</v>
      </c>
    </row>
    <row r="713" spans="1:4" x14ac:dyDescent="0.35">
      <c r="A713" s="32">
        <f t="shared" ca="1" si="11"/>
        <v>45390</v>
      </c>
      <c r="B713">
        <v>0</v>
      </c>
      <c r="C713">
        <v>869</v>
      </c>
      <c r="D713">
        <v>46908.619999999995</v>
      </c>
    </row>
    <row r="714" spans="1:4" x14ac:dyDescent="0.35">
      <c r="A714" s="32">
        <f t="shared" ca="1" si="11"/>
        <v>45470</v>
      </c>
      <c r="B714">
        <v>6</v>
      </c>
      <c r="C714">
        <v>54052</v>
      </c>
      <c r="D714">
        <v>1291302.28</v>
      </c>
    </row>
    <row r="715" spans="1:4" x14ac:dyDescent="0.35">
      <c r="A715" s="32">
        <f t="shared" ca="1" si="11"/>
        <v>45333</v>
      </c>
      <c r="B715">
        <v>3</v>
      </c>
      <c r="C715">
        <v>1332</v>
      </c>
      <c r="D715">
        <v>34618.68</v>
      </c>
    </row>
    <row r="716" spans="1:4" x14ac:dyDescent="0.35">
      <c r="A716" s="32">
        <f t="shared" ca="1" si="11"/>
        <v>45435</v>
      </c>
      <c r="B716">
        <v>10</v>
      </c>
      <c r="C716">
        <v>4</v>
      </c>
      <c r="D716">
        <v>355.96</v>
      </c>
    </row>
    <row r="717" spans="1:4" x14ac:dyDescent="0.35">
      <c r="A717" s="32">
        <f t="shared" ca="1" si="11"/>
        <v>45371</v>
      </c>
      <c r="B717">
        <v>2</v>
      </c>
      <c r="C717">
        <v>132</v>
      </c>
      <c r="D717">
        <v>5542.68</v>
      </c>
    </row>
    <row r="718" spans="1:4" x14ac:dyDescent="0.35">
      <c r="A718" s="32">
        <f t="shared" ca="1" si="11"/>
        <v>45421</v>
      </c>
      <c r="B718">
        <v>6</v>
      </c>
      <c r="C718">
        <v>32</v>
      </c>
      <c r="D718">
        <v>6079.68</v>
      </c>
    </row>
    <row r="719" spans="1:4" x14ac:dyDescent="0.35">
      <c r="A719" s="32">
        <f t="shared" ca="1" si="11"/>
        <v>45366</v>
      </c>
      <c r="B719">
        <v>10</v>
      </c>
      <c r="C719">
        <v>116</v>
      </c>
      <c r="D719">
        <v>2898.8399999999997</v>
      </c>
    </row>
    <row r="720" spans="1:4" x14ac:dyDescent="0.35">
      <c r="A720" s="32">
        <f t="shared" ca="1" si="11"/>
        <v>45325</v>
      </c>
      <c r="B720">
        <v>10</v>
      </c>
      <c r="C720">
        <v>44</v>
      </c>
      <c r="D720">
        <v>661.31999999999994</v>
      </c>
    </row>
    <row r="721" spans="1:4" x14ac:dyDescent="0.35">
      <c r="A721" s="32">
        <f t="shared" ca="1" si="11"/>
        <v>45381</v>
      </c>
      <c r="B721">
        <v>10</v>
      </c>
      <c r="C721">
        <v>384</v>
      </c>
      <c r="D721">
        <v>11516.16</v>
      </c>
    </row>
    <row r="722" spans="1:4" x14ac:dyDescent="0.35">
      <c r="A722" s="32">
        <f t="shared" ca="1" si="11"/>
        <v>45354</v>
      </c>
      <c r="B722">
        <v>0</v>
      </c>
      <c r="C722">
        <v>40130</v>
      </c>
      <c r="D722">
        <v>1012479.9</v>
      </c>
    </row>
    <row r="723" spans="1:4" x14ac:dyDescent="0.35">
      <c r="A723" s="32">
        <f t="shared" ca="1" si="11"/>
        <v>45366</v>
      </c>
      <c r="B723">
        <v>6</v>
      </c>
      <c r="C723">
        <v>512</v>
      </c>
      <c r="D723">
        <v>27642.880000000001</v>
      </c>
    </row>
    <row r="724" spans="1:4" x14ac:dyDescent="0.35">
      <c r="A724" s="32">
        <f t="shared" ca="1" si="11"/>
        <v>45433</v>
      </c>
      <c r="B724">
        <v>10</v>
      </c>
      <c r="C724">
        <v>368</v>
      </c>
      <c r="D724">
        <v>4044.32</v>
      </c>
    </row>
    <row r="725" spans="1:4" x14ac:dyDescent="0.35">
      <c r="A725" s="32">
        <f t="shared" ca="1" si="11"/>
        <v>45449</v>
      </c>
      <c r="B725">
        <v>50</v>
      </c>
      <c r="C725">
        <v>35</v>
      </c>
      <c r="D725">
        <v>2449.6499999999996</v>
      </c>
    </row>
    <row r="726" spans="1:4" x14ac:dyDescent="0.35">
      <c r="A726" s="32">
        <f t="shared" ca="1" si="11"/>
        <v>45390</v>
      </c>
      <c r="B726">
        <v>10</v>
      </c>
      <c r="C726">
        <v>225</v>
      </c>
      <c r="D726">
        <v>7872.75</v>
      </c>
    </row>
    <row r="727" spans="1:4" x14ac:dyDescent="0.35">
      <c r="A727" s="32">
        <f t="shared" ca="1" si="11"/>
        <v>45368</v>
      </c>
      <c r="B727">
        <v>4</v>
      </c>
      <c r="C727">
        <v>18</v>
      </c>
      <c r="D727">
        <v>355.14</v>
      </c>
    </row>
    <row r="728" spans="1:4" x14ac:dyDescent="0.35">
      <c r="A728" s="32">
        <f t="shared" ca="1" si="11"/>
        <v>45434</v>
      </c>
      <c r="B728">
        <v>10</v>
      </c>
      <c r="C728">
        <v>235</v>
      </c>
      <c r="D728">
        <v>17152.649999999998</v>
      </c>
    </row>
    <row r="729" spans="1:4" x14ac:dyDescent="0.35">
      <c r="A729" s="32">
        <f t="shared" ca="1" si="11"/>
        <v>45461</v>
      </c>
      <c r="B729">
        <v>5</v>
      </c>
      <c r="C729">
        <v>6</v>
      </c>
      <c r="D729">
        <v>179.94</v>
      </c>
    </row>
    <row r="730" spans="1:4" x14ac:dyDescent="0.35">
      <c r="A730" s="32">
        <f t="shared" ca="1" si="11"/>
        <v>45467</v>
      </c>
      <c r="B730">
        <v>311</v>
      </c>
      <c r="C730">
        <v>89</v>
      </c>
      <c r="D730">
        <v>3025.11</v>
      </c>
    </row>
    <row r="731" spans="1:4" x14ac:dyDescent="0.35">
      <c r="A731" s="32">
        <f t="shared" ca="1" si="11"/>
        <v>45425</v>
      </c>
      <c r="B731">
        <v>10</v>
      </c>
      <c r="C731">
        <v>2</v>
      </c>
      <c r="D731">
        <v>139.97999999999999</v>
      </c>
    </row>
    <row r="732" spans="1:4" x14ac:dyDescent="0.35">
      <c r="A732" s="32">
        <f t="shared" ca="1" si="11"/>
        <v>45389</v>
      </c>
      <c r="B732">
        <v>5</v>
      </c>
      <c r="C732">
        <v>16</v>
      </c>
      <c r="D732">
        <v>1359.84</v>
      </c>
    </row>
    <row r="733" spans="1:4" x14ac:dyDescent="0.35">
      <c r="A733" s="32">
        <f t="shared" ca="1" si="11"/>
        <v>45307</v>
      </c>
      <c r="B733">
        <v>3</v>
      </c>
      <c r="C733">
        <v>257</v>
      </c>
      <c r="D733">
        <v>9506.43</v>
      </c>
    </row>
    <row r="734" spans="1:4" x14ac:dyDescent="0.35">
      <c r="A734" s="32">
        <f t="shared" ca="1" si="11"/>
        <v>45472</v>
      </c>
      <c r="B734">
        <v>10</v>
      </c>
      <c r="C734">
        <v>169</v>
      </c>
      <c r="D734">
        <v>5068.3099999999995</v>
      </c>
    </row>
    <row r="735" spans="1:4" x14ac:dyDescent="0.35">
      <c r="A735" s="32">
        <f t="shared" ca="1" si="11"/>
        <v>45382</v>
      </c>
      <c r="B735">
        <v>226</v>
      </c>
      <c r="C735">
        <v>30</v>
      </c>
      <c r="D735">
        <v>1071.3</v>
      </c>
    </row>
    <row r="736" spans="1:4" x14ac:dyDescent="0.35">
      <c r="A736" s="32">
        <f t="shared" ca="1" si="11"/>
        <v>45392</v>
      </c>
      <c r="B736">
        <v>10</v>
      </c>
      <c r="C736">
        <v>229</v>
      </c>
      <c r="D736">
        <v>12363.710000000001</v>
      </c>
    </row>
    <row r="737" spans="1:4" x14ac:dyDescent="0.35">
      <c r="A737" s="32">
        <f t="shared" ca="1" si="11"/>
        <v>45437</v>
      </c>
      <c r="B737">
        <v>2</v>
      </c>
      <c r="C737">
        <v>20</v>
      </c>
      <c r="D737">
        <v>394.6</v>
      </c>
    </row>
    <row r="738" spans="1:4" x14ac:dyDescent="0.35">
      <c r="A738" s="32">
        <f t="shared" ca="1" si="11"/>
        <v>45383</v>
      </c>
      <c r="B738">
        <v>8</v>
      </c>
      <c r="C738">
        <v>2293</v>
      </c>
      <c r="D738">
        <v>212240.08000000002</v>
      </c>
    </row>
    <row r="739" spans="1:4" x14ac:dyDescent="0.35">
      <c r="A739" s="32">
        <f t="shared" ca="1" si="11"/>
        <v>45430</v>
      </c>
      <c r="B739">
        <v>0</v>
      </c>
      <c r="C739">
        <v>100</v>
      </c>
      <c r="D739">
        <v>7198</v>
      </c>
    </row>
    <row r="740" spans="1:4" x14ac:dyDescent="0.35">
      <c r="A740" s="32">
        <f t="shared" ca="1" si="11"/>
        <v>45452</v>
      </c>
      <c r="B740">
        <v>8</v>
      </c>
      <c r="C740">
        <v>989</v>
      </c>
      <c r="D740">
        <v>21303.059999999998</v>
      </c>
    </row>
    <row r="741" spans="1:4" x14ac:dyDescent="0.35">
      <c r="A741" s="32">
        <f t="shared" ca="1" si="11"/>
        <v>45385</v>
      </c>
      <c r="B741">
        <v>56</v>
      </c>
      <c r="C741">
        <v>276</v>
      </c>
      <c r="D741">
        <v>11037.24</v>
      </c>
    </row>
    <row r="742" spans="1:4" x14ac:dyDescent="0.35">
      <c r="A742" s="32">
        <f t="shared" ca="1" si="11"/>
        <v>45396</v>
      </c>
      <c r="B742">
        <v>10</v>
      </c>
      <c r="C742">
        <v>464</v>
      </c>
      <c r="D742">
        <v>15752.800000000001</v>
      </c>
    </row>
    <row r="743" spans="1:4" x14ac:dyDescent="0.35">
      <c r="A743" s="32">
        <f t="shared" ca="1" si="11"/>
        <v>45436</v>
      </c>
      <c r="B743">
        <v>0</v>
      </c>
      <c r="C743">
        <v>619</v>
      </c>
      <c r="D743">
        <v>13995.59</v>
      </c>
    </row>
    <row r="744" spans="1:4" x14ac:dyDescent="0.35">
      <c r="A744" s="32">
        <f t="shared" ca="1" si="11"/>
        <v>45469</v>
      </c>
      <c r="B744">
        <v>10</v>
      </c>
      <c r="C744">
        <v>1787</v>
      </c>
      <c r="D744">
        <v>52162.53</v>
      </c>
    </row>
    <row r="745" spans="1:4" x14ac:dyDescent="0.35">
      <c r="A745" s="32">
        <f t="shared" ca="1" si="11"/>
        <v>45321</v>
      </c>
      <c r="B745">
        <v>3</v>
      </c>
      <c r="C745">
        <v>65</v>
      </c>
      <c r="D745">
        <v>1884.35</v>
      </c>
    </row>
    <row r="746" spans="1:4" x14ac:dyDescent="0.35">
      <c r="A746" s="32">
        <f t="shared" ca="1" si="11"/>
        <v>45406</v>
      </c>
      <c r="B746">
        <v>10</v>
      </c>
      <c r="C746">
        <v>35</v>
      </c>
      <c r="D746">
        <v>1399.65</v>
      </c>
    </row>
    <row r="747" spans="1:4" x14ac:dyDescent="0.35">
      <c r="A747" s="32">
        <f t="shared" ca="1" si="11"/>
        <v>45461</v>
      </c>
      <c r="B747">
        <v>6</v>
      </c>
      <c r="C747">
        <v>3</v>
      </c>
      <c r="D747">
        <v>149.97</v>
      </c>
    </row>
    <row r="748" spans="1:4" x14ac:dyDescent="0.35">
      <c r="A748" s="32">
        <f t="shared" ca="1" si="11"/>
        <v>45394</v>
      </c>
      <c r="B748">
        <v>2</v>
      </c>
      <c r="C748">
        <v>59</v>
      </c>
      <c r="D748">
        <v>1946.41</v>
      </c>
    </row>
    <row r="749" spans="1:4" x14ac:dyDescent="0.35">
      <c r="A749" s="32">
        <f t="shared" ca="1" si="11"/>
        <v>45324</v>
      </c>
      <c r="B749">
        <v>0</v>
      </c>
      <c r="C749">
        <v>1242</v>
      </c>
      <c r="D749">
        <v>47059.38</v>
      </c>
    </row>
    <row r="750" spans="1:4" x14ac:dyDescent="0.35">
      <c r="A750" s="32">
        <f t="shared" ca="1" si="11"/>
        <v>45410</v>
      </c>
      <c r="B750">
        <v>10</v>
      </c>
      <c r="C750">
        <v>36</v>
      </c>
      <c r="D750">
        <v>1285.56</v>
      </c>
    </row>
    <row r="751" spans="1:4" x14ac:dyDescent="0.35">
      <c r="A751" s="32">
        <f t="shared" ca="1" si="11"/>
        <v>45397</v>
      </c>
      <c r="B751">
        <v>452</v>
      </c>
      <c r="C751">
        <v>55</v>
      </c>
      <c r="D751">
        <v>1085.1500000000001</v>
      </c>
    </row>
    <row r="752" spans="1:4" x14ac:dyDescent="0.35">
      <c r="A752" s="32">
        <f t="shared" ca="1" si="11"/>
        <v>45411</v>
      </c>
      <c r="B752">
        <v>10</v>
      </c>
      <c r="C752">
        <v>1424</v>
      </c>
      <c r="D752">
        <v>31669.759999999998</v>
      </c>
    </row>
    <row r="753" spans="1:4" x14ac:dyDescent="0.35">
      <c r="A753" s="32">
        <f t="shared" ca="1" si="11"/>
        <v>45413</v>
      </c>
      <c r="B753">
        <v>7</v>
      </c>
      <c r="C753">
        <v>4934</v>
      </c>
      <c r="D753">
        <v>128777.40000000001</v>
      </c>
    </row>
    <row r="754" spans="1:4" x14ac:dyDescent="0.35">
      <c r="A754" s="32">
        <f t="shared" ca="1" si="11"/>
        <v>45402</v>
      </c>
      <c r="B754">
        <v>10</v>
      </c>
      <c r="C754">
        <v>541</v>
      </c>
      <c r="D754">
        <v>12226.6</v>
      </c>
    </row>
    <row r="755" spans="1:4" x14ac:dyDescent="0.35">
      <c r="A755" s="32">
        <f t="shared" ca="1" si="11"/>
        <v>45370</v>
      </c>
      <c r="B755">
        <v>322</v>
      </c>
      <c r="C755">
        <v>35</v>
      </c>
      <c r="D755">
        <v>2134.65</v>
      </c>
    </row>
    <row r="756" spans="1:4" x14ac:dyDescent="0.35">
      <c r="A756" s="32">
        <f t="shared" ca="1" si="11"/>
        <v>45388</v>
      </c>
      <c r="B756">
        <v>5</v>
      </c>
      <c r="C756">
        <v>30</v>
      </c>
      <c r="D756">
        <v>1469.7</v>
      </c>
    </row>
    <row r="757" spans="1:4" x14ac:dyDescent="0.35">
      <c r="A757" s="32">
        <f t="shared" ca="1" si="11"/>
        <v>45340</v>
      </c>
      <c r="B757">
        <v>10</v>
      </c>
      <c r="C757">
        <v>78</v>
      </c>
      <c r="D757">
        <v>3899.2200000000003</v>
      </c>
    </row>
    <row r="758" spans="1:4" x14ac:dyDescent="0.35">
      <c r="A758" s="32">
        <f t="shared" ca="1" si="11"/>
        <v>45406</v>
      </c>
      <c r="B758">
        <v>5</v>
      </c>
      <c r="C758">
        <v>5</v>
      </c>
      <c r="D758">
        <v>199.95000000000002</v>
      </c>
    </row>
    <row r="759" spans="1:4" x14ac:dyDescent="0.35">
      <c r="A759" s="32">
        <f t="shared" ca="1" si="11"/>
        <v>45415</v>
      </c>
      <c r="B759">
        <v>3</v>
      </c>
      <c r="C759">
        <v>179</v>
      </c>
      <c r="D759">
        <v>4886.7</v>
      </c>
    </row>
    <row r="760" spans="1:4" x14ac:dyDescent="0.35">
      <c r="A760" s="32">
        <f t="shared" ca="1" si="11"/>
        <v>45341</v>
      </c>
      <c r="B760">
        <v>3</v>
      </c>
      <c r="C760">
        <v>10</v>
      </c>
      <c r="D760">
        <v>299.89999999999998</v>
      </c>
    </row>
    <row r="761" spans="1:4" x14ac:dyDescent="0.35">
      <c r="A761" s="32">
        <f t="shared" ca="1" si="11"/>
        <v>45308</v>
      </c>
      <c r="B761">
        <v>3</v>
      </c>
      <c r="C761">
        <v>370</v>
      </c>
      <c r="D761">
        <v>25537.399999999998</v>
      </c>
    </row>
    <row r="762" spans="1:4" x14ac:dyDescent="0.35">
      <c r="A762" s="32">
        <f t="shared" ca="1" si="11"/>
        <v>45412</v>
      </c>
      <c r="B762">
        <v>0</v>
      </c>
      <c r="C762">
        <v>150</v>
      </c>
      <c r="D762">
        <v>2697</v>
      </c>
    </row>
    <row r="763" spans="1:4" x14ac:dyDescent="0.35">
      <c r="A763" s="32">
        <f t="shared" ca="1" si="11"/>
        <v>45365</v>
      </c>
      <c r="B763">
        <v>0</v>
      </c>
      <c r="C763">
        <v>4</v>
      </c>
      <c r="D763">
        <v>68.680000000000007</v>
      </c>
    </row>
    <row r="764" spans="1:4" x14ac:dyDescent="0.35">
      <c r="A764" s="32">
        <f t="shared" ca="1" si="11"/>
        <v>45340</v>
      </c>
      <c r="B764">
        <v>0</v>
      </c>
      <c r="C764">
        <v>349</v>
      </c>
      <c r="D764">
        <v>10920.21</v>
      </c>
    </row>
    <row r="765" spans="1:4" x14ac:dyDescent="0.35">
      <c r="A765" s="32">
        <f t="shared" ca="1" si="11"/>
        <v>45337</v>
      </c>
      <c r="B765">
        <v>8</v>
      </c>
      <c r="C765">
        <v>34</v>
      </c>
      <c r="D765">
        <v>4079.66</v>
      </c>
    </row>
    <row r="766" spans="1:4" x14ac:dyDescent="0.35">
      <c r="A766" s="32">
        <f t="shared" ca="1" si="11"/>
        <v>45403</v>
      </c>
      <c r="B766">
        <v>3</v>
      </c>
      <c r="C766">
        <v>1370</v>
      </c>
      <c r="D766">
        <v>23687.3</v>
      </c>
    </row>
    <row r="767" spans="1:4" x14ac:dyDescent="0.35">
      <c r="A767" s="32">
        <f t="shared" ca="1" si="11"/>
        <v>45378</v>
      </c>
      <c r="B767">
        <v>10</v>
      </c>
      <c r="C767">
        <v>785</v>
      </c>
      <c r="D767">
        <v>16485</v>
      </c>
    </row>
    <row r="768" spans="1:4" x14ac:dyDescent="0.35">
      <c r="A768" s="32">
        <f t="shared" ca="1" si="11"/>
        <v>45409</v>
      </c>
      <c r="B768">
        <v>9</v>
      </c>
      <c r="C768">
        <v>248</v>
      </c>
      <c r="D768">
        <v>10413.52</v>
      </c>
    </row>
    <row r="769" spans="1:4" x14ac:dyDescent="0.35">
      <c r="A769" s="32">
        <f t="shared" ca="1" si="11"/>
        <v>45423</v>
      </c>
      <c r="B769">
        <v>3</v>
      </c>
      <c r="C769">
        <v>121</v>
      </c>
      <c r="D769">
        <v>3533.2</v>
      </c>
    </row>
    <row r="770" spans="1:4" x14ac:dyDescent="0.35">
      <c r="A770" s="32">
        <f t="shared" ca="1" si="11"/>
        <v>45322</v>
      </c>
      <c r="B770">
        <v>8</v>
      </c>
      <c r="C770">
        <v>720</v>
      </c>
      <c r="D770">
        <v>50875.199999999997</v>
      </c>
    </row>
    <row r="771" spans="1:4" x14ac:dyDescent="0.35">
      <c r="A771" s="32">
        <f t="shared" ref="A771:A834" ca="1" si="12">RANDBETWEEN(DATE(2024,1,1),(DATE(2024,6,30)))</f>
        <v>45427</v>
      </c>
      <c r="B771">
        <v>5</v>
      </c>
      <c r="C771">
        <v>4460</v>
      </c>
      <c r="D771">
        <v>155386.40000000002</v>
      </c>
    </row>
    <row r="772" spans="1:4" x14ac:dyDescent="0.35">
      <c r="A772" s="32">
        <f t="shared" ca="1" si="12"/>
        <v>45300</v>
      </c>
      <c r="B772">
        <v>10</v>
      </c>
      <c r="C772">
        <v>849</v>
      </c>
      <c r="D772">
        <v>24544.59</v>
      </c>
    </row>
    <row r="773" spans="1:4" x14ac:dyDescent="0.35">
      <c r="A773" s="32">
        <f t="shared" ca="1" si="12"/>
        <v>45433</v>
      </c>
      <c r="B773">
        <v>10</v>
      </c>
      <c r="C773">
        <v>287</v>
      </c>
      <c r="D773">
        <v>9060.59</v>
      </c>
    </row>
    <row r="774" spans="1:4" x14ac:dyDescent="0.35">
      <c r="A774" s="32">
        <f t="shared" ca="1" si="12"/>
        <v>45408</v>
      </c>
      <c r="B774">
        <v>10</v>
      </c>
      <c r="C774">
        <v>72</v>
      </c>
      <c r="D774">
        <v>663.12000000000012</v>
      </c>
    </row>
    <row r="775" spans="1:4" x14ac:dyDescent="0.35">
      <c r="A775" s="32">
        <f t="shared" ca="1" si="12"/>
        <v>45417</v>
      </c>
      <c r="B775">
        <v>0</v>
      </c>
      <c r="C775">
        <v>4802</v>
      </c>
      <c r="D775">
        <v>339261.30000000005</v>
      </c>
    </row>
    <row r="776" spans="1:4" x14ac:dyDescent="0.35">
      <c r="A776" s="32">
        <f t="shared" ca="1" si="12"/>
        <v>45453</v>
      </c>
      <c r="B776">
        <v>0</v>
      </c>
      <c r="C776">
        <v>1337</v>
      </c>
      <c r="D776">
        <v>34762</v>
      </c>
    </row>
    <row r="777" spans="1:4" x14ac:dyDescent="0.35">
      <c r="A777" s="32">
        <f t="shared" ca="1" si="12"/>
        <v>45402</v>
      </c>
      <c r="B777">
        <v>0</v>
      </c>
      <c r="C777">
        <v>33</v>
      </c>
      <c r="D777">
        <v>3596.34</v>
      </c>
    </row>
    <row r="778" spans="1:4" x14ac:dyDescent="0.35">
      <c r="A778" s="32">
        <f t="shared" ca="1" si="12"/>
        <v>45377</v>
      </c>
      <c r="B778">
        <v>10</v>
      </c>
      <c r="C778">
        <v>19</v>
      </c>
      <c r="D778">
        <v>664.81000000000006</v>
      </c>
    </row>
    <row r="779" spans="1:4" x14ac:dyDescent="0.35">
      <c r="A779" s="32">
        <f t="shared" ca="1" si="12"/>
        <v>45411</v>
      </c>
      <c r="B779">
        <v>3</v>
      </c>
      <c r="C779">
        <v>11</v>
      </c>
      <c r="D779">
        <v>143</v>
      </c>
    </row>
    <row r="780" spans="1:4" x14ac:dyDescent="0.35">
      <c r="A780" s="32">
        <f t="shared" ca="1" si="12"/>
        <v>45323</v>
      </c>
      <c r="B780">
        <v>4</v>
      </c>
      <c r="C780">
        <v>615</v>
      </c>
      <c r="D780">
        <v>21518.850000000002</v>
      </c>
    </row>
    <row r="781" spans="1:4" x14ac:dyDescent="0.35">
      <c r="A781" s="32">
        <f t="shared" ca="1" si="12"/>
        <v>45472</v>
      </c>
      <c r="B781">
        <v>10</v>
      </c>
      <c r="C781">
        <v>179</v>
      </c>
      <c r="D781">
        <v>5368.21</v>
      </c>
    </row>
    <row r="782" spans="1:4" x14ac:dyDescent="0.35">
      <c r="A782" s="32">
        <f t="shared" ca="1" si="12"/>
        <v>45372</v>
      </c>
      <c r="B782">
        <v>10</v>
      </c>
      <c r="C782">
        <v>12583</v>
      </c>
      <c r="D782">
        <v>355469.75</v>
      </c>
    </row>
    <row r="783" spans="1:4" x14ac:dyDescent="0.35">
      <c r="A783" s="32">
        <f t="shared" ca="1" si="12"/>
        <v>45367</v>
      </c>
      <c r="B783">
        <v>0</v>
      </c>
      <c r="C783">
        <v>3110</v>
      </c>
      <c r="D783">
        <v>171547.59999999998</v>
      </c>
    </row>
    <row r="784" spans="1:4" x14ac:dyDescent="0.35">
      <c r="A784" s="32">
        <f t="shared" ca="1" si="12"/>
        <v>45314</v>
      </c>
      <c r="B784">
        <v>0</v>
      </c>
      <c r="C784">
        <v>1866</v>
      </c>
      <c r="D784">
        <v>49486.32</v>
      </c>
    </row>
    <row r="785" spans="1:4" x14ac:dyDescent="0.35">
      <c r="A785" s="32">
        <f t="shared" ca="1" si="12"/>
        <v>45415</v>
      </c>
      <c r="B785">
        <v>0</v>
      </c>
      <c r="C785">
        <v>18</v>
      </c>
      <c r="D785">
        <v>3653.1</v>
      </c>
    </row>
    <row r="786" spans="1:4" x14ac:dyDescent="0.35">
      <c r="A786" s="32">
        <f t="shared" ca="1" si="12"/>
        <v>45308</v>
      </c>
      <c r="B786">
        <v>5</v>
      </c>
      <c r="C786">
        <v>42</v>
      </c>
      <c r="D786">
        <v>1259.58</v>
      </c>
    </row>
    <row r="787" spans="1:4" x14ac:dyDescent="0.35">
      <c r="A787" s="32">
        <f t="shared" ca="1" si="12"/>
        <v>45307</v>
      </c>
      <c r="B787">
        <v>52</v>
      </c>
      <c r="C787">
        <v>7</v>
      </c>
      <c r="D787">
        <v>159.53</v>
      </c>
    </row>
    <row r="788" spans="1:4" x14ac:dyDescent="0.35">
      <c r="A788" s="32">
        <f t="shared" ca="1" si="12"/>
        <v>45423</v>
      </c>
      <c r="B788">
        <v>0</v>
      </c>
      <c r="C788">
        <v>593</v>
      </c>
      <c r="D788">
        <v>92300.45</v>
      </c>
    </row>
    <row r="789" spans="1:4" x14ac:dyDescent="0.35">
      <c r="A789" s="32">
        <f t="shared" ca="1" si="12"/>
        <v>45340</v>
      </c>
      <c r="B789">
        <v>2</v>
      </c>
      <c r="C789">
        <v>156</v>
      </c>
      <c r="D789">
        <v>2637.96</v>
      </c>
    </row>
    <row r="790" spans="1:4" x14ac:dyDescent="0.35">
      <c r="A790" s="32">
        <f t="shared" ca="1" si="12"/>
        <v>45396</v>
      </c>
      <c r="B790">
        <v>10</v>
      </c>
      <c r="C790">
        <v>5023</v>
      </c>
      <c r="D790">
        <v>165608.31</v>
      </c>
    </row>
    <row r="791" spans="1:4" x14ac:dyDescent="0.35">
      <c r="A791" s="32">
        <f t="shared" ca="1" si="12"/>
        <v>45337</v>
      </c>
      <c r="B791">
        <v>56</v>
      </c>
      <c r="C791">
        <v>30655</v>
      </c>
      <c r="D791">
        <v>1420246.15</v>
      </c>
    </row>
    <row r="792" spans="1:4" x14ac:dyDescent="0.35">
      <c r="A792" s="32">
        <f t="shared" ca="1" si="12"/>
        <v>45460</v>
      </c>
      <c r="B792">
        <v>9</v>
      </c>
      <c r="C792">
        <v>182</v>
      </c>
      <c r="D792">
        <v>9114.56</v>
      </c>
    </row>
    <row r="793" spans="1:4" x14ac:dyDescent="0.35">
      <c r="A793" s="32">
        <f t="shared" ca="1" si="12"/>
        <v>45331</v>
      </c>
      <c r="B793">
        <v>37</v>
      </c>
      <c r="C793">
        <v>169</v>
      </c>
      <c r="D793">
        <v>6197.2300000000005</v>
      </c>
    </row>
    <row r="794" spans="1:4" x14ac:dyDescent="0.35">
      <c r="A794" s="32">
        <f t="shared" ca="1" si="12"/>
        <v>45405</v>
      </c>
      <c r="B794">
        <v>0</v>
      </c>
      <c r="C794">
        <v>232</v>
      </c>
      <c r="D794">
        <v>9447.0399999999991</v>
      </c>
    </row>
    <row r="795" spans="1:4" x14ac:dyDescent="0.35">
      <c r="A795" s="32">
        <f t="shared" ca="1" si="12"/>
        <v>45310</v>
      </c>
      <c r="B795">
        <v>0</v>
      </c>
      <c r="C795">
        <v>137</v>
      </c>
      <c r="D795">
        <v>9357.1</v>
      </c>
    </row>
    <row r="796" spans="1:4" x14ac:dyDescent="0.35">
      <c r="A796" s="32">
        <f t="shared" ca="1" si="12"/>
        <v>45426</v>
      </c>
      <c r="B796">
        <v>3</v>
      </c>
      <c r="C796">
        <v>1925</v>
      </c>
      <c r="D796">
        <v>48952.75</v>
      </c>
    </row>
    <row r="797" spans="1:4" x14ac:dyDescent="0.35">
      <c r="A797" s="32">
        <f t="shared" ca="1" si="12"/>
        <v>45457</v>
      </c>
      <c r="B797">
        <v>272</v>
      </c>
      <c r="C797">
        <v>37</v>
      </c>
      <c r="D797">
        <v>2440.89</v>
      </c>
    </row>
    <row r="798" spans="1:4" x14ac:dyDescent="0.35">
      <c r="A798" s="32">
        <f t="shared" ca="1" si="12"/>
        <v>45322</v>
      </c>
      <c r="B798">
        <v>8</v>
      </c>
      <c r="C798">
        <v>636</v>
      </c>
      <c r="D798">
        <v>32079.84</v>
      </c>
    </row>
    <row r="799" spans="1:4" x14ac:dyDescent="0.35">
      <c r="A799" s="32">
        <f t="shared" ca="1" si="12"/>
        <v>45436</v>
      </c>
      <c r="B799">
        <v>4</v>
      </c>
      <c r="C799">
        <v>972</v>
      </c>
      <c r="D799">
        <v>22686.48</v>
      </c>
    </row>
    <row r="800" spans="1:4" x14ac:dyDescent="0.35">
      <c r="A800" s="32">
        <f t="shared" ca="1" si="12"/>
        <v>45380</v>
      </c>
      <c r="B800">
        <v>199</v>
      </c>
      <c r="C800">
        <v>588</v>
      </c>
      <c r="D800">
        <v>17634.12</v>
      </c>
    </row>
    <row r="801" spans="1:4" x14ac:dyDescent="0.35">
      <c r="A801" s="32">
        <f t="shared" ca="1" si="12"/>
        <v>45378</v>
      </c>
      <c r="B801">
        <v>10</v>
      </c>
      <c r="C801">
        <v>573</v>
      </c>
      <c r="D801">
        <v>19476.27</v>
      </c>
    </row>
    <row r="802" spans="1:4" x14ac:dyDescent="0.35">
      <c r="A802" s="32">
        <f t="shared" ca="1" si="12"/>
        <v>45416</v>
      </c>
      <c r="B802">
        <v>4</v>
      </c>
      <c r="C802">
        <v>919</v>
      </c>
      <c r="D802">
        <v>35831.810000000005</v>
      </c>
    </row>
    <row r="803" spans="1:4" x14ac:dyDescent="0.35">
      <c r="A803" s="32">
        <f t="shared" ca="1" si="12"/>
        <v>45441</v>
      </c>
      <c r="B803">
        <v>0</v>
      </c>
      <c r="C803">
        <v>1613</v>
      </c>
      <c r="D803">
        <v>32711.640000000003</v>
      </c>
    </row>
    <row r="804" spans="1:4" x14ac:dyDescent="0.35">
      <c r="A804" s="32">
        <f t="shared" ca="1" si="12"/>
        <v>45426</v>
      </c>
      <c r="B804">
        <v>2</v>
      </c>
      <c r="C804">
        <v>44</v>
      </c>
      <c r="D804">
        <v>1671.5600000000002</v>
      </c>
    </row>
    <row r="805" spans="1:4" x14ac:dyDescent="0.35">
      <c r="A805" s="32">
        <f t="shared" ca="1" si="12"/>
        <v>45375</v>
      </c>
      <c r="B805">
        <v>0</v>
      </c>
      <c r="C805">
        <v>1683</v>
      </c>
      <c r="D805">
        <v>89148.51</v>
      </c>
    </row>
    <row r="806" spans="1:4" x14ac:dyDescent="0.35">
      <c r="A806" s="32">
        <f t="shared" ca="1" si="12"/>
        <v>45422</v>
      </c>
      <c r="B806">
        <v>10</v>
      </c>
      <c r="C806">
        <v>9265</v>
      </c>
      <c r="D806">
        <v>223657.1</v>
      </c>
    </row>
    <row r="807" spans="1:4" x14ac:dyDescent="0.35">
      <c r="A807" s="32">
        <f t="shared" ca="1" si="12"/>
        <v>45312</v>
      </c>
      <c r="B807">
        <v>0</v>
      </c>
      <c r="C807">
        <v>327</v>
      </c>
      <c r="D807">
        <v>58915.59</v>
      </c>
    </row>
    <row r="808" spans="1:4" x14ac:dyDescent="0.35">
      <c r="A808" s="32">
        <f t="shared" ca="1" si="12"/>
        <v>45468</v>
      </c>
      <c r="B808">
        <v>7</v>
      </c>
      <c r="C808">
        <v>48</v>
      </c>
      <c r="D808">
        <v>2862.2400000000002</v>
      </c>
    </row>
    <row r="809" spans="1:4" x14ac:dyDescent="0.35">
      <c r="A809" s="32">
        <f t="shared" ca="1" si="12"/>
        <v>45412</v>
      </c>
      <c r="B809">
        <v>3</v>
      </c>
      <c r="C809">
        <v>165</v>
      </c>
      <c r="D809">
        <v>7918.35</v>
      </c>
    </row>
    <row r="810" spans="1:4" x14ac:dyDescent="0.35">
      <c r="A810" s="32">
        <f t="shared" ca="1" si="12"/>
        <v>45394</v>
      </c>
      <c r="B810">
        <v>6</v>
      </c>
      <c r="C810">
        <v>2465</v>
      </c>
      <c r="D810">
        <v>135377.80000000002</v>
      </c>
    </row>
    <row r="811" spans="1:4" x14ac:dyDescent="0.35">
      <c r="A811" s="32">
        <f t="shared" ca="1" si="12"/>
        <v>45346</v>
      </c>
      <c r="B811">
        <v>10</v>
      </c>
      <c r="C811">
        <v>4</v>
      </c>
      <c r="D811">
        <v>159.96</v>
      </c>
    </row>
    <row r="812" spans="1:4" x14ac:dyDescent="0.35">
      <c r="A812" s="32">
        <f t="shared" ca="1" si="12"/>
        <v>45414</v>
      </c>
      <c r="B812">
        <v>10</v>
      </c>
      <c r="C812">
        <v>141</v>
      </c>
      <c r="D812">
        <v>4228.59</v>
      </c>
    </row>
    <row r="813" spans="1:4" x14ac:dyDescent="0.35">
      <c r="A813" s="32">
        <f t="shared" ca="1" si="12"/>
        <v>45303</v>
      </c>
      <c r="B813">
        <v>6</v>
      </c>
      <c r="C813">
        <v>2206</v>
      </c>
      <c r="D813">
        <v>121131.45999999999</v>
      </c>
    </row>
    <row r="814" spans="1:4" x14ac:dyDescent="0.35">
      <c r="A814" s="32">
        <f t="shared" ca="1" si="12"/>
        <v>45381</v>
      </c>
      <c r="B814">
        <v>10</v>
      </c>
      <c r="C814">
        <v>66</v>
      </c>
      <c r="D814">
        <v>920.04</v>
      </c>
    </row>
    <row r="815" spans="1:4" x14ac:dyDescent="0.35">
      <c r="A815" s="32">
        <f t="shared" ca="1" si="12"/>
        <v>45385</v>
      </c>
      <c r="B815">
        <v>258</v>
      </c>
      <c r="C815">
        <v>920</v>
      </c>
      <c r="D815">
        <v>82772.399999999994</v>
      </c>
    </row>
    <row r="816" spans="1:4" x14ac:dyDescent="0.35">
      <c r="A816" s="32">
        <f t="shared" ca="1" si="12"/>
        <v>45315</v>
      </c>
      <c r="B816">
        <v>10</v>
      </c>
      <c r="C816">
        <v>19</v>
      </c>
      <c r="D816">
        <v>1718.55</v>
      </c>
    </row>
    <row r="817" spans="1:4" x14ac:dyDescent="0.35">
      <c r="A817" s="32">
        <f t="shared" ca="1" si="12"/>
        <v>45310</v>
      </c>
      <c r="B817">
        <v>10</v>
      </c>
      <c r="C817">
        <v>542</v>
      </c>
      <c r="D817">
        <v>15235.619999999999</v>
      </c>
    </row>
    <row r="818" spans="1:4" x14ac:dyDescent="0.35">
      <c r="A818" s="32">
        <f t="shared" ca="1" si="12"/>
        <v>45369</v>
      </c>
      <c r="B818">
        <v>3</v>
      </c>
      <c r="C818">
        <v>456</v>
      </c>
      <c r="D818">
        <v>118145.04</v>
      </c>
    </row>
    <row r="819" spans="1:4" x14ac:dyDescent="0.35">
      <c r="A819" s="32">
        <f t="shared" ca="1" si="12"/>
        <v>45299</v>
      </c>
      <c r="B819">
        <v>7</v>
      </c>
      <c r="C819">
        <v>44</v>
      </c>
      <c r="D819">
        <v>1407.56</v>
      </c>
    </row>
    <row r="820" spans="1:4" x14ac:dyDescent="0.35">
      <c r="A820" s="32">
        <f t="shared" ca="1" si="12"/>
        <v>45402</v>
      </c>
      <c r="B820">
        <v>10</v>
      </c>
      <c r="C820">
        <v>12739</v>
      </c>
      <c r="D820">
        <v>366246.25</v>
      </c>
    </row>
    <row r="821" spans="1:4" x14ac:dyDescent="0.35">
      <c r="A821" s="32">
        <f t="shared" ca="1" si="12"/>
        <v>45457</v>
      </c>
      <c r="B821">
        <v>4</v>
      </c>
      <c r="C821">
        <v>7</v>
      </c>
      <c r="D821">
        <v>465.84999999999997</v>
      </c>
    </row>
    <row r="822" spans="1:4" x14ac:dyDescent="0.35">
      <c r="A822" s="32">
        <f t="shared" ca="1" si="12"/>
        <v>45455</v>
      </c>
      <c r="B822">
        <v>2</v>
      </c>
      <c r="C822">
        <v>427</v>
      </c>
      <c r="D822">
        <v>11742.5</v>
      </c>
    </row>
    <row r="823" spans="1:4" x14ac:dyDescent="0.35">
      <c r="A823" s="32">
        <f t="shared" ca="1" si="12"/>
        <v>45329</v>
      </c>
      <c r="B823">
        <v>71</v>
      </c>
      <c r="C823">
        <v>295</v>
      </c>
      <c r="D823">
        <v>26541.15</v>
      </c>
    </row>
    <row r="824" spans="1:4" x14ac:dyDescent="0.35">
      <c r="A824" s="32">
        <f t="shared" ca="1" si="12"/>
        <v>45355</v>
      </c>
      <c r="B824">
        <v>9</v>
      </c>
      <c r="C824">
        <v>1024</v>
      </c>
      <c r="D824">
        <v>97269.759999999995</v>
      </c>
    </row>
    <row r="825" spans="1:4" x14ac:dyDescent="0.35">
      <c r="A825" s="32">
        <f t="shared" ca="1" si="12"/>
        <v>45377</v>
      </c>
      <c r="B825">
        <v>127</v>
      </c>
      <c r="C825">
        <v>410</v>
      </c>
      <c r="D825">
        <v>12295.9</v>
      </c>
    </row>
    <row r="826" spans="1:4" x14ac:dyDescent="0.35">
      <c r="A826" s="32">
        <f t="shared" ca="1" si="12"/>
        <v>45390</v>
      </c>
      <c r="B826">
        <v>10</v>
      </c>
      <c r="C826">
        <v>64</v>
      </c>
      <c r="D826">
        <v>3529.6</v>
      </c>
    </row>
    <row r="827" spans="1:4" x14ac:dyDescent="0.35">
      <c r="A827" s="32">
        <f t="shared" ca="1" si="12"/>
        <v>45309</v>
      </c>
      <c r="B827">
        <v>0</v>
      </c>
      <c r="C827">
        <v>587</v>
      </c>
      <c r="D827">
        <v>53088.28</v>
      </c>
    </row>
    <row r="828" spans="1:4" x14ac:dyDescent="0.35">
      <c r="A828" s="32">
        <f t="shared" ca="1" si="12"/>
        <v>45337</v>
      </c>
      <c r="B828">
        <v>10</v>
      </c>
      <c r="C828">
        <v>4</v>
      </c>
      <c r="D828">
        <v>213.68</v>
      </c>
    </row>
    <row r="829" spans="1:4" x14ac:dyDescent="0.35">
      <c r="A829" s="32">
        <f t="shared" ca="1" si="12"/>
        <v>45448</v>
      </c>
      <c r="B829">
        <v>0</v>
      </c>
      <c r="C829">
        <v>125</v>
      </c>
      <c r="D829">
        <v>2361.25</v>
      </c>
    </row>
    <row r="830" spans="1:4" x14ac:dyDescent="0.35">
      <c r="A830" s="32">
        <f t="shared" ca="1" si="12"/>
        <v>45335</v>
      </c>
      <c r="B830">
        <v>72</v>
      </c>
      <c r="C830">
        <v>53</v>
      </c>
      <c r="D830">
        <v>11283.17</v>
      </c>
    </row>
    <row r="831" spans="1:4" x14ac:dyDescent="0.35">
      <c r="A831" s="32">
        <f t="shared" ca="1" si="12"/>
        <v>45460</v>
      </c>
      <c r="B831">
        <v>33</v>
      </c>
      <c r="C831">
        <v>116</v>
      </c>
      <c r="D831">
        <v>8690.7199999999993</v>
      </c>
    </row>
    <row r="832" spans="1:4" x14ac:dyDescent="0.35">
      <c r="A832" s="32">
        <f t="shared" ca="1" si="12"/>
        <v>45374</v>
      </c>
      <c r="B832">
        <v>3</v>
      </c>
      <c r="C832">
        <v>202</v>
      </c>
      <c r="D832">
        <v>11606.92</v>
      </c>
    </row>
    <row r="833" spans="1:4" x14ac:dyDescent="0.35">
      <c r="A833" s="32">
        <f t="shared" ca="1" si="12"/>
        <v>45433</v>
      </c>
      <c r="B833">
        <v>33</v>
      </c>
      <c r="C833">
        <v>1146</v>
      </c>
      <c r="D833">
        <v>15883.56</v>
      </c>
    </row>
    <row r="834" spans="1:4" x14ac:dyDescent="0.35">
      <c r="A834" s="32">
        <f t="shared" ca="1" si="12"/>
        <v>45443</v>
      </c>
      <c r="B834">
        <v>10</v>
      </c>
      <c r="C834">
        <v>81</v>
      </c>
      <c r="D834">
        <v>1295.19</v>
      </c>
    </row>
    <row r="835" spans="1:4" x14ac:dyDescent="0.35">
      <c r="A835" s="32">
        <f t="shared" ref="A835:A898" ca="1" si="13">RANDBETWEEN(DATE(2024,1,1),(DATE(2024,6,30)))</f>
        <v>45460</v>
      </c>
      <c r="B835">
        <v>6</v>
      </c>
      <c r="C835">
        <v>8</v>
      </c>
      <c r="D835">
        <v>199.84</v>
      </c>
    </row>
    <row r="836" spans="1:4" x14ac:dyDescent="0.35">
      <c r="A836" s="32">
        <f t="shared" ca="1" si="13"/>
        <v>45398</v>
      </c>
      <c r="B836">
        <v>10</v>
      </c>
      <c r="C836">
        <v>8</v>
      </c>
      <c r="D836">
        <v>263.12</v>
      </c>
    </row>
    <row r="837" spans="1:4" x14ac:dyDescent="0.35">
      <c r="A837" s="32">
        <f t="shared" ca="1" si="13"/>
        <v>45436</v>
      </c>
      <c r="B837">
        <v>2</v>
      </c>
      <c r="C837">
        <v>29</v>
      </c>
      <c r="D837">
        <v>517.65000000000009</v>
      </c>
    </row>
    <row r="838" spans="1:4" x14ac:dyDescent="0.35">
      <c r="A838" s="32">
        <f t="shared" ca="1" si="13"/>
        <v>45332</v>
      </c>
      <c r="B838">
        <v>2</v>
      </c>
      <c r="C838">
        <v>4520</v>
      </c>
      <c r="D838">
        <v>162674.80000000002</v>
      </c>
    </row>
    <row r="839" spans="1:4" x14ac:dyDescent="0.35">
      <c r="A839" s="32">
        <f t="shared" ca="1" si="13"/>
        <v>45470</v>
      </c>
      <c r="B839">
        <v>10</v>
      </c>
      <c r="C839">
        <v>187</v>
      </c>
      <c r="D839">
        <v>9348.130000000001</v>
      </c>
    </row>
    <row r="840" spans="1:4" x14ac:dyDescent="0.35">
      <c r="A840" s="32">
        <f t="shared" ca="1" si="13"/>
        <v>45427</v>
      </c>
      <c r="B840">
        <v>3</v>
      </c>
      <c r="C840">
        <v>1831</v>
      </c>
      <c r="D840">
        <v>40117.21</v>
      </c>
    </row>
    <row r="841" spans="1:4" x14ac:dyDescent="0.35">
      <c r="A841" s="32">
        <f t="shared" ca="1" si="13"/>
        <v>45347</v>
      </c>
      <c r="B841">
        <v>4</v>
      </c>
      <c r="C841">
        <v>17</v>
      </c>
      <c r="D841">
        <v>270.13</v>
      </c>
    </row>
    <row r="842" spans="1:4" x14ac:dyDescent="0.35">
      <c r="A842" s="32">
        <f t="shared" ca="1" si="13"/>
        <v>45296</v>
      </c>
      <c r="B842">
        <v>0</v>
      </c>
      <c r="C842">
        <v>8</v>
      </c>
      <c r="D842">
        <v>127.12</v>
      </c>
    </row>
    <row r="843" spans="1:4" x14ac:dyDescent="0.35">
      <c r="A843" s="32">
        <f t="shared" ca="1" si="13"/>
        <v>45438</v>
      </c>
      <c r="B843">
        <v>0</v>
      </c>
      <c r="C843">
        <v>1955</v>
      </c>
      <c r="D843">
        <v>35170.449999999997</v>
      </c>
    </row>
    <row r="844" spans="1:4" x14ac:dyDescent="0.35">
      <c r="A844" s="32">
        <f t="shared" ca="1" si="13"/>
        <v>45377</v>
      </c>
      <c r="B844">
        <v>9</v>
      </c>
      <c r="C844">
        <v>594</v>
      </c>
      <c r="D844">
        <v>9498.06</v>
      </c>
    </row>
    <row r="845" spans="1:4" x14ac:dyDescent="0.35">
      <c r="A845" s="32">
        <f t="shared" ca="1" si="13"/>
        <v>45367</v>
      </c>
      <c r="B845">
        <v>96</v>
      </c>
      <c r="C845">
        <v>2452</v>
      </c>
      <c r="D845">
        <v>112767.48000000001</v>
      </c>
    </row>
    <row r="846" spans="1:4" x14ac:dyDescent="0.35">
      <c r="A846" s="32">
        <f t="shared" ca="1" si="13"/>
        <v>45312</v>
      </c>
      <c r="B846">
        <v>4</v>
      </c>
      <c r="C846">
        <v>16</v>
      </c>
      <c r="D846">
        <v>1210.4000000000001</v>
      </c>
    </row>
    <row r="847" spans="1:4" x14ac:dyDescent="0.35">
      <c r="A847" s="32">
        <f t="shared" ca="1" si="13"/>
        <v>45401</v>
      </c>
      <c r="B847">
        <v>10</v>
      </c>
      <c r="C847">
        <v>64</v>
      </c>
      <c r="D847">
        <v>8671.36</v>
      </c>
    </row>
    <row r="848" spans="1:4" x14ac:dyDescent="0.35">
      <c r="A848" s="32">
        <f t="shared" ca="1" si="13"/>
        <v>45319</v>
      </c>
      <c r="B848">
        <v>3</v>
      </c>
      <c r="C848">
        <v>258</v>
      </c>
      <c r="D848">
        <v>10627.019999999999</v>
      </c>
    </row>
    <row r="849" spans="1:4" x14ac:dyDescent="0.35">
      <c r="A849" s="32">
        <f t="shared" ca="1" si="13"/>
        <v>45363</v>
      </c>
      <c r="B849">
        <v>10</v>
      </c>
      <c r="C849">
        <v>1234</v>
      </c>
      <c r="D849">
        <v>45423.54</v>
      </c>
    </row>
    <row r="850" spans="1:4" x14ac:dyDescent="0.35">
      <c r="A850" s="32">
        <f t="shared" ca="1" si="13"/>
        <v>45361</v>
      </c>
      <c r="B850">
        <v>3</v>
      </c>
      <c r="C850">
        <v>140</v>
      </c>
      <c r="D850">
        <v>7558.6</v>
      </c>
    </row>
    <row r="851" spans="1:4" x14ac:dyDescent="0.35">
      <c r="A851" s="32">
        <f t="shared" ca="1" si="13"/>
        <v>45424</v>
      </c>
      <c r="B851">
        <v>2</v>
      </c>
      <c r="C851">
        <v>3</v>
      </c>
      <c r="D851">
        <v>227.85000000000002</v>
      </c>
    </row>
    <row r="852" spans="1:4" x14ac:dyDescent="0.35">
      <c r="A852" s="32">
        <f t="shared" ca="1" si="13"/>
        <v>45427</v>
      </c>
      <c r="B852">
        <v>10</v>
      </c>
      <c r="C852">
        <v>3691</v>
      </c>
      <c r="D852">
        <v>219356.13</v>
      </c>
    </row>
    <row r="853" spans="1:4" x14ac:dyDescent="0.35">
      <c r="A853" s="32">
        <f t="shared" ca="1" si="13"/>
        <v>45430</v>
      </c>
      <c r="B853">
        <v>10</v>
      </c>
      <c r="C853">
        <v>597</v>
      </c>
      <c r="D853">
        <v>10220.640000000001</v>
      </c>
    </row>
    <row r="854" spans="1:4" x14ac:dyDescent="0.35">
      <c r="A854" s="32">
        <f t="shared" ca="1" si="13"/>
        <v>45437</v>
      </c>
      <c r="B854">
        <v>161</v>
      </c>
      <c r="C854">
        <v>5582</v>
      </c>
      <c r="D854">
        <v>226629.2</v>
      </c>
    </row>
    <row r="855" spans="1:4" x14ac:dyDescent="0.35">
      <c r="A855" s="32">
        <f t="shared" ca="1" si="13"/>
        <v>45318</v>
      </c>
      <c r="B855">
        <v>0</v>
      </c>
      <c r="C855">
        <v>430</v>
      </c>
      <c r="D855">
        <v>32164</v>
      </c>
    </row>
    <row r="856" spans="1:4" x14ac:dyDescent="0.35">
      <c r="A856" s="32">
        <f t="shared" ca="1" si="13"/>
        <v>45465</v>
      </c>
      <c r="B856">
        <v>6</v>
      </c>
      <c r="C856">
        <v>418</v>
      </c>
      <c r="D856">
        <v>6261.64</v>
      </c>
    </row>
    <row r="857" spans="1:4" x14ac:dyDescent="0.35">
      <c r="A857" s="32">
        <f t="shared" ca="1" si="13"/>
        <v>45305</v>
      </c>
      <c r="B857">
        <v>10</v>
      </c>
      <c r="C857">
        <v>19899</v>
      </c>
      <c r="D857">
        <v>733875.12</v>
      </c>
    </row>
    <row r="858" spans="1:4" x14ac:dyDescent="0.35">
      <c r="A858" s="32">
        <f t="shared" ca="1" si="13"/>
        <v>45327</v>
      </c>
      <c r="B858">
        <v>0</v>
      </c>
      <c r="C858">
        <v>25</v>
      </c>
      <c r="D858">
        <v>1722.25</v>
      </c>
    </row>
    <row r="859" spans="1:4" x14ac:dyDescent="0.35">
      <c r="A859" s="32">
        <f t="shared" ca="1" si="13"/>
        <v>45353</v>
      </c>
      <c r="B859">
        <v>7</v>
      </c>
      <c r="C859">
        <v>7816</v>
      </c>
      <c r="D859">
        <v>130605.36</v>
      </c>
    </row>
    <row r="860" spans="1:4" x14ac:dyDescent="0.35">
      <c r="A860" s="32">
        <f t="shared" ca="1" si="13"/>
        <v>45455</v>
      </c>
      <c r="B860">
        <v>10</v>
      </c>
      <c r="C860">
        <v>36</v>
      </c>
      <c r="D860">
        <v>1114.2</v>
      </c>
    </row>
    <row r="861" spans="1:4" x14ac:dyDescent="0.35">
      <c r="A861" s="32">
        <f t="shared" ca="1" si="13"/>
        <v>45355</v>
      </c>
      <c r="B861">
        <v>10</v>
      </c>
      <c r="C861">
        <v>39</v>
      </c>
      <c r="D861">
        <v>1442.6100000000001</v>
      </c>
    </row>
    <row r="862" spans="1:4" x14ac:dyDescent="0.35">
      <c r="A862" s="32">
        <f t="shared" ca="1" si="13"/>
        <v>45366</v>
      </c>
      <c r="B862">
        <v>756</v>
      </c>
      <c r="C862">
        <v>258</v>
      </c>
      <c r="D862">
        <v>11638.38</v>
      </c>
    </row>
    <row r="863" spans="1:4" x14ac:dyDescent="0.35">
      <c r="A863" s="32">
        <f t="shared" ca="1" si="13"/>
        <v>45365</v>
      </c>
      <c r="B863">
        <v>10</v>
      </c>
      <c r="C863">
        <v>165</v>
      </c>
      <c r="D863">
        <v>8248.35</v>
      </c>
    </row>
    <row r="864" spans="1:4" x14ac:dyDescent="0.35">
      <c r="A864" s="32">
        <f t="shared" ca="1" si="13"/>
        <v>45410</v>
      </c>
      <c r="B864">
        <v>59</v>
      </c>
      <c r="C864">
        <v>16</v>
      </c>
      <c r="D864">
        <v>552</v>
      </c>
    </row>
    <row r="865" spans="1:4" x14ac:dyDescent="0.35">
      <c r="A865" s="32">
        <f t="shared" ca="1" si="13"/>
        <v>45369</v>
      </c>
      <c r="B865">
        <v>2</v>
      </c>
      <c r="C865">
        <v>2611</v>
      </c>
      <c r="D865">
        <v>60079.11</v>
      </c>
    </row>
    <row r="866" spans="1:4" x14ac:dyDescent="0.35">
      <c r="A866" s="32">
        <f t="shared" ca="1" si="13"/>
        <v>45423</v>
      </c>
      <c r="B866">
        <v>10</v>
      </c>
      <c r="C866">
        <v>358</v>
      </c>
      <c r="D866">
        <v>5366.42</v>
      </c>
    </row>
    <row r="867" spans="1:4" x14ac:dyDescent="0.35">
      <c r="A867" s="32">
        <f t="shared" ca="1" si="13"/>
        <v>45406</v>
      </c>
      <c r="B867">
        <v>10</v>
      </c>
      <c r="C867">
        <v>601</v>
      </c>
      <c r="D867">
        <v>35459</v>
      </c>
    </row>
    <row r="868" spans="1:4" x14ac:dyDescent="0.35">
      <c r="A868" s="32">
        <f t="shared" ca="1" si="13"/>
        <v>45452</v>
      </c>
      <c r="B868">
        <v>40</v>
      </c>
      <c r="C868">
        <v>1424</v>
      </c>
      <c r="D868">
        <v>36753.439999999995</v>
      </c>
    </row>
    <row r="869" spans="1:4" x14ac:dyDescent="0.35">
      <c r="A869" s="32">
        <f t="shared" ca="1" si="13"/>
        <v>45411</v>
      </c>
      <c r="B869">
        <v>3</v>
      </c>
      <c r="C869">
        <v>13</v>
      </c>
      <c r="D869">
        <v>1494.87</v>
      </c>
    </row>
    <row r="870" spans="1:4" x14ac:dyDescent="0.35">
      <c r="A870" s="32">
        <f t="shared" ca="1" si="13"/>
        <v>45302</v>
      </c>
      <c r="B870">
        <v>9</v>
      </c>
      <c r="C870">
        <v>8</v>
      </c>
      <c r="D870">
        <v>799.92</v>
      </c>
    </row>
    <row r="871" spans="1:4" x14ac:dyDescent="0.35">
      <c r="A871" s="32">
        <f t="shared" ca="1" si="13"/>
        <v>45427</v>
      </c>
      <c r="B871">
        <v>10</v>
      </c>
      <c r="C871">
        <v>13</v>
      </c>
      <c r="D871">
        <v>1624.87</v>
      </c>
    </row>
    <row r="872" spans="1:4" x14ac:dyDescent="0.35">
      <c r="A872" s="32">
        <f t="shared" ca="1" si="13"/>
        <v>45415</v>
      </c>
      <c r="B872">
        <v>10</v>
      </c>
      <c r="C872">
        <v>488</v>
      </c>
      <c r="D872">
        <v>10633.52</v>
      </c>
    </row>
    <row r="873" spans="1:4" x14ac:dyDescent="0.35">
      <c r="A873" s="32">
        <f t="shared" ca="1" si="13"/>
        <v>45387</v>
      </c>
      <c r="B873">
        <v>7</v>
      </c>
      <c r="C873">
        <v>116</v>
      </c>
      <c r="D873">
        <v>9858.84</v>
      </c>
    </row>
    <row r="874" spans="1:4" x14ac:dyDescent="0.35">
      <c r="A874" s="32">
        <f t="shared" ca="1" si="13"/>
        <v>45451</v>
      </c>
      <c r="B874">
        <v>10</v>
      </c>
      <c r="C874">
        <v>145</v>
      </c>
      <c r="D874">
        <v>21023.550000000003</v>
      </c>
    </row>
    <row r="875" spans="1:4" x14ac:dyDescent="0.35">
      <c r="A875" s="32">
        <f t="shared" ca="1" si="13"/>
        <v>45297</v>
      </c>
      <c r="B875">
        <v>10</v>
      </c>
      <c r="C875">
        <v>103</v>
      </c>
      <c r="D875">
        <v>1336.94</v>
      </c>
    </row>
    <row r="876" spans="1:4" x14ac:dyDescent="0.35">
      <c r="A876" s="32">
        <f t="shared" ca="1" si="13"/>
        <v>45292</v>
      </c>
      <c r="B876">
        <v>10</v>
      </c>
      <c r="C876">
        <v>1819</v>
      </c>
      <c r="D876">
        <v>120763.41</v>
      </c>
    </row>
    <row r="877" spans="1:4" x14ac:dyDescent="0.35">
      <c r="A877" s="32">
        <f t="shared" ca="1" si="13"/>
        <v>45320</v>
      </c>
      <c r="B877">
        <v>3</v>
      </c>
      <c r="C877">
        <v>501</v>
      </c>
      <c r="D877">
        <v>9724.41</v>
      </c>
    </row>
    <row r="878" spans="1:4" x14ac:dyDescent="0.35">
      <c r="A878" s="32">
        <f t="shared" ca="1" si="13"/>
        <v>45299</v>
      </c>
      <c r="B878">
        <v>47</v>
      </c>
      <c r="C878">
        <v>21</v>
      </c>
      <c r="D878">
        <v>417.69</v>
      </c>
    </row>
    <row r="879" spans="1:4" x14ac:dyDescent="0.35">
      <c r="A879" s="32">
        <f t="shared" ca="1" si="13"/>
        <v>45442</v>
      </c>
      <c r="B879">
        <v>12</v>
      </c>
      <c r="C879">
        <v>172</v>
      </c>
      <c r="D879">
        <v>2578.2800000000002</v>
      </c>
    </row>
    <row r="880" spans="1:4" x14ac:dyDescent="0.35">
      <c r="A880" s="32">
        <f t="shared" ca="1" si="13"/>
        <v>45350</v>
      </c>
      <c r="B880">
        <v>0</v>
      </c>
      <c r="C880">
        <v>248</v>
      </c>
      <c r="D880">
        <v>12893.52</v>
      </c>
    </row>
    <row r="881" spans="1:4" x14ac:dyDescent="0.35">
      <c r="A881" s="32">
        <f t="shared" ca="1" si="13"/>
        <v>45370</v>
      </c>
      <c r="B881">
        <v>0</v>
      </c>
      <c r="C881">
        <v>5098</v>
      </c>
      <c r="D881">
        <v>268256.76</v>
      </c>
    </row>
    <row r="882" spans="1:4" x14ac:dyDescent="0.35">
      <c r="A882" s="32">
        <f t="shared" ca="1" si="13"/>
        <v>45292</v>
      </c>
      <c r="B882">
        <v>207</v>
      </c>
      <c r="C882">
        <v>1536</v>
      </c>
      <c r="D882">
        <v>39905.279999999999</v>
      </c>
    </row>
    <row r="883" spans="1:4" x14ac:dyDescent="0.35">
      <c r="A883" s="32">
        <f t="shared" ca="1" si="13"/>
        <v>45351</v>
      </c>
      <c r="B883">
        <v>5</v>
      </c>
      <c r="C883">
        <v>2247</v>
      </c>
      <c r="D883">
        <v>87498.18</v>
      </c>
    </row>
    <row r="884" spans="1:4" x14ac:dyDescent="0.35">
      <c r="A884" s="32">
        <f t="shared" ca="1" si="13"/>
        <v>45433</v>
      </c>
      <c r="B884">
        <v>0</v>
      </c>
      <c r="C884">
        <v>4733</v>
      </c>
      <c r="D884">
        <v>301444.76999999996</v>
      </c>
    </row>
    <row r="885" spans="1:4" x14ac:dyDescent="0.35">
      <c r="A885" s="32">
        <f t="shared" ca="1" si="13"/>
        <v>45446</v>
      </c>
      <c r="B885">
        <v>9</v>
      </c>
      <c r="C885">
        <v>1630</v>
      </c>
      <c r="D885">
        <v>26715.7</v>
      </c>
    </row>
    <row r="886" spans="1:4" x14ac:dyDescent="0.35">
      <c r="A886" s="32">
        <f t="shared" ca="1" si="13"/>
        <v>45417</v>
      </c>
      <c r="B886">
        <v>2</v>
      </c>
      <c r="C886">
        <v>627</v>
      </c>
      <c r="D886">
        <v>21769.439999999999</v>
      </c>
    </row>
    <row r="887" spans="1:4" x14ac:dyDescent="0.35">
      <c r="A887" s="32">
        <f t="shared" ca="1" si="13"/>
        <v>45342</v>
      </c>
      <c r="B887">
        <v>5</v>
      </c>
      <c r="C887">
        <v>147</v>
      </c>
      <c r="D887">
        <v>5646.2699999999995</v>
      </c>
    </row>
    <row r="888" spans="1:4" x14ac:dyDescent="0.35">
      <c r="A888" s="32">
        <f t="shared" ca="1" si="13"/>
        <v>45382</v>
      </c>
      <c r="B888">
        <v>10</v>
      </c>
      <c r="C888">
        <v>129</v>
      </c>
      <c r="D888">
        <v>5028.4199999999992</v>
      </c>
    </row>
    <row r="889" spans="1:4" x14ac:dyDescent="0.35">
      <c r="A889" s="32">
        <f t="shared" ca="1" si="13"/>
        <v>45434</v>
      </c>
      <c r="B889">
        <v>5</v>
      </c>
      <c r="C889">
        <v>88</v>
      </c>
      <c r="D889">
        <v>2142.8000000000002</v>
      </c>
    </row>
    <row r="890" spans="1:4" x14ac:dyDescent="0.35">
      <c r="A890" s="32">
        <f t="shared" ca="1" si="13"/>
        <v>45420</v>
      </c>
      <c r="B890">
        <v>4</v>
      </c>
      <c r="C890">
        <v>1</v>
      </c>
      <c r="D890">
        <v>74.59</v>
      </c>
    </row>
    <row r="891" spans="1:4" x14ac:dyDescent="0.35">
      <c r="A891" s="32">
        <f t="shared" ca="1" si="13"/>
        <v>45355</v>
      </c>
      <c r="B891">
        <v>3</v>
      </c>
      <c r="C891">
        <v>16</v>
      </c>
      <c r="D891">
        <v>655.84</v>
      </c>
    </row>
    <row r="892" spans="1:4" x14ac:dyDescent="0.35">
      <c r="A892" s="32">
        <f t="shared" ca="1" si="13"/>
        <v>45405</v>
      </c>
      <c r="B892">
        <v>65</v>
      </c>
      <c r="C892">
        <v>13549</v>
      </c>
      <c r="D892">
        <v>518113.76</v>
      </c>
    </row>
    <row r="893" spans="1:4" x14ac:dyDescent="0.35">
      <c r="A893" s="32">
        <f t="shared" ca="1" si="13"/>
        <v>45472</v>
      </c>
      <c r="B893">
        <v>0</v>
      </c>
      <c r="C893">
        <v>31718</v>
      </c>
      <c r="D893">
        <v>1261424.8600000001</v>
      </c>
    </row>
    <row r="894" spans="1:4" x14ac:dyDescent="0.35">
      <c r="A894" s="32">
        <f t="shared" ca="1" si="13"/>
        <v>45413</v>
      </c>
      <c r="B894">
        <v>0</v>
      </c>
      <c r="C894">
        <v>4569</v>
      </c>
      <c r="D894">
        <v>93070.53</v>
      </c>
    </row>
    <row r="895" spans="1:4" x14ac:dyDescent="0.35">
      <c r="A895" s="32">
        <f t="shared" ca="1" si="13"/>
        <v>45429</v>
      </c>
      <c r="B895">
        <v>0</v>
      </c>
      <c r="C895">
        <v>7506</v>
      </c>
      <c r="D895">
        <v>381229.74</v>
      </c>
    </row>
    <row r="896" spans="1:4" x14ac:dyDescent="0.35">
      <c r="A896" s="32">
        <f t="shared" ca="1" si="13"/>
        <v>45437</v>
      </c>
      <c r="B896">
        <v>10</v>
      </c>
      <c r="C896">
        <v>545</v>
      </c>
      <c r="D896">
        <v>32127.75</v>
      </c>
    </row>
    <row r="897" spans="1:4" x14ac:dyDescent="0.35">
      <c r="A897" s="32">
        <f t="shared" ca="1" si="13"/>
        <v>45467</v>
      </c>
      <c r="B897">
        <v>31</v>
      </c>
      <c r="C897">
        <v>17</v>
      </c>
      <c r="D897">
        <v>229.5</v>
      </c>
    </row>
    <row r="898" spans="1:4" x14ac:dyDescent="0.35">
      <c r="A898" s="32">
        <f t="shared" ca="1" si="13"/>
        <v>45442</v>
      </c>
      <c r="B898">
        <v>310</v>
      </c>
      <c r="C898">
        <v>75</v>
      </c>
      <c r="D898">
        <v>1346.25</v>
      </c>
    </row>
    <row r="899" spans="1:4" x14ac:dyDescent="0.35">
      <c r="A899" s="32">
        <f t="shared" ref="A899:A962" ca="1" si="14">RANDBETWEEN(DATE(2024,1,1),(DATE(2024,6,30)))</f>
        <v>45473</v>
      </c>
      <c r="B899">
        <v>10</v>
      </c>
      <c r="C899">
        <v>702</v>
      </c>
      <c r="D899">
        <v>7722</v>
      </c>
    </row>
    <row r="900" spans="1:4" x14ac:dyDescent="0.35">
      <c r="A900" s="32">
        <f t="shared" ca="1" si="14"/>
        <v>45298</v>
      </c>
      <c r="B900">
        <v>24</v>
      </c>
      <c r="C900">
        <v>115</v>
      </c>
      <c r="D900">
        <v>862.5</v>
      </c>
    </row>
    <row r="901" spans="1:4" x14ac:dyDescent="0.35">
      <c r="A901" s="32">
        <f t="shared" ca="1" si="14"/>
        <v>45456</v>
      </c>
      <c r="B901">
        <v>4</v>
      </c>
      <c r="C901">
        <v>28</v>
      </c>
      <c r="D901">
        <v>475.71999999999997</v>
      </c>
    </row>
    <row r="902" spans="1:4" x14ac:dyDescent="0.35">
      <c r="A902" s="32">
        <f t="shared" ca="1" si="14"/>
        <v>45311</v>
      </c>
      <c r="B902">
        <v>7</v>
      </c>
      <c r="C902">
        <v>119</v>
      </c>
      <c r="D902">
        <v>1749.3</v>
      </c>
    </row>
    <row r="903" spans="1:4" x14ac:dyDescent="0.35">
      <c r="A903" s="32">
        <f t="shared" ca="1" si="14"/>
        <v>45358</v>
      </c>
      <c r="B903">
        <v>3</v>
      </c>
      <c r="C903">
        <v>8</v>
      </c>
      <c r="D903">
        <v>200</v>
      </c>
    </row>
    <row r="904" spans="1:4" x14ac:dyDescent="0.35">
      <c r="A904" s="32">
        <f t="shared" ca="1" si="14"/>
        <v>45365</v>
      </c>
      <c r="B904">
        <v>10</v>
      </c>
      <c r="C904">
        <v>72</v>
      </c>
      <c r="D904">
        <v>1850.3999999999999</v>
      </c>
    </row>
    <row r="905" spans="1:4" x14ac:dyDescent="0.35">
      <c r="A905" s="32">
        <f t="shared" ca="1" si="14"/>
        <v>45330</v>
      </c>
      <c r="B905">
        <v>5</v>
      </c>
      <c r="C905">
        <v>21</v>
      </c>
      <c r="D905">
        <v>186.48000000000002</v>
      </c>
    </row>
    <row r="906" spans="1:4" x14ac:dyDescent="0.35">
      <c r="A906" s="32">
        <f t="shared" ca="1" si="14"/>
        <v>45389</v>
      </c>
      <c r="B906">
        <v>10</v>
      </c>
      <c r="C906">
        <v>78</v>
      </c>
      <c r="D906">
        <v>2932.0200000000004</v>
      </c>
    </row>
    <row r="907" spans="1:4" x14ac:dyDescent="0.35">
      <c r="A907" s="32">
        <f t="shared" ca="1" si="14"/>
        <v>45372</v>
      </c>
      <c r="B907">
        <v>5</v>
      </c>
      <c r="C907">
        <v>381</v>
      </c>
      <c r="D907">
        <v>19046.190000000002</v>
      </c>
    </row>
    <row r="908" spans="1:4" x14ac:dyDescent="0.35">
      <c r="A908" s="32">
        <f t="shared" ca="1" si="14"/>
        <v>45467</v>
      </c>
      <c r="B908">
        <v>150</v>
      </c>
      <c r="C908">
        <v>35</v>
      </c>
      <c r="D908">
        <v>2098.9499999999998</v>
      </c>
    </row>
    <row r="909" spans="1:4" x14ac:dyDescent="0.35">
      <c r="A909" s="32">
        <f t="shared" ca="1" si="14"/>
        <v>45306</v>
      </c>
      <c r="B909">
        <v>0</v>
      </c>
      <c r="C909">
        <v>206</v>
      </c>
      <c r="D909">
        <v>3085.88</v>
      </c>
    </row>
    <row r="910" spans="1:4" x14ac:dyDescent="0.35">
      <c r="A910" s="32">
        <f t="shared" ca="1" si="14"/>
        <v>45410</v>
      </c>
      <c r="B910">
        <v>8</v>
      </c>
      <c r="C910">
        <v>16</v>
      </c>
      <c r="D910">
        <v>320</v>
      </c>
    </row>
    <row r="911" spans="1:4" x14ac:dyDescent="0.35">
      <c r="A911" s="32">
        <f t="shared" ca="1" si="14"/>
        <v>45398</v>
      </c>
      <c r="B911">
        <v>9</v>
      </c>
      <c r="C911">
        <v>24</v>
      </c>
      <c r="D911">
        <v>2279.7599999999998</v>
      </c>
    </row>
    <row r="912" spans="1:4" x14ac:dyDescent="0.35">
      <c r="A912" s="32">
        <f t="shared" ca="1" si="14"/>
        <v>45467</v>
      </c>
      <c r="B912">
        <v>6</v>
      </c>
      <c r="C912">
        <v>117</v>
      </c>
      <c r="D912">
        <v>6199.83</v>
      </c>
    </row>
    <row r="913" spans="1:4" x14ac:dyDescent="0.35">
      <c r="A913" s="32">
        <f t="shared" ca="1" si="14"/>
        <v>45440</v>
      </c>
      <c r="B913">
        <v>9</v>
      </c>
      <c r="C913">
        <v>7</v>
      </c>
      <c r="D913">
        <v>152.6</v>
      </c>
    </row>
    <row r="914" spans="1:4" x14ac:dyDescent="0.35">
      <c r="A914" s="32">
        <f t="shared" ca="1" si="14"/>
        <v>45377</v>
      </c>
      <c r="B914">
        <v>10</v>
      </c>
      <c r="C914">
        <v>131</v>
      </c>
      <c r="D914">
        <v>941.8900000000001</v>
      </c>
    </row>
    <row r="915" spans="1:4" x14ac:dyDescent="0.35">
      <c r="A915" s="32">
        <f t="shared" ca="1" si="14"/>
        <v>45316</v>
      </c>
      <c r="B915">
        <v>10</v>
      </c>
      <c r="C915">
        <v>11</v>
      </c>
      <c r="D915">
        <v>769.89</v>
      </c>
    </row>
    <row r="916" spans="1:4" x14ac:dyDescent="0.35">
      <c r="A916" s="32">
        <f t="shared" ca="1" si="14"/>
        <v>45329</v>
      </c>
      <c r="B916">
        <v>6</v>
      </c>
      <c r="C916">
        <v>647</v>
      </c>
      <c r="D916">
        <v>14848.65</v>
      </c>
    </row>
    <row r="917" spans="1:4" x14ac:dyDescent="0.35">
      <c r="A917" s="32">
        <f t="shared" ca="1" si="14"/>
        <v>45369</v>
      </c>
      <c r="B917">
        <v>4</v>
      </c>
      <c r="C917">
        <v>9</v>
      </c>
      <c r="D917">
        <v>701.91</v>
      </c>
    </row>
    <row r="918" spans="1:4" x14ac:dyDescent="0.35">
      <c r="A918" s="32">
        <f t="shared" ca="1" si="14"/>
        <v>45433</v>
      </c>
      <c r="B918">
        <v>6</v>
      </c>
      <c r="C918">
        <v>8</v>
      </c>
      <c r="D918">
        <v>71.92</v>
      </c>
    </row>
    <row r="919" spans="1:4" x14ac:dyDescent="0.35">
      <c r="A919" s="32">
        <f t="shared" ca="1" si="14"/>
        <v>45432</v>
      </c>
      <c r="B919">
        <v>7</v>
      </c>
      <c r="C919">
        <v>518</v>
      </c>
      <c r="D919">
        <v>10401.439999999999</v>
      </c>
    </row>
    <row r="920" spans="1:4" x14ac:dyDescent="0.35">
      <c r="A920" s="32">
        <f t="shared" ca="1" si="14"/>
        <v>45425</v>
      </c>
      <c r="B920">
        <v>3</v>
      </c>
      <c r="C920">
        <v>28</v>
      </c>
      <c r="D920">
        <v>1455.72</v>
      </c>
    </row>
    <row r="921" spans="1:4" x14ac:dyDescent="0.35">
      <c r="A921" s="32">
        <f t="shared" ca="1" si="14"/>
        <v>45350</v>
      </c>
      <c r="B921">
        <v>0</v>
      </c>
      <c r="C921">
        <v>189</v>
      </c>
      <c r="D921">
        <v>4148.55</v>
      </c>
    </row>
    <row r="922" spans="1:4" x14ac:dyDescent="0.35">
      <c r="A922" s="32">
        <f t="shared" ca="1" si="14"/>
        <v>45361</v>
      </c>
      <c r="B922">
        <v>900</v>
      </c>
      <c r="C922">
        <v>44</v>
      </c>
      <c r="D922">
        <v>3079.56</v>
      </c>
    </row>
    <row r="923" spans="1:4" x14ac:dyDescent="0.35">
      <c r="A923" s="32">
        <f t="shared" ca="1" si="14"/>
        <v>45336</v>
      </c>
      <c r="B923">
        <v>10</v>
      </c>
      <c r="C923">
        <v>10</v>
      </c>
      <c r="D923">
        <v>850</v>
      </c>
    </row>
    <row r="924" spans="1:4" x14ac:dyDescent="0.35">
      <c r="A924" s="32">
        <f t="shared" ca="1" si="14"/>
        <v>45363</v>
      </c>
      <c r="B924">
        <v>8</v>
      </c>
      <c r="C924">
        <v>397</v>
      </c>
      <c r="D924">
        <v>12493.59</v>
      </c>
    </row>
    <row r="925" spans="1:4" x14ac:dyDescent="0.35">
      <c r="A925" s="32">
        <f t="shared" ca="1" si="14"/>
        <v>45371</v>
      </c>
      <c r="B925">
        <v>4</v>
      </c>
      <c r="C925">
        <v>14</v>
      </c>
      <c r="D925">
        <v>573.30000000000007</v>
      </c>
    </row>
    <row r="926" spans="1:4" x14ac:dyDescent="0.35">
      <c r="A926" s="32">
        <f t="shared" ca="1" si="14"/>
        <v>45359</v>
      </c>
      <c r="B926">
        <v>0</v>
      </c>
      <c r="C926">
        <v>8</v>
      </c>
      <c r="D926">
        <v>612</v>
      </c>
    </row>
    <row r="927" spans="1:4" x14ac:dyDescent="0.35">
      <c r="A927" s="32">
        <f t="shared" ca="1" si="14"/>
        <v>45296</v>
      </c>
      <c r="B927">
        <v>5</v>
      </c>
      <c r="C927">
        <v>8</v>
      </c>
      <c r="D927">
        <v>239.92</v>
      </c>
    </row>
    <row r="928" spans="1:4" x14ac:dyDescent="0.35">
      <c r="A928" s="32">
        <f t="shared" ca="1" si="14"/>
        <v>45418</v>
      </c>
      <c r="B928">
        <v>10</v>
      </c>
      <c r="C928">
        <v>122</v>
      </c>
      <c r="D928">
        <v>2438.7799999999997</v>
      </c>
    </row>
    <row r="929" spans="1:4" x14ac:dyDescent="0.35">
      <c r="A929" s="32">
        <f t="shared" ca="1" si="14"/>
        <v>45364</v>
      </c>
      <c r="B929">
        <v>10</v>
      </c>
      <c r="C929">
        <v>8</v>
      </c>
      <c r="D929">
        <v>111.92</v>
      </c>
    </row>
    <row r="930" spans="1:4" x14ac:dyDescent="0.35">
      <c r="A930" s="32">
        <f t="shared" ca="1" si="14"/>
        <v>45398</v>
      </c>
      <c r="B930">
        <v>10</v>
      </c>
      <c r="C930">
        <v>9</v>
      </c>
      <c r="D930">
        <v>125.91</v>
      </c>
    </row>
    <row r="931" spans="1:4" x14ac:dyDescent="0.35">
      <c r="A931" s="32">
        <f t="shared" ca="1" si="14"/>
        <v>45344</v>
      </c>
      <c r="B931">
        <v>3</v>
      </c>
      <c r="C931">
        <v>12</v>
      </c>
      <c r="D931">
        <v>599.88</v>
      </c>
    </row>
    <row r="932" spans="1:4" x14ac:dyDescent="0.35">
      <c r="A932" s="32">
        <f t="shared" ca="1" si="14"/>
        <v>45453</v>
      </c>
      <c r="B932">
        <v>6</v>
      </c>
      <c r="C932">
        <v>404</v>
      </c>
      <c r="D932">
        <v>6863.9599999999991</v>
      </c>
    </row>
    <row r="933" spans="1:4" x14ac:dyDescent="0.35">
      <c r="A933" s="32">
        <f t="shared" ca="1" si="14"/>
        <v>45300</v>
      </c>
      <c r="B933">
        <v>0</v>
      </c>
      <c r="C933">
        <v>17</v>
      </c>
      <c r="D933">
        <v>1121.83</v>
      </c>
    </row>
    <row r="934" spans="1:4" x14ac:dyDescent="0.35">
      <c r="A934" s="32">
        <f t="shared" ca="1" si="14"/>
        <v>45386</v>
      </c>
      <c r="B934">
        <v>7</v>
      </c>
      <c r="C934">
        <v>19</v>
      </c>
      <c r="D934">
        <v>1443.81</v>
      </c>
    </row>
    <row r="935" spans="1:4" x14ac:dyDescent="0.35">
      <c r="A935" s="32">
        <f t="shared" ca="1" si="14"/>
        <v>45374</v>
      </c>
      <c r="B935">
        <v>0</v>
      </c>
      <c r="C935">
        <v>85</v>
      </c>
      <c r="D935">
        <v>2366.4</v>
      </c>
    </row>
    <row r="936" spans="1:4" x14ac:dyDescent="0.35">
      <c r="A936" s="32">
        <f t="shared" ca="1" si="14"/>
        <v>45330</v>
      </c>
      <c r="B936">
        <v>10</v>
      </c>
      <c r="C936">
        <v>36</v>
      </c>
      <c r="D936">
        <v>1260</v>
      </c>
    </row>
    <row r="937" spans="1:4" x14ac:dyDescent="0.35">
      <c r="A937" s="32">
        <f t="shared" ca="1" si="14"/>
        <v>45432</v>
      </c>
      <c r="B937">
        <v>3</v>
      </c>
      <c r="C937">
        <v>94</v>
      </c>
      <c r="D937">
        <v>939.06000000000006</v>
      </c>
    </row>
    <row r="938" spans="1:4" x14ac:dyDescent="0.35">
      <c r="A938" s="32">
        <f t="shared" ca="1" si="14"/>
        <v>45428</v>
      </c>
      <c r="B938">
        <v>4</v>
      </c>
      <c r="C938">
        <v>28</v>
      </c>
      <c r="D938">
        <v>1903.7199999999998</v>
      </c>
    </row>
    <row r="939" spans="1:4" x14ac:dyDescent="0.35">
      <c r="A939" s="32">
        <f t="shared" ca="1" si="14"/>
        <v>45446</v>
      </c>
      <c r="B939">
        <v>0</v>
      </c>
      <c r="C939">
        <v>11</v>
      </c>
      <c r="D939">
        <v>439.89000000000004</v>
      </c>
    </row>
    <row r="940" spans="1:4" x14ac:dyDescent="0.35">
      <c r="A940" s="32">
        <f t="shared" ca="1" si="14"/>
        <v>45376</v>
      </c>
      <c r="B940">
        <v>10</v>
      </c>
      <c r="C940">
        <v>26</v>
      </c>
      <c r="D940">
        <v>987.74</v>
      </c>
    </row>
    <row r="941" spans="1:4" x14ac:dyDescent="0.35">
      <c r="A941" s="32">
        <f t="shared" ca="1" si="14"/>
        <v>45384</v>
      </c>
      <c r="B941">
        <v>224</v>
      </c>
      <c r="C941">
        <v>825</v>
      </c>
      <c r="D941">
        <v>13950.75</v>
      </c>
    </row>
    <row r="942" spans="1:4" x14ac:dyDescent="0.35">
      <c r="A942" s="32">
        <f t="shared" ca="1" si="14"/>
        <v>45320</v>
      </c>
      <c r="B942">
        <v>7</v>
      </c>
      <c r="C942">
        <v>38</v>
      </c>
      <c r="D942">
        <v>987.61999999999989</v>
      </c>
    </row>
    <row r="943" spans="1:4" x14ac:dyDescent="0.35">
      <c r="A943" s="32">
        <f t="shared" ca="1" si="14"/>
        <v>45363</v>
      </c>
      <c r="B943">
        <v>5</v>
      </c>
      <c r="C943">
        <v>243</v>
      </c>
      <c r="D943">
        <v>12147.57</v>
      </c>
    </row>
    <row r="944" spans="1:4" x14ac:dyDescent="0.35">
      <c r="A944" s="32">
        <f t="shared" ca="1" si="14"/>
        <v>45326</v>
      </c>
      <c r="B944">
        <v>2</v>
      </c>
      <c r="C944">
        <v>65</v>
      </c>
      <c r="D944">
        <v>6499.3499999999995</v>
      </c>
    </row>
    <row r="945" spans="1:4" x14ac:dyDescent="0.35">
      <c r="A945" s="32">
        <f t="shared" ca="1" si="14"/>
        <v>45323</v>
      </c>
      <c r="B945">
        <v>82</v>
      </c>
      <c r="C945">
        <v>13</v>
      </c>
      <c r="D945">
        <v>623.87</v>
      </c>
    </row>
    <row r="946" spans="1:4" x14ac:dyDescent="0.35">
      <c r="A946" s="32">
        <f t="shared" ca="1" si="14"/>
        <v>45348</v>
      </c>
      <c r="B946">
        <v>4</v>
      </c>
      <c r="C946">
        <v>180</v>
      </c>
      <c r="D946">
        <v>5218.2</v>
      </c>
    </row>
    <row r="947" spans="1:4" x14ac:dyDescent="0.35">
      <c r="A947" s="32">
        <f t="shared" ca="1" si="14"/>
        <v>45324</v>
      </c>
      <c r="B947">
        <v>0</v>
      </c>
      <c r="C947">
        <v>177</v>
      </c>
      <c r="D947">
        <v>17523</v>
      </c>
    </row>
    <row r="948" spans="1:4" x14ac:dyDescent="0.35">
      <c r="A948" s="32">
        <f t="shared" ca="1" si="14"/>
        <v>45307</v>
      </c>
      <c r="B948">
        <v>10</v>
      </c>
      <c r="C948">
        <v>76</v>
      </c>
      <c r="D948">
        <v>683.24</v>
      </c>
    </row>
    <row r="949" spans="1:4" x14ac:dyDescent="0.35">
      <c r="A949" s="32">
        <f t="shared" ca="1" si="14"/>
        <v>45449</v>
      </c>
      <c r="B949">
        <v>3</v>
      </c>
      <c r="C949">
        <v>257</v>
      </c>
      <c r="D949">
        <v>4099.1499999999996</v>
      </c>
    </row>
    <row r="950" spans="1:4" x14ac:dyDescent="0.35">
      <c r="A950" s="32">
        <f t="shared" ca="1" si="14"/>
        <v>45335</v>
      </c>
      <c r="B950">
        <v>60</v>
      </c>
      <c r="C950">
        <v>384</v>
      </c>
      <c r="D950">
        <v>21116.16</v>
      </c>
    </row>
    <row r="951" spans="1:4" x14ac:dyDescent="0.35">
      <c r="A951" s="32">
        <f t="shared" ca="1" si="14"/>
        <v>45377</v>
      </c>
      <c r="B951">
        <v>5</v>
      </c>
      <c r="C951">
        <v>23</v>
      </c>
      <c r="D951">
        <v>460</v>
      </c>
    </row>
    <row r="952" spans="1:4" x14ac:dyDescent="0.35">
      <c r="A952" s="32">
        <f t="shared" ca="1" si="14"/>
        <v>45466</v>
      </c>
      <c r="B952">
        <v>3</v>
      </c>
      <c r="C952">
        <v>7</v>
      </c>
      <c r="D952">
        <v>336</v>
      </c>
    </row>
    <row r="953" spans="1:4" x14ac:dyDescent="0.35">
      <c r="A953" s="32">
        <f t="shared" ca="1" si="14"/>
        <v>45319</v>
      </c>
      <c r="B953">
        <v>8</v>
      </c>
      <c r="C953">
        <v>0</v>
      </c>
      <c r="D953">
        <v>0</v>
      </c>
    </row>
    <row r="954" spans="1:4" x14ac:dyDescent="0.35">
      <c r="A954" s="32">
        <f t="shared" ca="1" si="14"/>
        <v>45450</v>
      </c>
      <c r="B954">
        <v>0</v>
      </c>
      <c r="C954">
        <v>5</v>
      </c>
      <c r="D954">
        <v>144.75</v>
      </c>
    </row>
    <row r="955" spans="1:4" x14ac:dyDescent="0.35">
      <c r="A955" s="32">
        <f t="shared" ca="1" si="14"/>
        <v>45379</v>
      </c>
      <c r="B955">
        <v>10</v>
      </c>
      <c r="C955">
        <v>12</v>
      </c>
      <c r="D955">
        <v>428.15999999999997</v>
      </c>
    </row>
    <row r="956" spans="1:4" x14ac:dyDescent="0.35">
      <c r="A956" s="32">
        <f t="shared" ca="1" si="14"/>
        <v>45450</v>
      </c>
      <c r="B956">
        <v>6</v>
      </c>
      <c r="C956">
        <v>41</v>
      </c>
      <c r="D956">
        <v>656</v>
      </c>
    </row>
    <row r="957" spans="1:4" x14ac:dyDescent="0.35">
      <c r="A957" s="32">
        <f t="shared" ca="1" si="14"/>
        <v>45308</v>
      </c>
      <c r="B957">
        <v>0</v>
      </c>
      <c r="C957">
        <v>20</v>
      </c>
      <c r="D957">
        <v>319.8</v>
      </c>
    </row>
    <row r="958" spans="1:4" x14ac:dyDescent="0.35">
      <c r="A958" s="32">
        <f t="shared" ca="1" si="14"/>
        <v>45430</v>
      </c>
      <c r="B958">
        <v>10</v>
      </c>
      <c r="C958">
        <v>6</v>
      </c>
      <c r="D958">
        <v>119.69999999999999</v>
      </c>
    </row>
    <row r="959" spans="1:4" x14ac:dyDescent="0.35">
      <c r="A959" s="32">
        <f t="shared" ca="1" si="14"/>
        <v>45325</v>
      </c>
      <c r="B959">
        <v>4</v>
      </c>
      <c r="C959">
        <v>4</v>
      </c>
      <c r="D959">
        <v>155.88</v>
      </c>
    </row>
    <row r="960" spans="1:4" x14ac:dyDescent="0.35">
      <c r="A960" s="32">
        <f t="shared" ca="1" si="14"/>
        <v>45313</v>
      </c>
      <c r="B960">
        <v>2</v>
      </c>
      <c r="C960">
        <v>1</v>
      </c>
      <c r="D960">
        <v>22</v>
      </c>
    </row>
    <row r="961" spans="1:4" x14ac:dyDescent="0.35">
      <c r="A961" s="32">
        <f t="shared" ca="1" si="14"/>
        <v>45437</v>
      </c>
      <c r="B961">
        <v>10</v>
      </c>
      <c r="C961">
        <v>2</v>
      </c>
      <c r="D961">
        <v>250</v>
      </c>
    </row>
    <row r="962" spans="1:4" x14ac:dyDescent="0.35">
      <c r="A962" s="32">
        <f t="shared" ca="1" si="14"/>
        <v>45403</v>
      </c>
      <c r="B962">
        <v>0</v>
      </c>
      <c r="C962">
        <v>0</v>
      </c>
      <c r="D962">
        <v>0</v>
      </c>
    </row>
    <row r="963" spans="1:4" x14ac:dyDescent="0.35">
      <c r="A963" s="32">
        <f t="shared" ref="A963:A1001" ca="1" si="15">RANDBETWEEN(DATE(2024,1,1),(DATE(2024,6,30)))</f>
        <v>45435</v>
      </c>
      <c r="B963">
        <v>12</v>
      </c>
      <c r="C963">
        <v>14</v>
      </c>
      <c r="D963">
        <v>662.76</v>
      </c>
    </row>
    <row r="964" spans="1:4" x14ac:dyDescent="0.35">
      <c r="A964" s="32">
        <f t="shared" ca="1" si="15"/>
        <v>45332</v>
      </c>
      <c r="B964">
        <v>7</v>
      </c>
      <c r="C964">
        <v>10</v>
      </c>
      <c r="D964">
        <v>289.89999999999998</v>
      </c>
    </row>
    <row r="965" spans="1:4" x14ac:dyDescent="0.35">
      <c r="A965" s="32">
        <f t="shared" ca="1" si="15"/>
        <v>45377</v>
      </c>
      <c r="B965">
        <v>0</v>
      </c>
      <c r="C965">
        <v>2</v>
      </c>
      <c r="D965">
        <v>69.36</v>
      </c>
    </row>
    <row r="966" spans="1:4" x14ac:dyDescent="0.35">
      <c r="A966" s="32">
        <f t="shared" ca="1" si="15"/>
        <v>45384</v>
      </c>
      <c r="B966">
        <v>8</v>
      </c>
      <c r="C966">
        <v>12</v>
      </c>
      <c r="D966">
        <v>347.64</v>
      </c>
    </row>
    <row r="967" spans="1:4" x14ac:dyDescent="0.35">
      <c r="A967" s="32">
        <f t="shared" ca="1" si="15"/>
        <v>45408</v>
      </c>
      <c r="B967">
        <v>0</v>
      </c>
      <c r="C967">
        <v>2</v>
      </c>
      <c r="D967">
        <v>280</v>
      </c>
    </row>
    <row r="968" spans="1:4" x14ac:dyDescent="0.35">
      <c r="A968" s="32">
        <f t="shared" ca="1" si="15"/>
        <v>45405</v>
      </c>
      <c r="B968">
        <v>0</v>
      </c>
      <c r="C968">
        <v>7</v>
      </c>
      <c r="D968">
        <v>370.93</v>
      </c>
    </row>
    <row r="969" spans="1:4" x14ac:dyDescent="0.35">
      <c r="A969" s="32">
        <f t="shared" ca="1" si="15"/>
        <v>45343</v>
      </c>
      <c r="B969">
        <v>8</v>
      </c>
      <c r="C969">
        <v>14</v>
      </c>
      <c r="D969">
        <v>338.09999999999997</v>
      </c>
    </row>
    <row r="970" spans="1:4" x14ac:dyDescent="0.35">
      <c r="A970" s="32">
        <f t="shared" ca="1" si="15"/>
        <v>45398</v>
      </c>
      <c r="B970">
        <v>5</v>
      </c>
      <c r="C970">
        <v>4</v>
      </c>
      <c r="D970">
        <v>139.96</v>
      </c>
    </row>
    <row r="971" spans="1:4" x14ac:dyDescent="0.35">
      <c r="A971" s="32">
        <f t="shared" ca="1" si="15"/>
        <v>45392</v>
      </c>
      <c r="B971">
        <v>10</v>
      </c>
      <c r="C971">
        <v>5</v>
      </c>
      <c r="D971">
        <v>134.75</v>
      </c>
    </row>
    <row r="972" spans="1:4" x14ac:dyDescent="0.35">
      <c r="A972" s="32">
        <f t="shared" ca="1" si="15"/>
        <v>45316</v>
      </c>
      <c r="B972">
        <v>3</v>
      </c>
      <c r="C972">
        <v>3</v>
      </c>
      <c r="D972">
        <v>54</v>
      </c>
    </row>
    <row r="973" spans="1:4" x14ac:dyDescent="0.35">
      <c r="A973" s="32">
        <f t="shared" ca="1" si="15"/>
        <v>45370</v>
      </c>
      <c r="B973">
        <v>7</v>
      </c>
      <c r="C973">
        <v>17</v>
      </c>
      <c r="D973">
        <v>196.86</v>
      </c>
    </row>
    <row r="974" spans="1:4" x14ac:dyDescent="0.35">
      <c r="A974" s="32">
        <f t="shared" ca="1" si="15"/>
        <v>45338</v>
      </c>
      <c r="B974">
        <v>10</v>
      </c>
      <c r="C974">
        <v>1</v>
      </c>
      <c r="D974">
        <v>79.989999999999995</v>
      </c>
    </row>
    <row r="975" spans="1:4" x14ac:dyDescent="0.35">
      <c r="A975" s="32">
        <f t="shared" ca="1" si="15"/>
        <v>45302</v>
      </c>
      <c r="B975">
        <v>0</v>
      </c>
      <c r="C975">
        <v>1</v>
      </c>
      <c r="D975">
        <v>17.989999999999998</v>
      </c>
    </row>
    <row r="976" spans="1:4" x14ac:dyDescent="0.35">
      <c r="A976" s="32">
        <f t="shared" ca="1" si="15"/>
        <v>45308</v>
      </c>
      <c r="B976">
        <v>10</v>
      </c>
      <c r="C976">
        <v>9</v>
      </c>
      <c r="D976">
        <v>251.91</v>
      </c>
    </row>
    <row r="977" spans="1:4" x14ac:dyDescent="0.35">
      <c r="A977" s="32">
        <f t="shared" ca="1" si="15"/>
        <v>45343</v>
      </c>
      <c r="B977">
        <v>10</v>
      </c>
      <c r="C977">
        <v>1</v>
      </c>
      <c r="D977">
        <v>75</v>
      </c>
    </row>
    <row r="978" spans="1:4" x14ac:dyDescent="0.35">
      <c r="A978" s="32">
        <f t="shared" ca="1" si="15"/>
        <v>45443</v>
      </c>
      <c r="B978">
        <v>5</v>
      </c>
      <c r="C978">
        <v>1</v>
      </c>
      <c r="D978">
        <v>36.68</v>
      </c>
    </row>
    <row r="979" spans="1:4" x14ac:dyDescent="0.35">
      <c r="A979" s="32">
        <f t="shared" ca="1" si="15"/>
        <v>45308</v>
      </c>
      <c r="B979">
        <v>4</v>
      </c>
      <c r="C979">
        <v>3</v>
      </c>
      <c r="D979">
        <v>140.25</v>
      </c>
    </row>
    <row r="980" spans="1:4" x14ac:dyDescent="0.35">
      <c r="A980" s="32">
        <f t="shared" ca="1" si="15"/>
        <v>45380</v>
      </c>
      <c r="B980">
        <v>6</v>
      </c>
      <c r="C980">
        <v>5</v>
      </c>
      <c r="D980">
        <v>133.75</v>
      </c>
    </row>
    <row r="981" spans="1:4" x14ac:dyDescent="0.35">
      <c r="A981" s="32">
        <f t="shared" ca="1" si="15"/>
        <v>45408</v>
      </c>
      <c r="B981">
        <v>0</v>
      </c>
      <c r="C981">
        <v>2</v>
      </c>
      <c r="D981">
        <v>149.69999999999999</v>
      </c>
    </row>
    <row r="982" spans="1:4" x14ac:dyDescent="0.35">
      <c r="A982" s="32">
        <f t="shared" ca="1" si="15"/>
        <v>45293</v>
      </c>
      <c r="B982">
        <v>0</v>
      </c>
      <c r="C982">
        <v>0</v>
      </c>
      <c r="D982">
        <v>0</v>
      </c>
    </row>
    <row r="983" spans="1:4" x14ac:dyDescent="0.35">
      <c r="A983" s="32">
        <f t="shared" ca="1" si="15"/>
        <v>45398</v>
      </c>
      <c r="B983">
        <v>5</v>
      </c>
      <c r="C983">
        <v>6</v>
      </c>
      <c r="D983">
        <v>79.679999999999993</v>
      </c>
    </row>
    <row r="984" spans="1:4" x14ac:dyDescent="0.35">
      <c r="A984" s="32">
        <f t="shared" ca="1" si="15"/>
        <v>45382</v>
      </c>
      <c r="B984">
        <v>10</v>
      </c>
      <c r="C984">
        <v>8</v>
      </c>
      <c r="D984">
        <v>280</v>
      </c>
    </row>
    <row r="985" spans="1:4" x14ac:dyDescent="0.35">
      <c r="A985" s="32">
        <f t="shared" ca="1" si="15"/>
        <v>45305</v>
      </c>
      <c r="B985">
        <v>10</v>
      </c>
      <c r="C985">
        <v>6</v>
      </c>
      <c r="D985">
        <v>59.34</v>
      </c>
    </row>
    <row r="986" spans="1:4" x14ac:dyDescent="0.35">
      <c r="A986" s="32">
        <f t="shared" ca="1" si="15"/>
        <v>45445</v>
      </c>
      <c r="B986">
        <v>8</v>
      </c>
      <c r="C986">
        <v>3</v>
      </c>
      <c r="D986">
        <v>161.97</v>
      </c>
    </row>
    <row r="987" spans="1:4" x14ac:dyDescent="0.35">
      <c r="A987" s="32">
        <f t="shared" ca="1" si="15"/>
        <v>45419</v>
      </c>
      <c r="B987">
        <v>3</v>
      </c>
      <c r="C987">
        <v>6</v>
      </c>
      <c r="D987">
        <v>119.94</v>
      </c>
    </row>
    <row r="988" spans="1:4" x14ac:dyDescent="0.35">
      <c r="A988" s="32">
        <f t="shared" ca="1" si="15"/>
        <v>45348</v>
      </c>
      <c r="B988">
        <v>10</v>
      </c>
      <c r="C988">
        <v>4</v>
      </c>
      <c r="D988">
        <v>540</v>
      </c>
    </row>
    <row r="989" spans="1:4" x14ac:dyDescent="0.35">
      <c r="A989" s="32">
        <f t="shared" ca="1" si="15"/>
        <v>45397</v>
      </c>
      <c r="B989">
        <v>2</v>
      </c>
      <c r="C989">
        <v>1</v>
      </c>
      <c r="D989">
        <v>22.99</v>
      </c>
    </row>
    <row r="990" spans="1:4" x14ac:dyDescent="0.35">
      <c r="A990" s="32">
        <f t="shared" ca="1" si="15"/>
        <v>45445</v>
      </c>
      <c r="B990">
        <v>10</v>
      </c>
      <c r="C990">
        <v>0</v>
      </c>
      <c r="D990">
        <v>0</v>
      </c>
    </row>
    <row r="991" spans="1:4" x14ac:dyDescent="0.35">
      <c r="A991" s="32">
        <f t="shared" ca="1" si="15"/>
        <v>45413</v>
      </c>
      <c r="B991">
        <v>2</v>
      </c>
      <c r="C991">
        <v>0</v>
      </c>
      <c r="D991">
        <v>0</v>
      </c>
    </row>
    <row r="992" spans="1:4" x14ac:dyDescent="0.35">
      <c r="A992" s="32">
        <f t="shared" ca="1" si="15"/>
        <v>45448</v>
      </c>
      <c r="B992">
        <v>8</v>
      </c>
      <c r="C992">
        <v>26</v>
      </c>
      <c r="D992">
        <v>1117.74</v>
      </c>
    </row>
    <row r="993" spans="1:4" x14ac:dyDescent="0.35">
      <c r="A993" s="32">
        <f t="shared" ca="1" si="15"/>
        <v>45419</v>
      </c>
      <c r="B993">
        <v>10</v>
      </c>
      <c r="C993">
        <v>2</v>
      </c>
      <c r="D993">
        <v>59.9</v>
      </c>
    </row>
    <row r="994" spans="1:4" x14ac:dyDescent="0.35">
      <c r="A994" s="32">
        <f t="shared" ca="1" si="15"/>
        <v>45393</v>
      </c>
      <c r="B994">
        <v>0</v>
      </c>
      <c r="C994">
        <v>2</v>
      </c>
      <c r="D994">
        <v>49.98</v>
      </c>
    </row>
    <row r="995" spans="1:4" x14ac:dyDescent="0.35">
      <c r="A995" s="32">
        <f t="shared" ca="1" si="15"/>
        <v>45400</v>
      </c>
      <c r="B995">
        <v>0</v>
      </c>
      <c r="C995">
        <v>0</v>
      </c>
      <c r="D995">
        <v>0</v>
      </c>
    </row>
    <row r="996" spans="1:4" x14ac:dyDescent="0.35">
      <c r="A996" s="32">
        <f t="shared" ca="1" si="15"/>
        <v>45359</v>
      </c>
      <c r="B996">
        <v>3</v>
      </c>
      <c r="C996">
        <v>8</v>
      </c>
      <c r="D996">
        <v>199.6</v>
      </c>
    </row>
    <row r="997" spans="1:4" x14ac:dyDescent="0.35">
      <c r="A997" s="32">
        <f t="shared" ca="1" si="15"/>
        <v>45390</v>
      </c>
      <c r="B997">
        <v>0</v>
      </c>
      <c r="C997">
        <v>3</v>
      </c>
      <c r="D997">
        <v>86.97</v>
      </c>
    </row>
    <row r="998" spans="1:4" x14ac:dyDescent="0.35">
      <c r="A998" s="32">
        <f t="shared" ca="1" si="15"/>
        <v>45385</v>
      </c>
      <c r="B998">
        <v>10</v>
      </c>
      <c r="C998">
        <v>2</v>
      </c>
      <c r="D998">
        <v>99</v>
      </c>
    </row>
    <row r="999" spans="1:4" x14ac:dyDescent="0.35">
      <c r="A999" s="32">
        <f t="shared" ca="1" si="15"/>
        <v>45429</v>
      </c>
      <c r="B999">
        <v>2</v>
      </c>
      <c r="C999">
        <v>2</v>
      </c>
      <c r="D999">
        <v>48</v>
      </c>
    </row>
    <row r="1000" spans="1:4" x14ac:dyDescent="0.35">
      <c r="A1000" s="32">
        <f t="shared" ca="1" si="15"/>
        <v>45422</v>
      </c>
      <c r="B1000">
        <v>6</v>
      </c>
      <c r="C1000">
        <v>19</v>
      </c>
      <c r="D1000">
        <v>228</v>
      </c>
    </row>
    <row r="1001" spans="1:4" x14ac:dyDescent="0.35">
      <c r="A1001" s="32">
        <f t="shared" ca="1" si="15"/>
        <v>45457</v>
      </c>
      <c r="B1001">
        <v>0</v>
      </c>
      <c r="C1001">
        <v>24</v>
      </c>
      <c r="D1001">
        <v>671.76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EF2AA3-5582-41D6-94B2-C21E1B66C4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Descriptive Analysis</vt:lpstr>
      <vt:lpstr>match and index</vt:lpstr>
      <vt:lpstr>power query</vt:lpstr>
      <vt:lpstr>brand  Name vs Quantity sold</vt:lpstr>
      <vt:lpstr>Country vs price with currency</vt:lpstr>
      <vt:lpstr>parfum_quality_revenue</vt:lpstr>
      <vt:lpstr>Dashboard</vt:lpstr>
      <vt:lpstr>last updated Year_revenue</vt:lpstr>
      <vt:lpstr>Country vs Available stock</vt:lpstr>
      <vt:lpstr>Month vs revenue</vt:lpstr>
      <vt:lpstr>Mens perfume </vt:lpstr>
      <vt:lpstr>vlook up</vt:lpstr>
      <vt:lpstr>Forecasting the sale</vt:lpstr>
      <vt:lpstr>Sheet1</vt:lpstr>
      <vt:lpstr>'power query'!Criteria</vt:lpstr>
      <vt:lpstr>'power query'!Extract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fathima begam</cp:lastModifiedBy>
  <dcterms:created xsi:type="dcterms:W3CDTF">2025-08-14T04:57:24Z</dcterms:created>
  <dcterms:modified xsi:type="dcterms:W3CDTF">2025-11-20T21:36:26Z</dcterms:modified>
</cp:coreProperties>
</file>